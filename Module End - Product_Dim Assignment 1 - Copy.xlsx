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Excel Assment\"/>
    </mc:Choice>
  </mc:AlternateContent>
  <xr:revisionPtr revIDLastSave="0" documentId="13_ncr:1_{A286A8D3-4C36-485E-8208-07F5B49A34B1}" xr6:coauthVersionLast="47" xr6:coauthVersionMax="47" xr10:uidLastSave="{00000000-0000-0000-0000-000000000000}"/>
  <bookViews>
    <workbookView xWindow="-120" yWindow="-120" windowWidth="20730" windowHeight="11160" firstSheet="4" activeTab="6" xr2:uid="{E4D125EB-1332-45CE-A8CD-563403D3E6BE}"/>
  </bookViews>
  <sheets>
    <sheet name="Data " sheetId="1" r:id="rId1"/>
    <sheet name="Data cleaning" sheetId="2" r:id="rId2"/>
    <sheet name="f Excel formulas for calculatio" sheetId="3" r:id="rId3"/>
    <sheet name=" XLOOKUP VLOOKUP " sheetId="4" r:id="rId4"/>
    <sheet name="pivot table" sheetId="12" r:id="rId5"/>
    <sheet name="Descriptive statistics" sheetId="7" r:id="rId6"/>
    <sheet name="●Data visualization" sheetId="8" r:id="rId7"/>
  </sheets>
  <calcPr calcId="19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K4" i="4"/>
  <c r="L4" i="4"/>
  <c r="M4" i="4"/>
  <c r="N4" i="4"/>
  <c r="O4" i="4"/>
  <c r="J5" i="4"/>
  <c r="K5" i="4"/>
  <c r="L5" i="4"/>
  <c r="M5" i="4"/>
  <c r="N5" i="4"/>
  <c r="O5" i="4"/>
  <c r="J6" i="4"/>
  <c r="K6" i="4"/>
  <c r="L6" i="4"/>
  <c r="M6" i="4"/>
  <c r="N6" i="4"/>
  <c r="O6" i="4"/>
  <c r="J7" i="4"/>
  <c r="K7" i="4"/>
  <c r="L7" i="4"/>
  <c r="M7" i="4"/>
  <c r="N7" i="4"/>
  <c r="O7" i="4"/>
  <c r="J8" i="4"/>
  <c r="K8" i="4"/>
  <c r="L8" i="4"/>
  <c r="M8" i="4"/>
  <c r="N8" i="4"/>
  <c r="O8" i="4"/>
  <c r="J9" i="4"/>
  <c r="K9" i="4"/>
  <c r="L9" i="4"/>
  <c r="M9" i="4"/>
  <c r="N9" i="4"/>
  <c r="O9" i="4"/>
  <c r="J10" i="4"/>
  <c r="K10" i="4"/>
  <c r="L10" i="4"/>
  <c r="M10" i="4"/>
  <c r="N10" i="4"/>
  <c r="O10" i="4"/>
  <c r="J11" i="4"/>
  <c r="K11" i="4"/>
  <c r="L11" i="4"/>
  <c r="M11" i="4"/>
  <c r="N11" i="4"/>
  <c r="O11" i="4"/>
  <c r="J12" i="4"/>
  <c r="K12" i="4"/>
  <c r="L12" i="4"/>
  <c r="M12" i="4"/>
  <c r="N12" i="4"/>
  <c r="O12" i="4"/>
  <c r="J13" i="4"/>
  <c r="K13" i="4"/>
  <c r="L13" i="4"/>
  <c r="M13" i="4"/>
  <c r="N13" i="4"/>
  <c r="O13" i="4"/>
  <c r="J14" i="4"/>
  <c r="K14" i="4"/>
  <c r="L14" i="4"/>
  <c r="M14" i="4"/>
  <c r="N14" i="4"/>
  <c r="O14" i="4"/>
  <c r="J15" i="4"/>
  <c r="K15" i="4"/>
  <c r="L15" i="4"/>
  <c r="M15" i="4"/>
  <c r="N15" i="4"/>
  <c r="O15" i="4"/>
  <c r="J16" i="4"/>
  <c r="K16" i="4"/>
  <c r="L16" i="4"/>
  <c r="M16" i="4"/>
  <c r="N16" i="4"/>
  <c r="O16" i="4"/>
  <c r="J17" i="4"/>
  <c r="K17" i="4"/>
  <c r="L17" i="4"/>
  <c r="M17" i="4"/>
  <c r="N17" i="4"/>
  <c r="O17" i="4"/>
  <c r="J18" i="4"/>
  <c r="K18" i="4"/>
  <c r="L18" i="4"/>
  <c r="M18" i="4"/>
  <c r="N18" i="4"/>
  <c r="O18" i="4"/>
  <c r="J19" i="4"/>
  <c r="K19" i="4"/>
  <c r="L19" i="4"/>
  <c r="M19" i="4"/>
  <c r="N19" i="4"/>
  <c r="O19" i="4"/>
  <c r="J20" i="4"/>
  <c r="K20" i="4"/>
  <c r="L20" i="4"/>
  <c r="M20" i="4"/>
  <c r="N20" i="4"/>
  <c r="O20" i="4"/>
  <c r="J21" i="4"/>
  <c r="K21" i="4"/>
  <c r="L21" i="4"/>
  <c r="M21" i="4"/>
  <c r="N21" i="4"/>
  <c r="O21" i="4"/>
  <c r="J22" i="4"/>
  <c r="K22" i="4"/>
  <c r="L22" i="4"/>
  <c r="M22" i="4"/>
  <c r="N22" i="4"/>
  <c r="O22" i="4"/>
  <c r="J23" i="4"/>
  <c r="K23" i="4"/>
  <c r="L23" i="4"/>
  <c r="M23" i="4"/>
  <c r="N23" i="4"/>
  <c r="O23" i="4"/>
  <c r="J24" i="4"/>
  <c r="K24" i="4"/>
  <c r="L24" i="4"/>
  <c r="M24" i="4"/>
  <c r="N24" i="4"/>
  <c r="O24" i="4"/>
  <c r="J25" i="4"/>
  <c r="K25" i="4"/>
  <c r="L25" i="4"/>
  <c r="M25" i="4"/>
  <c r="N25" i="4"/>
  <c r="O25" i="4"/>
  <c r="J26" i="4"/>
  <c r="K26" i="4"/>
  <c r="L26" i="4"/>
  <c r="M26" i="4"/>
  <c r="N26" i="4"/>
  <c r="O26" i="4"/>
  <c r="J27" i="4"/>
  <c r="K27" i="4"/>
  <c r="L27" i="4"/>
  <c r="M27" i="4"/>
  <c r="N27" i="4"/>
  <c r="O27" i="4"/>
  <c r="J28" i="4"/>
  <c r="K28" i="4"/>
  <c r="L28" i="4"/>
  <c r="M28" i="4"/>
  <c r="N28" i="4"/>
  <c r="O28" i="4"/>
  <c r="J29" i="4"/>
  <c r="K29" i="4"/>
  <c r="L29" i="4"/>
  <c r="M29" i="4"/>
  <c r="N29" i="4"/>
  <c r="O29" i="4"/>
  <c r="J30" i="4"/>
  <c r="K30" i="4"/>
  <c r="L30" i="4"/>
  <c r="M30" i="4"/>
  <c r="N30" i="4"/>
  <c r="O30" i="4"/>
  <c r="J31" i="4"/>
  <c r="K31" i="4"/>
  <c r="L31" i="4"/>
  <c r="M31" i="4"/>
  <c r="N31" i="4"/>
  <c r="O31" i="4"/>
  <c r="J32" i="4"/>
  <c r="K32" i="4"/>
  <c r="L32" i="4"/>
  <c r="M32" i="4"/>
  <c r="N32" i="4"/>
  <c r="O32" i="4"/>
  <c r="J33" i="4"/>
  <c r="K33" i="4"/>
  <c r="L33" i="4"/>
  <c r="M33" i="4"/>
  <c r="N33" i="4"/>
  <c r="O33" i="4"/>
  <c r="J34" i="4"/>
  <c r="K34" i="4"/>
  <c r="L34" i="4"/>
  <c r="M34" i="4"/>
  <c r="N34" i="4"/>
  <c r="O34" i="4"/>
  <c r="J35" i="4"/>
  <c r="K35" i="4"/>
  <c r="L35" i="4"/>
  <c r="M35" i="4"/>
  <c r="N35" i="4"/>
  <c r="O35" i="4"/>
  <c r="J36" i="4"/>
  <c r="K36" i="4"/>
  <c r="L36" i="4"/>
  <c r="M36" i="4"/>
  <c r="N36" i="4"/>
  <c r="O36" i="4"/>
  <c r="J37" i="4"/>
  <c r="K37" i="4"/>
  <c r="L37" i="4"/>
  <c r="M37" i="4"/>
  <c r="N37" i="4"/>
  <c r="O37" i="4"/>
  <c r="J38" i="4"/>
  <c r="K38" i="4"/>
  <c r="L38" i="4"/>
  <c r="M38" i="4"/>
  <c r="N38" i="4"/>
  <c r="O38" i="4"/>
  <c r="J39" i="4"/>
  <c r="K39" i="4"/>
  <c r="L39" i="4"/>
  <c r="M39" i="4"/>
  <c r="N39" i="4"/>
  <c r="O39" i="4"/>
  <c r="J40" i="4"/>
  <c r="K40" i="4"/>
  <c r="L40" i="4"/>
  <c r="M40" i="4"/>
  <c r="N40" i="4"/>
  <c r="O40" i="4"/>
  <c r="J41" i="4"/>
  <c r="K41" i="4"/>
  <c r="L41" i="4"/>
  <c r="M41" i="4"/>
  <c r="N41" i="4"/>
  <c r="O41" i="4"/>
  <c r="J42" i="4"/>
  <c r="K42" i="4"/>
  <c r="L42" i="4"/>
  <c r="M42" i="4"/>
  <c r="N42" i="4"/>
  <c r="O42" i="4"/>
  <c r="J43" i="4"/>
  <c r="K43" i="4"/>
  <c r="L43" i="4"/>
  <c r="M43" i="4"/>
  <c r="N43" i="4"/>
  <c r="O43" i="4"/>
  <c r="J44" i="4"/>
  <c r="K44" i="4"/>
  <c r="L44" i="4"/>
  <c r="M44" i="4"/>
  <c r="N44" i="4"/>
  <c r="O44" i="4"/>
  <c r="J45" i="4"/>
  <c r="K45" i="4"/>
  <c r="L45" i="4"/>
  <c r="M45" i="4"/>
  <c r="N45" i="4"/>
  <c r="O45" i="4"/>
  <c r="J46" i="4"/>
  <c r="K46" i="4"/>
  <c r="L46" i="4"/>
  <c r="M46" i="4"/>
  <c r="N46" i="4"/>
  <c r="O46" i="4"/>
  <c r="J47" i="4"/>
  <c r="K47" i="4"/>
  <c r="L47" i="4"/>
  <c r="M47" i="4"/>
  <c r="N47" i="4"/>
  <c r="O47" i="4"/>
  <c r="J48" i="4"/>
  <c r="K48" i="4"/>
  <c r="L48" i="4"/>
  <c r="M48" i="4"/>
  <c r="N48" i="4"/>
  <c r="O48" i="4"/>
  <c r="J49" i="4"/>
  <c r="K49" i="4"/>
  <c r="L49" i="4"/>
  <c r="M49" i="4"/>
  <c r="N49" i="4"/>
  <c r="O49" i="4"/>
  <c r="J50" i="4"/>
  <c r="K50" i="4"/>
  <c r="L50" i="4"/>
  <c r="M50" i="4"/>
  <c r="N50" i="4"/>
  <c r="O50" i="4"/>
  <c r="J51" i="4"/>
  <c r="K51" i="4"/>
  <c r="L51" i="4"/>
  <c r="M51" i="4"/>
  <c r="N51" i="4"/>
  <c r="O51" i="4"/>
  <c r="J52" i="4"/>
  <c r="K52" i="4"/>
  <c r="L52" i="4"/>
  <c r="M52" i="4"/>
  <c r="N52" i="4"/>
  <c r="O52" i="4"/>
  <c r="J53" i="4"/>
  <c r="K53" i="4"/>
  <c r="L53" i="4"/>
  <c r="M53" i="4"/>
  <c r="N53" i="4"/>
  <c r="O53" i="4"/>
  <c r="J54" i="4"/>
  <c r="K54" i="4"/>
  <c r="L54" i="4"/>
  <c r="M54" i="4"/>
  <c r="N54" i="4"/>
  <c r="O54" i="4"/>
  <c r="J55" i="4"/>
  <c r="K55" i="4"/>
  <c r="L55" i="4"/>
  <c r="M55" i="4"/>
  <c r="N55" i="4"/>
  <c r="O55" i="4"/>
  <c r="J56" i="4"/>
  <c r="K56" i="4"/>
  <c r="L56" i="4"/>
  <c r="M56" i="4"/>
  <c r="N56" i="4"/>
  <c r="O56" i="4"/>
  <c r="J57" i="4"/>
  <c r="K57" i="4"/>
  <c r="L57" i="4"/>
  <c r="M57" i="4"/>
  <c r="N57" i="4"/>
  <c r="O57" i="4"/>
  <c r="J58" i="4"/>
  <c r="K58" i="4"/>
  <c r="L58" i="4"/>
  <c r="M58" i="4"/>
  <c r="N58" i="4"/>
  <c r="O58" i="4"/>
  <c r="J59" i="4"/>
  <c r="K59" i="4"/>
  <c r="L59" i="4"/>
  <c r="M59" i="4"/>
  <c r="N59" i="4"/>
  <c r="O59" i="4"/>
  <c r="J60" i="4"/>
  <c r="K60" i="4"/>
  <c r="L60" i="4"/>
  <c r="M60" i="4"/>
  <c r="N60" i="4"/>
  <c r="O60" i="4"/>
  <c r="J61" i="4"/>
  <c r="K61" i="4"/>
  <c r="L61" i="4"/>
  <c r="M61" i="4"/>
  <c r="N61" i="4"/>
  <c r="O61" i="4"/>
  <c r="J62" i="4"/>
  <c r="K62" i="4"/>
  <c r="L62" i="4"/>
  <c r="M62" i="4"/>
  <c r="N62" i="4"/>
  <c r="O62" i="4"/>
  <c r="J63" i="4"/>
  <c r="K63" i="4"/>
  <c r="L63" i="4"/>
  <c r="M63" i="4"/>
  <c r="N63" i="4"/>
  <c r="O63" i="4"/>
  <c r="J64" i="4"/>
  <c r="K64" i="4"/>
  <c r="L64" i="4"/>
  <c r="M64" i="4"/>
  <c r="N64" i="4"/>
  <c r="O64" i="4"/>
  <c r="J65" i="4"/>
  <c r="K65" i="4"/>
  <c r="L65" i="4"/>
  <c r="M65" i="4"/>
  <c r="N65" i="4"/>
  <c r="O65" i="4"/>
  <c r="J66" i="4"/>
  <c r="K66" i="4"/>
  <c r="L66" i="4"/>
  <c r="M66" i="4"/>
  <c r="N66" i="4"/>
  <c r="O66" i="4"/>
  <c r="J67" i="4"/>
  <c r="K67" i="4"/>
  <c r="L67" i="4"/>
  <c r="M67" i="4"/>
  <c r="N67" i="4"/>
  <c r="O67" i="4"/>
  <c r="J68" i="4"/>
  <c r="K68" i="4"/>
  <c r="L68" i="4"/>
  <c r="M68" i="4"/>
  <c r="N68" i="4"/>
  <c r="O68" i="4"/>
  <c r="J69" i="4"/>
  <c r="K69" i="4"/>
  <c r="L69" i="4"/>
  <c r="M69" i="4"/>
  <c r="N69" i="4"/>
  <c r="O69" i="4"/>
  <c r="J70" i="4"/>
  <c r="K70" i="4"/>
  <c r="L70" i="4"/>
  <c r="M70" i="4"/>
  <c r="N70" i="4"/>
  <c r="O70" i="4"/>
  <c r="J71" i="4"/>
  <c r="K71" i="4"/>
  <c r="L71" i="4"/>
  <c r="M71" i="4"/>
  <c r="N71" i="4"/>
  <c r="O71" i="4"/>
  <c r="J72" i="4"/>
  <c r="K72" i="4"/>
  <c r="L72" i="4"/>
  <c r="M72" i="4"/>
  <c r="N72" i="4"/>
  <c r="O72" i="4"/>
  <c r="J73" i="4"/>
  <c r="K73" i="4"/>
  <c r="L73" i="4"/>
  <c r="M73" i="4"/>
  <c r="N73" i="4"/>
  <c r="O73" i="4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O85" i="4"/>
  <c r="J86" i="4"/>
  <c r="K86" i="4"/>
  <c r="L86" i="4"/>
  <c r="M86" i="4"/>
  <c r="N86" i="4"/>
  <c r="O86" i="4"/>
  <c r="J87" i="4"/>
  <c r="K87" i="4"/>
  <c r="L87" i="4"/>
  <c r="M87" i="4"/>
  <c r="N87" i="4"/>
  <c r="O87" i="4"/>
  <c r="J88" i="4"/>
  <c r="K88" i="4"/>
  <c r="L88" i="4"/>
  <c r="M88" i="4"/>
  <c r="N88" i="4"/>
  <c r="O88" i="4"/>
  <c r="J89" i="4"/>
  <c r="K89" i="4"/>
  <c r="L89" i="4"/>
  <c r="M89" i="4"/>
  <c r="N89" i="4"/>
  <c r="O89" i="4"/>
  <c r="J90" i="4"/>
  <c r="K90" i="4"/>
  <c r="L90" i="4"/>
  <c r="M90" i="4"/>
  <c r="N90" i="4"/>
  <c r="O90" i="4"/>
  <c r="J91" i="4"/>
  <c r="K91" i="4"/>
  <c r="L91" i="4"/>
  <c r="M91" i="4"/>
  <c r="N91" i="4"/>
  <c r="O91" i="4"/>
  <c r="J92" i="4"/>
  <c r="K92" i="4"/>
  <c r="L92" i="4"/>
  <c r="M92" i="4"/>
  <c r="N92" i="4"/>
  <c r="O92" i="4"/>
  <c r="J93" i="4"/>
  <c r="K93" i="4"/>
  <c r="L93" i="4"/>
  <c r="M93" i="4"/>
  <c r="N93" i="4"/>
  <c r="O93" i="4"/>
  <c r="J94" i="4"/>
  <c r="K94" i="4"/>
  <c r="L94" i="4"/>
  <c r="M94" i="4"/>
  <c r="N94" i="4"/>
  <c r="O94" i="4"/>
  <c r="J95" i="4"/>
  <c r="K95" i="4"/>
  <c r="L95" i="4"/>
  <c r="M95" i="4"/>
  <c r="N95" i="4"/>
  <c r="O95" i="4"/>
  <c r="J96" i="4"/>
  <c r="K96" i="4"/>
  <c r="L96" i="4"/>
  <c r="M96" i="4"/>
  <c r="N96" i="4"/>
  <c r="O96" i="4"/>
  <c r="J97" i="4"/>
  <c r="K97" i="4"/>
  <c r="L97" i="4"/>
  <c r="M97" i="4"/>
  <c r="N97" i="4"/>
  <c r="O97" i="4"/>
  <c r="J98" i="4"/>
  <c r="K98" i="4"/>
  <c r="L98" i="4"/>
  <c r="M98" i="4"/>
  <c r="N98" i="4"/>
  <c r="O98" i="4"/>
  <c r="J99" i="4"/>
  <c r="K99" i="4"/>
  <c r="L99" i="4"/>
  <c r="M99" i="4"/>
  <c r="N99" i="4"/>
  <c r="O99" i="4"/>
  <c r="J100" i="4"/>
  <c r="K100" i="4"/>
  <c r="L100" i="4"/>
  <c r="M100" i="4"/>
  <c r="N100" i="4"/>
  <c r="O100" i="4"/>
  <c r="J101" i="4"/>
  <c r="K101" i="4"/>
  <c r="L101" i="4"/>
  <c r="M101" i="4"/>
  <c r="N101" i="4"/>
  <c r="O101" i="4"/>
  <c r="J102" i="4"/>
  <c r="K102" i="4"/>
  <c r="L102" i="4"/>
  <c r="M102" i="4"/>
  <c r="N102" i="4"/>
  <c r="O102" i="4"/>
  <c r="K3" i="4"/>
  <c r="L3" i="4"/>
  <c r="M3" i="4"/>
  <c r="N3" i="4"/>
  <c r="O3" i="4"/>
  <c r="J3" i="4"/>
  <c r="D112" i="3"/>
  <c r="D111" i="3"/>
  <c r="C108" i="3"/>
  <c r="F109" i="3"/>
  <c r="F108" i="3"/>
  <c r="Y3" i="2" a="1"/>
  <c r="Y3" i="2"/>
  <c r="Q3" i="2" a="1"/>
  <c r="Q3" i="2"/>
  <c r="I3" i="2" a="1"/>
  <c r="I3" i="2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G3" i="4"/>
  <c r="F3" i="4"/>
  <c r="E3" i="4"/>
  <c r="D3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<sst xmlns="http://schemas.openxmlformats.org/spreadsheetml/2006/main" count="2803" uniqueCount="365">
  <si>
    <t> validate data</t>
  </si>
  <si>
    <t> handle missing/inconsistent data</t>
  </si>
  <si>
    <t xml:space="preserve">Count </t>
  </si>
  <si>
    <t>Sum</t>
  </si>
  <si>
    <t>Vlookup</t>
  </si>
  <si>
    <t>Row Labels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</si>
  <si>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</si>
  <si>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</si>
  <si>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</si>
  <si>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</si>
  <si>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</si>
  <si>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</si>
  <si>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</si>
  <si>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</si>
  <si>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</si>
  <si>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</si>
  <si>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</si>
  <si>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</si>
  <si>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Grand Total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</si>
  <si>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</si>
  <si>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</si>
  <si>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</si>
  <si>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</si>
  <si>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</si>
  <si>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</si>
  <si>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</si>
  <si>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</si>
  <si>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</si>
  <si>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</si>
  <si>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</si>
  <si>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</si>
  <si>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</si>
  <si>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</si>
  <si>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</si>
  <si>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</si>
  <si>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</si>
  <si>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</si>
  <si>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</si>
  <si>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</si>
  <si>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</si>
  <si>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</si>
  <si>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</si>
  <si>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</si>
  <si>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</si>
  <si>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</si>
  <si>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</si>
  <si>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</si>
  <si>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</si>
  <si>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</si>
  <si>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</si>
  <si>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</si>
  <si>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</si>
  <si>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</si>
  <si>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</si>
  <si>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</si>
  <si>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</si>
  <si>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</si>
  <si>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</si>
  <si>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</si>
  <si>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</si>
  <si>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</si>
  <si>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</si>
  <si>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</si>
  <si>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</si>
  <si>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</si>
  <si>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</si>
  <si>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</si>
  <si>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</si>
  <si>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</si>
  <si>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</si>
  <si>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</si>
  <si>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</si>
  <si>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</si>
  <si>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</si>
  <si>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</si>
  <si>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</si>
  <si>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</si>
  <si>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</si>
  <si>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</si>
  <si>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</si>
  <si>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</si>
  <si>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</si>
  <si>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</si>
  <si>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</si>
  <si>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</si>
  <si>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</si>
  <si>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</si>
  <si>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</si>
  <si>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</si>
  <si>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</si>
  <si>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</si>
  <si>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</si>
  <si>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</si>
  <si>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</si>
  <si>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</si>
  <si>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</si>
  <si>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</si>
  <si>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</si>
  <si>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</si>
  <si>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</si>
  <si>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</si>
  <si>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</si>
  <si>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</si>
  <si>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</si>
  <si>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</si>
  <si>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</si>
  <si>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</si>
  <si>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</si>
  <si>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</si>
  <si>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</si>
  <si>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</si>
  <si>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</si>
  <si>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</si>
  <si>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</si>
  <si>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</si>
  <si>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</si>
  <si>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</si>
  <si>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</si>
  <si>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</si>
  <si>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</si>
  <si>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</si>
  <si>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</si>
  <si>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</si>
  <si>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</si>
  <si>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</si>
  <si>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</si>
  <si>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</si>
  <si>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</si>
  <si>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</si>
  <si>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</si>
  <si>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</si>
  <si>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</si>
  <si>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</si>
  <si>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</si>
  <si>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</si>
  <si>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</si>
  <si>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</si>
  <si>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</si>
  <si>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</si>
  <si>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</si>
  <si>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</si>
  <si>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</si>
  <si>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</si>
  <si>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</si>
  <si>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</si>
  <si>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</si>
  <si>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</si>
  <si>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</si>
  <si>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</si>
  <si>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</si>
  <si>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</si>
  <si>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</si>
  <si>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</si>
  <si>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</si>
  <si>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</si>
  <si>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</si>
  <si>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</si>
  <si>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</si>
  <si>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</si>
  <si>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</si>
  <si>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</si>
  <si>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</si>
  <si>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</si>
  <si>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</si>
  <si>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</si>
  <si>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</si>
  <si>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</si>
  <si>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</si>
  <si>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</si>
  <si>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</si>
  <si>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</si>
  <si>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</si>
  <si>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</si>
  <si>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</si>
  <si>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</si>
  <si>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</si>
  <si>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</si>
  <si>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</si>
  <si>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</si>
  <si>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</si>
  <si>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</si>
  <si>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</si>
  <si>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</si>
  <si>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</si>
  <si>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</si>
  <si>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</si>
  <si>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</si>
  <si>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</si>
  <si>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</si>
  <si>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</si>
  <si>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</si>
  <si>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</si>
  <si>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</si>
  <si>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</si>
  <si>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</si>
  <si>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</si>
  <si>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</si>
  <si>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</si>
  <si>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</si>
  <si>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</si>
  <si>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</si>
  <si>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</si>
  <si>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</si>
  <si>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</si>
  <si>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</si>
  <si>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</si>
  <si>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</si>
  <si>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</si>
  <si>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</si>
  <si>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</si>
  <si>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</si>
  <si>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</si>
  <si>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</si>
  <si>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</si>
  <si>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</si>
  <si>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</si>
  <si>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</si>
  <si>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</si>
  <si>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</si>
  <si>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</si>
  <si>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</si>
  <si>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</si>
  <si>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</si>
  <si>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</si>
  <si>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</si>
  <si>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</si>
  <si>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</si>
  <si>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</si>
  <si>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</si>
  <si>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</si>
  <si>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</si>
  <si>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</si>
  <si>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</si>
  <si>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</si>
  <si>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</si>
  <si>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</si>
  <si>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</si>
  <si>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</si>
  <si>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</si>
  <si>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</si>
  <si>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</si>
  <si>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</si>
  <si>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</si>
  <si>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</si>
  <si>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</si>
  <si>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</si>
  <si>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</si>
  <si>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</si>
  <si>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</si>
  <si>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</si>
  <si>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</si>
  <si>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</si>
  <si>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</si>
  <si>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</si>
  <si>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</si>
  <si>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</si>
  <si>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</si>
  <si>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</si>
  <si>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</si>
  <si>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</si>
  <si>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</si>
  <si>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</si>
  <si>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</si>
  <si>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</si>
  <si>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</si>
  <si>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</si>
  <si>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</si>
  <si>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</si>
  <si>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</si>
  <si>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</si>
  <si>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</si>
  <si>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</si>
  <si>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</si>
  <si>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</si>
  <si>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</si>
  <si>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</si>
  <si>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</si>
  <si>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</si>
  <si>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</si>
  <si>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</si>
  <si>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</si>
  <si>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</si>
  <si>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</si>
  <si>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</si>
  <si>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</si>
  <si>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</si>
  <si>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</si>
  <si>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</si>
  <si>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</si>
  <si>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</si>
  <si>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</si>
  <si>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</si>
  <si>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</si>
  <si>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</si>
  <si>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</si>
  <si>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</si>
  <si>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</si>
  <si>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</si>
  <si>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</si>
  <si>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</si>
  <si>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</si>
  <si>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</si>
  <si>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</si>
  <si>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</si>
  <si>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</si>
  <si>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</si>
  <si>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</si>
  <si>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</si>
  <si>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</si>
  <si>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</si>
  <si>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</si>
  <si>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</si>
  <si>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</si>
  <si>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</si>
  <si>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</si>
  <si>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</si>
  <si>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</si>
  <si>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</si>
  <si>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</si>
  <si>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</si>
  <si>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</si>
  <si>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</si>
  <si>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</si>
  <si>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</si>
  <si>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</si>
  <si>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</si>
  <si>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</si>
  <si>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</si>
  <si>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</si>
  <si>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</si>
  <si>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</si>
  <si>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</si>
  <si>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</si>
  <si>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</si>
  <si>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</si>
  <si>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</si>
  <si>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</si>
  <si>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</si>
  <si>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</si>
  <si>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</si>
  <si>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</si>
  <si>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</si>
  <si>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</si>
  <si>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</si>
  <si>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</si>
  <si>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</si>
  <si>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</si>
  <si>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</si>
  <si>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</si>
  <si>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</si>
  <si>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</si>
  <si>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</si>
  <si>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</si>
  <si>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</si>
  <si>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Average</t>
  </si>
  <si>
    <t>Running Total</t>
  </si>
  <si>
    <t>Column8</t>
  </si>
  <si>
    <t>PROD3</t>
  </si>
  <si>
    <t>PROD16</t>
  </si>
  <si>
    <t>find/remove duplicates - No duplicate / 1 replaced</t>
  </si>
  <si>
    <t>Sum of Cost</t>
  </si>
  <si>
    <t>Sum of Stock</t>
  </si>
  <si>
    <t>Avg of Cost</t>
  </si>
  <si>
    <t>Avg of Stock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</si>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</sst>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theme="7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 tint="0.39997558519241921"/>
      </left>
      <right/>
      <top style="double">
        <color theme="7"/>
      </top>
      <bottom style="thin">
        <color theme="7" tint="0.39997558519241921"/>
      </bottom>
      <diagonal/>
    </border>
    <border>
      <left/>
      <right/>
      <top style="double">
        <color theme="7"/>
      </top>
      <bottom style="thin">
        <color theme="7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7" tint="0.3999755851924192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theme="7" tint="0.39997558519241921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theme="7" tint="0.3999755851924192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0" fontId="3" fillId="4" borderId="0" xfId="0" applyFont="1" applyFill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3" borderId="0" xfId="0" applyFont="1" applyFill="1" applyAlignment="1"/>
    <xf numFmtId="1" fontId="1" fillId="0" borderId="4" xfId="0" applyNumberFormat="1" applyFont="1" applyBorder="1"/>
    <xf numFmtId="1" fontId="1" fillId="0" borderId="3" xfId="0" applyNumberFormat="1" applyFont="1" applyBorder="1"/>
    <xf numFmtId="0" fontId="7" fillId="6" borderId="12" xfId="0" applyFont="1" applyFill="1" applyBorder="1" applyAlignment="1">
      <alignment horizontal="center" vertical="top"/>
    </xf>
    <xf numFmtId="0" fontId="0" fillId="2" borderId="12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7" fillId="6" borderId="1" xfId="0" applyFont="1" applyFill="1" applyBorder="1" applyAlignment="1">
      <alignment horizontal="center" vertical="top"/>
    </xf>
    <xf numFmtId="0" fontId="7" fillId="6" borderId="14" xfId="0" applyFont="1" applyFill="1" applyBorder="1" applyAlignment="1">
      <alignment horizontal="center" vertical="top"/>
    </xf>
    <xf numFmtId="0" fontId="0" fillId="0" borderId="0" xfId="0" applyNumberFormat="1"/>
    <xf numFmtId="0" fontId="6" fillId="0" borderId="1" xfId="0" applyFont="1" applyFill="1" applyBorder="1" applyAlignment="1">
      <alignment horizontal="centerContinuous"/>
    </xf>
    <xf numFmtId="0" fontId="0" fillId="0" borderId="1" xfId="0" applyFill="1" applyBorder="1" applyAlignment="1"/>
  </cellXfs>
  <cellStyles count="1">
    <cellStyle name="Normal" xfId="0" builtinId="0"/>
  </cellStyles>
  <dxfs count="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- Product_Dim Assignment 1 - Copy.xlsx]pivot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Cost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3255.41</c:v>
                </c:pt>
                <c:pt idx="1">
                  <c:v>3985.99</c:v>
                </c:pt>
                <c:pt idx="2">
                  <c:v>6647.66</c:v>
                </c:pt>
                <c:pt idx="3">
                  <c:v>4696.12</c:v>
                </c:pt>
                <c:pt idx="4">
                  <c:v>5294.9199999999992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2-4EAC-8B55-AE1D4137E3C5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Stock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2-4EAC-8B55-AE1D4137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190384"/>
        <c:axId val="1823174544"/>
      </c:lineChart>
      <c:catAx>
        <c:axId val="1823190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74544"/>
        <c:crosses val="autoZero"/>
        <c:auto val="1"/>
        <c:lblAlgn val="ctr"/>
        <c:lblOffset val="100"/>
        <c:noMultiLvlLbl val="0"/>
      </c:catAx>
      <c:valAx>
        <c:axId val="1823174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'●Data visualization'!#REF!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'●Data visualization'!#REF!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'●Data visualization'!#REF!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005-431E-8198-7983F725CB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gapDepth val="52"/>
        <c:shape val="box"/>
        <c:axId val="20206943"/>
        <c:axId val="20195039"/>
        <c:axId val="0"/>
      </c:bar3DChart>
      <c:catAx>
        <c:axId val="202069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039"/>
        <c:crosses val="autoZero"/>
        <c:auto val="1"/>
        <c:lblAlgn val="ctr"/>
        <c:lblOffset val="100"/>
        <c:noMultiLvlLbl val="0"/>
      </c:catAx>
      <c:valAx>
        <c:axId val="201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'●Data visualization'!#REF!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'●Data visualization'!#REF!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'●Data visualization'!#REF!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E99-4C82-B155-50384652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1791"/>
        <c:axId val="32872287"/>
      </c:areaChart>
      <c:catAx>
        <c:axId val="3287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2287"/>
        <c:crosses val="autoZero"/>
        <c:auto val="1"/>
        <c:lblAlgn val="ctr"/>
        <c:lblOffset val="100"/>
        <c:noMultiLvlLbl val="0"/>
      </c:catAx>
      <c:valAx>
        <c:axId val="32872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'●Data visualization'!$K$1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'●Data visualization'!$H$2:$J$21</c:f>
              <c:multiLvlStrCache>
                <c:ptCount val="20"/>
                <c:lvl>
                  <c:pt idx="0">
                    <c:v>Hunt Inc</c:v>
                  </c:pt>
                  <c:pt idx="1">
                    <c:v>Terry-Moore</c:v>
                  </c:pt>
                  <c:pt idx="2">
                    <c:v>Sims Inc</c:v>
                  </c:pt>
                  <c:pt idx="3">
                    <c:v>Pineda Ltd</c:v>
                  </c:pt>
                  <c:pt idx="4">
                    <c:v>Gonzales-Davis</c:v>
                  </c:pt>
                  <c:pt idx="5">
                    <c:v>Baldwin, Garza and Gonzalez</c:v>
                  </c:pt>
                  <c:pt idx="6">
                    <c:v>Davidson PLC</c:v>
                  </c:pt>
                  <c:pt idx="7">
                    <c:v>Harrell LLC</c:v>
                  </c:pt>
                  <c:pt idx="8">
                    <c:v>Perez-Johnston</c:v>
                  </c:pt>
                  <c:pt idx="9">
                    <c:v>Hill PLC</c:v>
                  </c:pt>
                  <c:pt idx="10">
                    <c:v>Hamilton Group</c:v>
                  </c:pt>
                  <c:pt idx="11">
                    <c:v>Gibson, Hobbs and Weaver</c:v>
                  </c:pt>
                  <c:pt idx="12">
                    <c:v>Rice LLC</c:v>
                  </c:pt>
                  <c:pt idx="13">
                    <c:v>Dawson-Perkins</c:v>
                  </c:pt>
                  <c:pt idx="14">
                    <c:v>Luna, Anderson and Bowman</c:v>
                  </c:pt>
                  <c:pt idx="15">
                    <c:v>Thomas LLC</c:v>
                  </c:pt>
                  <c:pt idx="16">
                    <c:v>Erickson-Green</c:v>
                  </c:pt>
                  <c:pt idx="17">
                    <c:v>Ford, Murphy and Wilson</c:v>
                  </c:pt>
                  <c:pt idx="18">
                    <c:v>Guerra-Hendrix</c:v>
                  </c:pt>
                  <c:pt idx="19">
                    <c:v>May-Reese</c:v>
                  </c:pt>
                </c:lvl>
                <c:lvl>
                  <c:pt idx="0">
                    <c:v>Computer</c:v>
                  </c:pt>
                  <c:pt idx="1">
                    <c:v>Tops</c:v>
                  </c:pt>
                  <c:pt idx="2">
                    <c:v>Outerwear</c:v>
                  </c:pt>
                  <c:pt idx="3">
                    <c:v>Outerwear</c:v>
                  </c:pt>
                  <c:pt idx="4">
                    <c:v>Bottoms</c:v>
                  </c:pt>
                  <c:pt idx="5">
                    <c:v>Accessories</c:v>
                  </c:pt>
                  <c:pt idx="6">
                    <c:v>Skincare</c:v>
                  </c:pt>
                  <c:pt idx="7">
                    <c:v>Lighting</c:v>
                  </c:pt>
                  <c:pt idx="8">
                    <c:v>Audio</c:v>
                  </c:pt>
                  <c:pt idx="9">
                    <c:v>Fitness</c:v>
                  </c:pt>
                  <c:pt idx="10">
                    <c:v>Kitchen</c:v>
                  </c:pt>
                  <c:pt idx="11">
                    <c:v>Accessories</c:v>
                  </c:pt>
                  <c:pt idx="12">
                    <c:v>Haircare</c:v>
                  </c:pt>
                  <c:pt idx="13">
                    <c:v>Accessories</c:v>
                  </c:pt>
                  <c:pt idx="14">
                    <c:v>Decor</c:v>
                  </c:pt>
                  <c:pt idx="15">
                    <c:v>Appliances</c:v>
                  </c:pt>
                  <c:pt idx="16">
                    <c:v>Grooming</c:v>
                  </c:pt>
                  <c:pt idx="17">
                    <c:v>Accessories</c:v>
                  </c:pt>
                  <c:pt idx="18">
                    <c:v>Bottoms</c:v>
                  </c:pt>
                  <c:pt idx="19">
                    <c:v>Equipment</c:v>
                  </c:pt>
                </c:lvl>
                <c:lvl>
                  <c:pt idx="0">
                    <c:v>Electronics</c:v>
                  </c:pt>
                  <c:pt idx="1">
                    <c:v>Clothing</c:v>
                  </c:pt>
                  <c:pt idx="2">
                    <c:v>Clothing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Clothing</c:v>
                  </c:pt>
                  <c:pt idx="6">
                    <c:v>Beauty</c:v>
                  </c:pt>
                  <c:pt idx="7">
                    <c:v>Home</c:v>
                  </c:pt>
                  <c:pt idx="8">
                    <c:v>Electronics</c:v>
                  </c:pt>
                  <c:pt idx="9">
                    <c:v>Sports</c:v>
                  </c:pt>
                  <c:pt idx="10">
                    <c:v>Home</c:v>
                  </c:pt>
                  <c:pt idx="11">
                    <c:v>Electronics</c:v>
                  </c:pt>
                  <c:pt idx="12">
                    <c:v>Beauty</c:v>
                  </c:pt>
                  <c:pt idx="13">
                    <c:v>Electronics</c:v>
                  </c:pt>
                  <c:pt idx="14">
                    <c:v>Home</c:v>
                  </c:pt>
                  <c:pt idx="15">
                    <c:v>Electronics</c:v>
                  </c:pt>
                  <c:pt idx="16">
                    <c:v>Beauty</c:v>
                  </c:pt>
                  <c:pt idx="17">
                    <c:v>Sports</c:v>
                  </c:pt>
                  <c:pt idx="18">
                    <c:v>Clothing</c:v>
                  </c:pt>
                  <c:pt idx="19">
                    <c:v>Sports</c:v>
                  </c:pt>
                </c:lvl>
              </c:multiLvlStrCache>
            </c:multiLvlStrRef>
          </c:cat>
          <c:val>
            <c:numRef>
              <c:f>'●Data visualization'!$K$2:$K$21</c:f>
              <c:numCache>
                <c:formatCode>General</c:formatCode>
                <c:ptCount val="20"/>
                <c:pt idx="0">
                  <c:v>112.42</c:v>
                </c:pt>
                <c:pt idx="1">
                  <c:v>342.56</c:v>
                </c:pt>
                <c:pt idx="3">
                  <c:v>364.67</c:v>
                </c:pt>
                <c:pt idx="4">
                  <c:v>306.45999999999998</c:v>
                </c:pt>
                <c:pt idx="5">
                  <c:v>261</c:v>
                </c:pt>
                <c:pt idx="6">
                  <c:v>312.8</c:v>
                </c:pt>
                <c:pt idx="7">
                  <c:v>218.86</c:v>
                </c:pt>
                <c:pt idx="8">
                  <c:v>439.07</c:v>
                </c:pt>
                <c:pt idx="9">
                  <c:v>495.72</c:v>
                </c:pt>
                <c:pt idx="10">
                  <c:v>298.86</c:v>
                </c:pt>
                <c:pt idx="11">
                  <c:v>449.4</c:v>
                </c:pt>
                <c:pt idx="12">
                  <c:v>115.82</c:v>
                </c:pt>
                <c:pt idx="13">
                  <c:v>242.23</c:v>
                </c:pt>
                <c:pt idx="14">
                  <c:v>48.01</c:v>
                </c:pt>
                <c:pt idx="15">
                  <c:v>465.34</c:v>
                </c:pt>
                <c:pt idx="16">
                  <c:v>337.42</c:v>
                </c:pt>
                <c:pt idx="17">
                  <c:v>144.53</c:v>
                </c:pt>
                <c:pt idx="19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1-4855-AB7E-ABCDBA28C6D2}"/>
            </c:ext>
          </c:extLst>
        </c:ser>
        <c:ser>
          <c:idx val="1"/>
          <c:order val="1"/>
          <c:tx>
            <c:strRef>
              <c:f>'●Data visualization'!$L$1</c:f>
              <c:strCache>
                <c:ptCount val="1"/>
                <c:pt idx="0">
                  <c:v>Stock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'●Data visualization'!$H$2:$J$21</c:f>
              <c:multiLvlStrCache>
                <c:ptCount val="20"/>
                <c:lvl>
                  <c:pt idx="0">
                    <c:v>Hunt Inc</c:v>
                  </c:pt>
                  <c:pt idx="1">
                    <c:v>Terry-Moore</c:v>
                  </c:pt>
                  <c:pt idx="2">
                    <c:v>Sims Inc</c:v>
                  </c:pt>
                  <c:pt idx="3">
                    <c:v>Pineda Ltd</c:v>
                  </c:pt>
                  <c:pt idx="4">
                    <c:v>Gonzales-Davis</c:v>
                  </c:pt>
                  <c:pt idx="5">
                    <c:v>Baldwin, Garza and Gonzalez</c:v>
                  </c:pt>
                  <c:pt idx="6">
                    <c:v>Davidson PLC</c:v>
                  </c:pt>
                  <c:pt idx="7">
                    <c:v>Harrell LLC</c:v>
                  </c:pt>
                  <c:pt idx="8">
                    <c:v>Perez-Johnston</c:v>
                  </c:pt>
                  <c:pt idx="9">
                    <c:v>Hill PLC</c:v>
                  </c:pt>
                  <c:pt idx="10">
                    <c:v>Hamilton Group</c:v>
                  </c:pt>
                  <c:pt idx="11">
                    <c:v>Gibson, Hobbs and Weaver</c:v>
                  </c:pt>
                  <c:pt idx="12">
                    <c:v>Rice LLC</c:v>
                  </c:pt>
                  <c:pt idx="13">
                    <c:v>Dawson-Perkins</c:v>
                  </c:pt>
                  <c:pt idx="14">
                    <c:v>Luna, Anderson and Bowman</c:v>
                  </c:pt>
                  <c:pt idx="15">
                    <c:v>Thomas LLC</c:v>
                  </c:pt>
                  <c:pt idx="16">
                    <c:v>Erickson-Green</c:v>
                  </c:pt>
                  <c:pt idx="17">
                    <c:v>Ford, Murphy and Wilson</c:v>
                  </c:pt>
                  <c:pt idx="18">
                    <c:v>Guerra-Hendrix</c:v>
                  </c:pt>
                  <c:pt idx="19">
                    <c:v>May-Reese</c:v>
                  </c:pt>
                </c:lvl>
                <c:lvl>
                  <c:pt idx="0">
                    <c:v>Computer</c:v>
                  </c:pt>
                  <c:pt idx="1">
                    <c:v>Tops</c:v>
                  </c:pt>
                  <c:pt idx="2">
                    <c:v>Outerwear</c:v>
                  </c:pt>
                  <c:pt idx="3">
                    <c:v>Outerwear</c:v>
                  </c:pt>
                  <c:pt idx="4">
                    <c:v>Bottoms</c:v>
                  </c:pt>
                  <c:pt idx="5">
                    <c:v>Accessories</c:v>
                  </c:pt>
                  <c:pt idx="6">
                    <c:v>Skincare</c:v>
                  </c:pt>
                  <c:pt idx="7">
                    <c:v>Lighting</c:v>
                  </c:pt>
                  <c:pt idx="8">
                    <c:v>Audio</c:v>
                  </c:pt>
                  <c:pt idx="9">
                    <c:v>Fitness</c:v>
                  </c:pt>
                  <c:pt idx="10">
                    <c:v>Kitchen</c:v>
                  </c:pt>
                  <c:pt idx="11">
                    <c:v>Accessories</c:v>
                  </c:pt>
                  <c:pt idx="12">
                    <c:v>Haircare</c:v>
                  </c:pt>
                  <c:pt idx="13">
                    <c:v>Accessories</c:v>
                  </c:pt>
                  <c:pt idx="14">
                    <c:v>Decor</c:v>
                  </c:pt>
                  <c:pt idx="15">
                    <c:v>Appliances</c:v>
                  </c:pt>
                  <c:pt idx="16">
                    <c:v>Grooming</c:v>
                  </c:pt>
                  <c:pt idx="17">
                    <c:v>Accessories</c:v>
                  </c:pt>
                  <c:pt idx="18">
                    <c:v>Bottoms</c:v>
                  </c:pt>
                  <c:pt idx="19">
                    <c:v>Equipment</c:v>
                  </c:pt>
                </c:lvl>
                <c:lvl>
                  <c:pt idx="0">
                    <c:v>Electronics</c:v>
                  </c:pt>
                  <c:pt idx="1">
                    <c:v>Clothing</c:v>
                  </c:pt>
                  <c:pt idx="2">
                    <c:v>Clothing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Clothing</c:v>
                  </c:pt>
                  <c:pt idx="6">
                    <c:v>Beauty</c:v>
                  </c:pt>
                  <c:pt idx="7">
                    <c:v>Home</c:v>
                  </c:pt>
                  <c:pt idx="8">
                    <c:v>Electronics</c:v>
                  </c:pt>
                  <c:pt idx="9">
                    <c:v>Sports</c:v>
                  </c:pt>
                  <c:pt idx="10">
                    <c:v>Home</c:v>
                  </c:pt>
                  <c:pt idx="11">
                    <c:v>Electronics</c:v>
                  </c:pt>
                  <c:pt idx="12">
                    <c:v>Beauty</c:v>
                  </c:pt>
                  <c:pt idx="13">
                    <c:v>Electronics</c:v>
                  </c:pt>
                  <c:pt idx="14">
                    <c:v>Home</c:v>
                  </c:pt>
                  <c:pt idx="15">
                    <c:v>Electronics</c:v>
                  </c:pt>
                  <c:pt idx="16">
                    <c:v>Beauty</c:v>
                  </c:pt>
                  <c:pt idx="17">
                    <c:v>Sports</c:v>
                  </c:pt>
                  <c:pt idx="18">
                    <c:v>Clothing</c:v>
                  </c:pt>
                  <c:pt idx="19">
                    <c:v>Sports</c:v>
                  </c:pt>
                </c:lvl>
              </c:multiLvlStrCache>
            </c:multiLvlStrRef>
          </c:cat>
          <c:val>
            <c:numRef>
              <c:f>'●Data visualization'!$L$2:$L$21</c:f>
              <c:numCache>
                <c:formatCode>General</c:formatCode>
                <c:ptCount val="20"/>
                <c:pt idx="0">
                  <c:v>416</c:v>
                </c:pt>
                <c:pt idx="1">
                  <c:v>181</c:v>
                </c:pt>
                <c:pt idx="2">
                  <c:v>352</c:v>
                </c:pt>
                <c:pt idx="3">
                  <c:v>452</c:v>
                </c:pt>
                <c:pt idx="4">
                  <c:v>487</c:v>
                </c:pt>
                <c:pt idx="5">
                  <c:v>59</c:v>
                </c:pt>
                <c:pt idx="6">
                  <c:v>350</c:v>
                </c:pt>
                <c:pt idx="7">
                  <c:v>170</c:v>
                </c:pt>
                <c:pt idx="8">
                  <c:v>142</c:v>
                </c:pt>
                <c:pt idx="9">
                  <c:v>323</c:v>
                </c:pt>
                <c:pt idx="10">
                  <c:v>308</c:v>
                </c:pt>
                <c:pt idx="12">
                  <c:v>460</c:v>
                </c:pt>
                <c:pt idx="13">
                  <c:v>453</c:v>
                </c:pt>
                <c:pt idx="14">
                  <c:v>439</c:v>
                </c:pt>
                <c:pt idx="15">
                  <c:v>301</c:v>
                </c:pt>
                <c:pt idx="16">
                  <c:v>256</c:v>
                </c:pt>
                <c:pt idx="17">
                  <c:v>367</c:v>
                </c:pt>
                <c:pt idx="18">
                  <c:v>343</c:v>
                </c:pt>
                <c:pt idx="1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1-4855-AB7E-ABCDBA28C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189904"/>
        <c:axId val="1823175984"/>
      </c:lineChart>
      <c:catAx>
        <c:axId val="182318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75984"/>
        <c:crosses val="autoZero"/>
        <c:auto val="1"/>
        <c:lblAlgn val="ctr"/>
        <c:lblOffset val="100"/>
        <c:noMultiLvlLbl val="0"/>
      </c:catAx>
      <c:valAx>
        <c:axId val="1823175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8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'●Data visualization'!$K$1</c:f>
              <c:strCache>
                <c:ptCount val="1"/>
                <c:pt idx="0">
                  <c:v>Cost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yVal>
            <c:numRef>
              <c:f>'●Data visualization'!$K$2:$K$101</c:f>
              <c:numCache>
                <c:formatCode>General</c:formatCode>
                <c:ptCount val="100"/>
                <c:pt idx="0">
                  <c:v>112.42</c:v>
                </c:pt>
                <c:pt idx="1">
                  <c:v>342.56</c:v>
                </c:pt>
                <c:pt idx="3">
                  <c:v>364.67</c:v>
                </c:pt>
                <c:pt idx="4">
                  <c:v>306.45999999999998</c:v>
                </c:pt>
                <c:pt idx="5">
                  <c:v>261</c:v>
                </c:pt>
                <c:pt idx="6">
                  <c:v>312.8</c:v>
                </c:pt>
                <c:pt idx="7">
                  <c:v>218.86</c:v>
                </c:pt>
                <c:pt idx="8">
                  <c:v>439.07</c:v>
                </c:pt>
                <c:pt idx="9">
                  <c:v>495.72</c:v>
                </c:pt>
                <c:pt idx="10">
                  <c:v>298.86</c:v>
                </c:pt>
                <c:pt idx="11">
                  <c:v>449.4</c:v>
                </c:pt>
                <c:pt idx="12">
                  <c:v>115.82</c:v>
                </c:pt>
                <c:pt idx="13">
                  <c:v>242.23</c:v>
                </c:pt>
                <c:pt idx="14">
                  <c:v>48.01</c:v>
                </c:pt>
                <c:pt idx="15">
                  <c:v>465.34</c:v>
                </c:pt>
                <c:pt idx="16">
                  <c:v>337.42</c:v>
                </c:pt>
                <c:pt idx="17">
                  <c:v>144.53</c:v>
                </c:pt>
                <c:pt idx="19">
                  <c:v>21.34</c:v>
                </c:pt>
                <c:pt idx="20">
                  <c:v>131.51</c:v>
                </c:pt>
                <c:pt idx="21">
                  <c:v>123.46</c:v>
                </c:pt>
                <c:pt idx="22">
                  <c:v>484.62</c:v>
                </c:pt>
                <c:pt idx="24">
                  <c:v>166.06</c:v>
                </c:pt>
                <c:pt idx="25">
                  <c:v>174.02</c:v>
                </c:pt>
                <c:pt idx="26">
                  <c:v>322.41000000000003</c:v>
                </c:pt>
                <c:pt idx="28">
                  <c:v>38.76</c:v>
                </c:pt>
                <c:pt idx="29">
                  <c:v>218.48</c:v>
                </c:pt>
                <c:pt idx="30">
                  <c:v>19.52</c:v>
                </c:pt>
                <c:pt idx="31">
                  <c:v>204.39</c:v>
                </c:pt>
                <c:pt idx="32">
                  <c:v>283.83</c:v>
                </c:pt>
                <c:pt idx="33">
                  <c:v>179.77</c:v>
                </c:pt>
                <c:pt idx="34">
                  <c:v>419.28</c:v>
                </c:pt>
                <c:pt idx="35">
                  <c:v>382.22</c:v>
                </c:pt>
                <c:pt idx="36">
                  <c:v>223.43</c:v>
                </c:pt>
                <c:pt idx="37">
                  <c:v>353.47</c:v>
                </c:pt>
                <c:pt idx="38">
                  <c:v>135.61000000000001</c:v>
                </c:pt>
                <c:pt idx="39">
                  <c:v>326.06</c:v>
                </c:pt>
                <c:pt idx="40">
                  <c:v>38.520000000000003</c:v>
                </c:pt>
                <c:pt idx="41">
                  <c:v>313.26</c:v>
                </c:pt>
                <c:pt idx="42">
                  <c:v>450.71</c:v>
                </c:pt>
                <c:pt idx="43">
                  <c:v>253.33</c:v>
                </c:pt>
                <c:pt idx="44">
                  <c:v>167.12</c:v>
                </c:pt>
                <c:pt idx="45">
                  <c:v>318.91000000000003</c:v>
                </c:pt>
                <c:pt idx="46">
                  <c:v>167.34</c:v>
                </c:pt>
                <c:pt idx="48">
                  <c:v>177.98</c:v>
                </c:pt>
                <c:pt idx="49">
                  <c:v>43.29</c:v>
                </c:pt>
                <c:pt idx="50">
                  <c:v>190.29</c:v>
                </c:pt>
                <c:pt idx="51">
                  <c:v>88.49</c:v>
                </c:pt>
                <c:pt idx="52">
                  <c:v>212.26</c:v>
                </c:pt>
                <c:pt idx="53">
                  <c:v>386.56</c:v>
                </c:pt>
                <c:pt idx="54">
                  <c:v>434.84</c:v>
                </c:pt>
                <c:pt idx="55">
                  <c:v>81.75</c:v>
                </c:pt>
                <c:pt idx="56">
                  <c:v>461.47</c:v>
                </c:pt>
                <c:pt idx="57">
                  <c:v>30.62</c:v>
                </c:pt>
                <c:pt idx="58">
                  <c:v>113.83</c:v>
                </c:pt>
                <c:pt idx="59">
                  <c:v>17.309999999999999</c:v>
                </c:pt>
                <c:pt idx="60">
                  <c:v>482.75</c:v>
                </c:pt>
                <c:pt idx="61">
                  <c:v>103.45</c:v>
                </c:pt>
                <c:pt idx="62">
                  <c:v>86.42</c:v>
                </c:pt>
                <c:pt idx="63">
                  <c:v>266.86</c:v>
                </c:pt>
                <c:pt idx="64">
                  <c:v>299.11</c:v>
                </c:pt>
                <c:pt idx="65">
                  <c:v>240.63</c:v>
                </c:pt>
                <c:pt idx="66">
                  <c:v>340.39</c:v>
                </c:pt>
                <c:pt idx="67">
                  <c:v>349.17</c:v>
                </c:pt>
                <c:pt idx="68">
                  <c:v>243.7</c:v>
                </c:pt>
                <c:pt idx="69">
                  <c:v>218.22</c:v>
                </c:pt>
                <c:pt idx="70">
                  <c:v>138.05000000000001</c:v>
                </c:pt>
                <c:pt idx="71">
                  <c:v>214.32</c:v>
                </c:pt>
                <c:pt idx="72">
                  <c:v>477.61</c:v>
                </c:pt>
                <c:pt idx="73">
                  <c:v>107.06</c:v>
                </c:pt>
                <c:pt idx="74">
                  <c:v>403.71</c:v>
                </c:pt>
                <c:pt idx="75">
                  <c:v>158.13999999999999</c:v>
                </c:pt>
                <c:pt idx="76">
                  <c:v>392.89</c:v>
                </c:pt>
                <c:pt idx="77">
                  <c:v>480.9</c:v>
                </c:pt>
                <c:pt idx="78">
                  <c:v>325.26</c:v>
                </c:pt>
                <c:pt idx="79">
                  <c:v>228.53</c:v>
                </c:pt>
                <c:pt idx="80">
                  <c:v>143.43</c:v>
                </c:pt>
                <c:pt idx="81">
                  <c:v>285.54000000000002</c:v>
                </c:pt>
                <c:pt idx="82">
                  <c:v>152.91999999999999</c:v>
                </c:pt>
                <c:pt idx="84">
                  <c:v>388.46</c:v>
                </c:pt>
                <c:pt idx="85">
                  <c:v>119.57</c:v>
                </c:pt>
                <c:pt idx="86">
                  <c:v>176.07</c:v>
                </c:pt>
                <c:pt idx="87">
                  <c:v>371.38</c:v>
                </c:pt>
                <c:pt idx="88">
                  <c:v>131.24</c:v>
                </c:pt>
                <c:pt idx="89">
                  <c:v>183.04</c:v>
                </c:pt>
                <c:pt idx="90">
                  <c:v>340.14</c:v>
                </c:pt>
                <c:pt idx="91">
                  <c:v>438.25</c:v>
                </c:pt>
                <c:pt idx="92">
                  <c:v>447.43</c:v>
                </c:pt>
                <c:pt idx="93">
                  <c:v>377.52</c:v>
                </c:pt>
                <c:pt idx="94">
                  <c:v>358.47</c:v>
                </c:pt>
                <c:pt idx="95">
                  <c:v>60.65</c:v>
                </c:pt>
                <c:pt idx="96">
                  <c:v>358.47</c:v>
                </c:pt>
                <c:pt idx="97">
                  <c:v>245.98</c:v>
                </c:pt>
                <c:pt idx="98">
                  <c:v>431.67</c:v>
                </c:pt>
                <c:pt idx="99">
                  <c:v>201.41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A-4768-B195-9E3BD443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959632"/>
        <c:axId val="2075966832"/>
      </c:scatterChart>
      <c:valAx>
        <c:axId val="20759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66832"/>
        <c:crosses val="autoZero"/>
        <c:crossBetween val="midCat"/>
      </c:valAx>
      <c:valAx>
        <c:axId val="20759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5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'●Data visualization'!$L$1</c:f>
              <c:strCache>
                <c:ptCount val="1"/>
                <c:pt idx="0">
                  <c:v>Stock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'●Data visualization'!$H$2:$H$12</c:f>
              <c:strCache>
                <c:ptCount val="11"/>
                <c:pt idx="0">
                  <c:v>Electronics</c:v>
                </c:pt>
                <c:pt idx="1">
                  <c:v>Clothing</c:v>
                </c:pt>
                <c:pt idx="2">
                  <c:v>Clothing</c:v>
                </c:pt>
                <c:pt idx="3">
                  <c:v>Clothing</c:v>
                </c:pt>
                <c:pt idx="4">
                  <c:v>Clothing</c:v>
                </c:pt>
                <c:pt idx="5">
                  <c:v>Clothing</c:v>
                </c:pt>
                <c:pt idx="6">
                  <c:v>Beauty</c:v>
                </c:pt>
                <c:pt idx="7">
                  <c:v>Home</c:v>
                </c:pt>
                <c:pt idx="8">
                  <c:v>Electronics</c:v>
                </c:pt>
                <c:pt idx="9">
                  <c:v>Sports</c:v>
                </c:pt>
                <c:pt idx="10">
                  <c:v>Home</c:v>
                </c:pt>
              </c:strCache>
            </c:strRef>
          </c:cat>
          <c:val>
            <c:numRef>
              <c:f>'●Data visualization'!$L$2:$L$12</c:f>
              <c:numCache>
                <c:formatCode>General</c:formatCode>
                <c:ptCount val="11"/>
                <c:pt idx="0">
                  <c:v>416</c:v>
                </c:pt>
                <c:pt idx="1">
                  <c:v>181</c:v>
                </c:pt>
                <c:pt idx="2">
                  <c:v>352</c:v>
                </c:pt>
                <c:pt idx="3">
                  <c:v>452</c:v>
                </c:pt>
                <c:pt idx="4">
                  <c:v>487</c:v>
                </c:pt>
                <c:pt idx="5">
                  <c:v>59</c:v>
                </c:pt>
                <c:pt idx="6">
                  <c:v>350</c:v>
                </c:pt>
                <c:pt idx="7">
                  <c:v>170</c:v>
                </c:pt>
                <c:pt idx="8">
                  <c:v>142</c:v>
                </c:pt>
                <c:pt idx="9">
                  <c:v>323</c:v>
                </c:pt>
                <c:pt idx="10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F-40E5-A4B4-351C23C3D6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61912</xdr:rowOff>
    </xdr:from>
    <xdr:to>
      <xdr:col>11</xdr:col>
      <xdr:colOff>314325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4858E-8A7D-2CEC-9DE2-5A96F0251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0</xdr:rowOff>
    </xdr:from>
    <xdr:to>
      <xdr:col>14</xdr:col>
      <xdr:colOff>114300</xdr:colOff>
      <xdr:row>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8C956B-073A-2A9C-A869-AF2227698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0</xdr:row>
      <xdr:rowOff>0</xdr:rowOff>
    </xdr:from>
    <xdr:to>
      <xdr:col>14</xdr:col>
      <xdr:colOff>228600</xdr:colOff>
      <xdr:row>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DE1DCC4-0CDC-3011-6DCA-B3B4DCA7A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190500</xdr:colOff>
      <xdr:row>0</xdr:row>
      <xdr:rowOff>109537</xdr:rowOff>
    </xdr:from>
    <xdr:to>
      <xdr:col>19</xdr:col>
      <xdr:colOff>495300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493D0-F44D-59EA-A7B1-06CC3A17C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104774</xdr:colOff>
      <xdr:row>16</xdr:row>
      <xdr:rowOff>100012</xdr:rowOff>
    </xdr:from>
    <xdr:to>
      <xdr:col>21</xdr:col>
      <xdr:colOff>409575</xdr:colOff>
      <xdr:row>27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26188-C964-BECB-3EAF-C23EA8373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133350</xdr:colOff>
      <xdr:row>29</xdr:row>
      <xdr:rowOff>52387</xdr:rowOff>
    </xdr:from>
    <xdr:to>
      <xdr:col>19</xdr:col>
      <xdr:colOff>438150</xdr:colOff>
      <xdr:row>43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77AFE6-7302-5F50-4708-CCD4DC98A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5.143843634258" createdVersion="8" refreshedVersion="8" minRefreshableVersion="3" recordCount="100" xr:uid="{2B2E60E2-CE73-4CFD-9110-EC4F5FA7084B}">
  <cacheSource type="worksheet">
    <worksheetSource name="table13"/>
  </cacheSource>
  <cacheFields count="7">
    <cacheField name="Product_ID" numFmtId="0">
      <sharedItems count="100">
        <s v="PROD0"/>
        <s v="PROD1"/>
        <s v="PROD2"/>
        <s v="PROD3"/>
        <s v="PROD4"/>
        <s v="PROD5"/>
        <s v="PROD6"/>
        <s v="PROD7"/>
        <s v="PROD8"/>
        <s v="PROD9"/>
        <s v="PROD10"/>
        <s v="PROD11"/>
        <s v="PROD12"/>
        <s v="PROD13"/>
        <s v="PROD14"/>
        <s v="PROD15"/>
        <s v="PROD16"/>
        <s v="PROD17"/>
        <s v="PROD18"/>
        <s v="PROD19"/>
        <s v="PROD20"/>
        <s v="PROD21"/>
        <s v="PROD22"/>
        <s v="PROD23"/>
        <s v="PROD24"/>
        <s v="PROD25"/>
        <s v="PROD26"/>
        <s v="PROD27"/>
        <s v="PROD28"/>
        <s v="PROD29"/>
        <s v="PROD30"/>
        <s v="PROD31"/>
        <s v="PROD32"/>
        <s v="PROD33"/>
        <s v="PROD34"/>
        <s v="PROD35"/>
        <s v="PROD36"/>
        <s v="PROD37"/>
        <s v="PROD38"/>
        <s v="PROD39"/>
        <s v="PROD40"/>
        <s v="PROD41"/>
        <s v="PROD42"/>
        <s v="PROD43"/>
        <s v="PROD44"/>
        <s v="PROD45"/>
        <s v="PROD46"/>
        <s v="PROD47"/>
        <s v="PROD48"/>
        <s v="PROD49"/>
        <s v="PROD50"/>
        <s v="PROD51"/>
        <s v="PROD52"/>
        <s v="PROD53"/>
        <s v="PROD54"/>
        <s v="PROD55"/>
        <s v="PROD56"/>
        <s v="PROD57"/>
        <s v="PROD58"/>
        <s v="PROD59"/>
        <s v="PROD60"/>
        <s v="PROD61"/>
        <s v="PROD62"/>
        <s v="PROD63"/>
        <s v="PROD64"/>
        <s v="PROD65"/>
        <s v="PROD66"/>
        <s v="PROD67"/>
        <s v="PROD68"/>
        <s v="PROD69"/>
        <s v="PROD70"/>
        <s v="PROD71"/>
        <s v="PROD72"/>
        <s v="PROD73"/>
        <s v="PROD74"/>
        <s v="PROD75"/>
        <s v="PROD76"/>
        <s v="PROD77"/>
        <s v="PROD78"/>
        <s v="PROD79"/>
        <s v="PROD80"/>
        <s v="PROD81"/>
        <s v="PROD82"/>
        <s v="PROD83"/>
        <s v="PROD84"/>
        <s v="PROD85"/>
        <s v="PROD86"/>
        <s v="PROD87"/>
        <s v="PROD88"/>
        <s v="PROD89"/>
        <s v="PROD90"/>
        <s v="PROD91"/>
        <s v="PROD92"/>
        <s v="PROD93"/>
        <s v="PROD94"/>
        <s v="PROD95"/>
        <s v="PROD96"/>
        <s v="PROD97"/>
        <s v="PROD98"/>
        <s v="PROD99"/>
      </sharedItems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 count="23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</sharedItems>
    </cacheField>
    <cacheField name="Brand" numFmtId="0">
      <sharedItems count="100">
        <s v="Hunt Inc"/>
        <s v="Terry-Moore"/>
        <s v="Sims Inc"/>
        <s v="Pineda Ltd"/>
        <s v="Gonzales-Davis"/>
        <s v="Baldwin, Garza and Gonzalez"/>
        <s v="Davidson PLC"/>
        <s v="Harrell LLC"/>
        <s v="Perez-Johnston"/>
        <s v="Hill PLC"/>
        <s v="Hamilton Group"/>
        <s v="Gibson, Hobbs and Weaver"/>
        <s v="Rice LLC"/>
        <s v="Dawson-Perkins"/>
        <s v="Luna, Anderson and Bowman"/>
        <s v="Thomas LLC"/>
        <s v="Erickson-Green"/>
        <s v="Ford, Murphy and Wilson"/>
        <s v="Guerra-Hendrix"/>
        <s v="May-Reese"/>
        <s v="Soto-Ellis"/>
        <s v="Gardner-Montes"/>
        <s v="Flores, Pineda and Rodriguez"/>
        <s v="Moon, Mora and Santos"/>
        <s v="Cook Ltd"/>
        <s v="Brown and Sons"/>
        <s v="Reed-Schmidt"/>
        <s v="Khan, Jones and Paul"/>
        <s v="Burns-Hansen"/>
        <s v="Hoffman Group"/>
        <s v="Stevens, Fernandez and Martin"/>
        <s v="Nolan-Snow"/>
        <s v="Griffin Ltd"/>
        <s v="Weiss-Watson"/>
        <s v="Lucero LLC"/>
        <s v="Jones LLC"/>
        <s v="Smith-Mills"/>
        <s v="Hogan-Lee"/>
        <s v="Sims-Smith"/>
        <s v="Cummings and Sons"/>
        <s v="Taylor-Hart"/>
        <s v="Carroll, Long and Mendoza"/>
        <s v="Holmes LLC"/>
        <s v="Robinson Inc"/>
        <s v="Cox Inc"/>
        <s v="Bridges, Banks and Cummings"/>
        <s v="Kelly, Smith and Perez"/>
        <s v="Cook Inc"/>
        <s v="Byrd, Stewart and Valdez"/>
        <s v="Sullivan and Sons"/>
        <s v="Smith-King"/>
        <s v="Bautista, Green and Hale"/>
        <s v="Harris Inc"/>
        <s v="Hamilton, Woods and Walker"/>
        <s v="Thompson-French"/>
        <s v="Hatfield, Baird and Torres"/>
        <s v="Hernandez, Kennedy and Porter"/>
        <s v="Atkinson, Camacho and Oliver"/>
        <s v="Shepherd-Gould"/>
        <s v="Cline-Mccarthy"/>
        <s v="Gibson, Green and Lopez"/>
        <s v="Lopez LLC"/>
        <s v="Murray, Gould and Ware"/>
        <s v="Anderson-Riley"/>
        <s v="Zhang Inc"/>
        <s v="Montgomery, Benton and Miller"/>
        <s v="Torres, Spencer and Potter"/>
        <s v="Flores-Davis"/>
        <s v="Wolfe, Ross and Hester"/>
        <s v="Fitzpatrick Ltd"/>
        <s v="Duran Group"/>
        <s v="Hopkins Ltd"/>
        <s v="Davis PLC"/>
        <s v="French Ltd"/>
        <s v="Bruce-Bowen"/>
        <s v="Poole PLC"/>
        <s v="Larson Ltd"/>
        <s v="White, Reeves and Woods"/>
        <s v="Hernandez Inc"/>
        <s v="Ramirez-Hanson"/>
        <s v="Allison Ltd"/>
        <s v="Robinson-Brown"/>
        <s v="Reese-Watson"/>
        <s v="Butler Group"/>
        <s v="Collins-Stephenson"/>
        <s v="Richardson-Carrillo"/>
        <s v="Taylor, Dodson and Johnston"/>
        <s v="Aguilar, Horton and Lewis"/>
        <s v="Olsen-Daniels"/>
        <s v="Taylor-Elliott"/>
        <s v="Sharp, Taylor and Rodriguez"/>
        <s v="Smith-Charles"/>
        <s v="Green, Powell and Palmer"/>
        <s v="Martin LLC"/>
        <s v="Hoffman-Williams"/>
        <s v="Wilson Group"/>
        <s v="Phillips and Sons"/>
        <s v="Khan LLC"/>
        <s v="Flores-King"/>
        <s v="Campbell Ltd"/>
      </sharedItems>
    </cacheField>
    <cacheField name="Cost" numFmtId="0">
      <sharedItems containsString="0" containsBlank="1" containsNumber="1" minValue="17.309999999999999" maxValue="495.72"/>
    </cacheField>
    <cacheField name="Stock" numFmtId="0">
      <sharedItems containsString="0" containsBlank="1" containsNumber="1" containsInteg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Brother Laser Printer"/>
    <x v="0"/>
    <x v="0"/>
    <x v="0"/>
    <n v="112.42"/>
    <n v="416"/>
  </r>
  <r>
    <x v="1"/>
    <s v="Men's Graphic T-Shirt"/>
    <x v="1"/>
    <x v="1"/>
    <x v="1"/>
    <n v="342.56"/>
    <n v="181"/>
  </r>
  <r>
    <x v="2"/>
    <s v="Women's Casual Hoodie"/>
    <x v="1"/>
    <x v="2"/>
    <x v="2"/>
    <m/>
    <n v="352"/>
  </r>
  <r>
    <x v="3"/>
    <s v="Men's Running Jacket"/>
    <x v="1"/>
    <x v="2"/>
    <x v="3"/>
    <n v="364.67"/>
    <n v="452"/>
  </r>
  <r>
    <x v="4"/>
    <s v="Women's Yoga Pants"/>
    <x v="1"/>
    <x v="3"/>
    <x v="4"/>
    <n v="306.45999999999998"/>
    <n v="487"/>
  </r>
  <r>
    <x v="5"/>
    <s v="Men's Leather Belt"/>
    <x v="1"/>
    <x v="4"/>
    <x v="5"/>
    <n v="261"/>
    <n v="59"/>
  </r>
  <r>
    <x v="6"/>
    <s v="Herbal Face Moisturizer"/>
    <x v="2"/>
    <x v="5"/>
    <x v="6"/>
    <n v="312.8"/>
    <n v="350"/>
  </r>
  <r>
    <x v="7"/>
    <s v="LED Table Lamp"/>
    <x v="3"/>
    <x v="6"/>
    <x v="7"/>
    <n v="218.86"/>
    <n v="170"/>
  </r>
  <r>
    <x v="8"/>
    <s v="Wireless Bluetooth Earbuds"/>
    <x v="0"/>
    <x v="7"/>
    <x v="8"/>
    <n v="439.07"/>
    <n v="142"/>
  </r>
  <r>
    <x v="9"/>
    <s v="Adjustable Dumbbell Set"/>
    <x v="4"/>
    <x v="8"/>
    <x v="9"/>
    <n v="495.72"/>
    <n v="323"/>
  </r>
  <r>
    <x v="10"/>
    <s v="Ceramic Kitchen Bowl Set"/>
    <x v="3"/>
    <x v="9"/>
    <x v="10"/>
    <n v="298.86"/>
    <n v="308"/>
  </r>
  <r>
    <x v="11"/>
    <s v="HD Smart TV Stick"/>
    <x v="0"/>
    <x v="4"/>
    <x v="11"/>
    <n v="449.4"/>
    <m/>
  </r>
  <r>
    <x v="12"/>
    <s v="Hair Strengthening Shampoo"/>
    <x v="2"/>
    <x v="10"/>
    <x v="12"/>
    <n v="115.82"/>
    <n v="460"/>
  </r>
  <r>
    <x v="13"/>
    <s v="USB-C Fast Charger"/>
    <x v="0"/>
    <x v="4"/>
    <x v="13"/>
    <n v="242.23"/>
    <n v="453"/>
  </r>
  <r>
    <x v="14"/>
    <s v="Decorative Wall Mirror"/>
    <x v="3"/>
    <x v="11"/>
    <x v="14"/>
    <n v="48.01"/>
    <n v="439"/>
  </r>
  <r>
    <x v="15"/>
    <s v="4K Home Projector"/>
    <x v="0"/>
    <x v="12"/>
    <x v="15"/>
    <n v="465.34"/>
    <n v="301"/>
  </r>
  <r>
    <x v="16"/>
    <s v="Beard Grooming Kit"/>
    <x v="2"/>
    <x v="13"/>
    <x v="16"/>
    <n v="337.42"/>
    <n v="256"/>
  </r>
  <r>
    <x v="17"/>
    <s v="Soccer Training Cone Set"/>
    <x v="4"/>
    <x v="4"/>
    <x v="17"/>
    <n v="144.53"/>
    <n v="367"/>
  </r>
  <r>
    <x v="18"/>
    <s v="Women's Denim Jeans"/>
    <x v="1"/>
    <x v="3"/>
    <x v="18"/>
    <m/>
    <n v="343"/>
  </r>
  <r>
    <x v="19"/>
    <s v="Knee Support Brace"/>
    <x v="4"/>
    <x v="14"/>
    <x v="19"/>
    <n v="21.34"/>
    <n v="65"/>
  </r>
  <r>
    <x v="20"/>
    <s v="Outdoor Sports Water Bottle"/>
    <x v="4"/>
    <x v="4"/>
    <x v="20"/>
    <n v="131.51"/>
    <m/>
  </r>
  <r>
    <x v="21"/>
    <s v="Multi-Purpose Storage Box"/>
    <x v="3"/>
    <x v="15"/>
    <x v="21"/>
    <n v="123.46"/>
    <n v="76"/>
  </r>
  <r>
    <x v="22"/>
    <s v="Carbon Fiber Tennis Racket"/>
    <x v="4"/>
    <x v="14"/>
    <x v="22"/>
    <n v="484.62"/>
    <n v="432"/>
  </r>
  <r>
    <x v="23"/>
    <s v="Men's Formal Shirt"/>
    <x v="1"/>
    <x v="1"/>
    <x v="23"/>
    <m/>
    <n v="360"/>
  </r>
  <r>
    <x v="24"/>
    <s v="Foldable Camping Chair"/>
    <x v="4"/>
    <x v="16"/>
    <x v="24"/>
    <n v="166.06"/>
    <n v="340"/>
  </r>
  <r>
    <x v="25"/>
    <s v="Women's Scarf Set"/>
    <x v="1"/>
    <x v="4"/>
    <x v="25"/>
    <n v="174.02"/>
    <n v="268"/>
  </r>
  <r>
    <x v="26"/>
    <s v="Wireless Bluetooth Speaker"/>
    <x v="0"/>
    <x v="7"/>
    <x v="26"/>
    <n v="322.41000000000003"/>
    <n v="213"/>
  </r>
  <r>
    <x v="27"/>
    <s v="Decorative Floor Vase"/>
    <x v="3"/>
    <x v="11"/>
    <x v="27"/>
    <m/>
    <n v="378"/>
  </r>
  <r>
    <x v="28"/>
    <s v="Sports Stopwatch Timer"/>
    <x v="4"/>
    <x v="4"/>
    <x v="28"/>
    <n v="38.76"/>
    <n v="137"/>
  </r>
  <r>
    <x v="29"/>
    <s v="Fabric Sofa Throw Blanket"/>
    <x v="3"/>
    <x v="11"/>
    <x v="29"/>
    <n v="218.48"/>
    <n v="276"/>
  </r>
  <r>
    <x v="30"/>
    <s v="Stainless Steel Cutlery Set"/>
    <x v="3"/>
    <x v="9"/>
    <x v="30"/>
    <n v="19.52"/>
    <n v="57"/>
  </r>
  <r>
    <x v="31"/>
    <s v="Basketball"/>
    <x v="4"/>
    <x v="17"/>
    <x v="31"/>
    <n v="204.39"/>
    <n v="281"/>
  </r>
  <r>
    <x v="32"/>
    <s v="Vitamin C Face Serum"/>
    <x v="2"/>
    <x v="5"/>
    <x v="32"/>
    <n v="283.83"/>
    <n v="244"/>
  </r>
  <r>
    <x v="33"/>
    <s v="Modern Wall Clock"/>
    <x v="3"/>
    <x v="11"/>
    <x v="33"/>
    <n v="179.77"/>
    <n v="305"/>
  </r>
  <r>
    <x v="34"/>
    <s v="Gaming Mechanical Keyboard"/>
    <x v="0"/>
    <x v="0"/>
    <x v="34"/>
    <n v="419.28"/>
    <n v="86"/>
  </r>
  <r>
    <x v="35"/>
    <s v="Bedroom Table Lamp"/>
    <x v="3"/>
    <x v="6"/>
    <x v="35"/>
    <n v="382.22"/>
    <n v="329"/>
  </r>
  <r>
    <x v="36"/>
    <s v="Women's Summer Dress"/>
    <x v="1"/>
    <x v="1"/>
    <x v="36"/>
    <n v="223.43"/>
    <n v="154"/>
  </r>
  <r>
    <x v="37"/>
    <s v="Men's Casual Sneakers"/>
    <x v="1"/>
    <x v="18"/>
    <x v="37"/>
    <n v="353.47"/>
    <n v="214"/>
  </r>
  <r>
    <x v="38"/>
    <s v="Sports Water Hydration Pack"/>
    <x v="4"/>
    <x v="16"/>
    <x v="38"/>
    <n v="135.61000000000001"/>
    <n v="394"/>
  </r>
  <r>
    <x v="39"/>
    <s v="Portable Power Bank"/>
    <x v="0"/>
    <x v="19"/>
    <x v="39"/>
    <n v="326.06"/>
    <n v="301"/>
  </r>
  <r>
    <x v="40"/>
    <s v="Noise-Canceling Headphones"/>
    <x v="0"/>
    <x v="7"/>
    <x v="40"/>
    <n v="38.520000000000003"/>
    <n v="378"/>
  </r>
  <r>
    <x v="41"/>
    <s v="Yoga Exercise Mat"/>
    <x v="4"/>
    <x v="8"/>
    <x v="41"/>
    <n v="313.26"/>
    <n v="369"/>
  </r>
  <r>
    <x v="42"/>
    <s v="Smart Home WiFi Camera"/>
    <x v="0"/>
    <x v="4"/>
    <x v="42"/>
    <n v="450.71"/>
    <n v="389"/>
  </r>
  <r>
    <x v="43"/>
    <s v="USB External Hard Drive"/>
    <x v="0"/>
    <x v="0"/>
    <x v="43"/>
    <n v="253.33"/>
    <n v="266"/>
  </r>
  <r>
    <x v="44"/>
    <s v="Adjustable Jump Rope"/>
    <x v="4"/>
    <x v="8"/>
    <x v="44"/>
    <n v="167.12"/>
    <n v="316"/>
  </r>
  <r>
    <x v="45"/>
    <s v="High-Grip Football"/>
    <x v="4"/>
    <x v="17"/>
    <x v="45"/>
    <n v="318.91000000000003"/>
    <n v="114"/>
  </r>
  <r>
    <x v="46"/>
    <s v="Men's Winter Jacket"/>
    <x v="1"/>
    <x v="2"/>
    <x v="46"/>
    <n v="167.34"/>
    <n v="296"/>
  </r>
  <r>
    <x v="47"/>
    <s v="Makeup Brush Set"/>
    <x v="2"/>
    <x v="20"/>
    <x v="47"/>
    <m/>
    <n v="431"/>
  </r>
  <r>
    <x v="48"/>
    <s v="Car Dashboard Phone Holder"/>
    <x v="0"/>
    <x v="4"/>
    <x v="48"/>
    <n v="177.98"/>
    <n v="103"/>
  </r>
  <r>
    <x v="49"/>
    <s v="Men's Roll-On Perfume"/>
    <x v="2"/>
    <x v="21"/>
    <x v="49"/>
    <n v="43.29"/>
    <n v="267"/>
  </r>
  <r>
    <x v="50"/>
    <s v="Boxing Hand Wraps"/>
    <x v="4"/>
    <x v="8"/>
    <x v="50"/>
    <n v="190.29"/>
    <n v="260"/>
  </r>
  <r>
    <x v="51"/>
    <s v="HDMI Cable – 2m"/>
    <x v="0"/>
    <x v="4"/>
    <x v="51"/>
    <n v="88.49"/>
    <n v="246"/>
  </r>
  <r>
    <x v="52"/>
    <s v="Rugby Ball"/>
    <x v="4"/>
    <x v="17"/>
    <x v="52"/>
    <n v="212.26"/>
    <n v="82"/>
  </r>
  <r>
    <x v="53"/>
    <s v="Men's Track Pants"/>
    <x v="1"/>
    <x v="3"/>
    <x v="53"/>
    <n v="386.56"/>
    <n v="125"/>
  </r>
  <r>
    <x v="54"/>
    <s v="Sports Stopwatch Pro"/>
    <x v="4"/>
    <x v="4"/>
    <x v="54"/>
    <n v="434.84"/>
    <n v="185"/>
  </r>
  <r>
    <x v="55"/>
    <s v="Ceramic Plant Pot"/>
    <x v="3"/>
    <x v="11"/>
    <x v="55"/>
    <n v="81.75"/>
    <m/>
  </r>
  <r>
    <x v="56"/>
    <s v="Premium Blanket Throw"/>
    <x v="3"/>
    <x v="11"/>
    <x v="56"/>
    <n v="461.47"/>
    <n v="190"/>
  </r>
  <r>
    <x v="57"/>
    <s v="Foam Roller"/>
    <x v="4"/>
    <x v="8"/>
    <x v="57"/>
    <n v="30.62"/>
    <n v="138"/>
  </r>
  <r>
    <x v="58"/>
    <s v="Womens Cotton Scarf"/>
    <x v="1"/>
    <x v="4"/>
    <x v="58"/>
    <n v="113.83"/>
    <n v="485"/>
  </r>
  <r>
    <x v="59"/>
    <s v="Men's Hair Styling Gel"/>
    <x v="2"/>
    <x v="10"/>
    <x v="59"/>
    <n v="17.309999999999999"/>
    <n v="399"/>
  </r>
  <r>
    <x v="60"/>
    <s v="Luxury Perfume Spray"/>
    <x v="2"/>
    <x v="21"/>
    <x v="60"/>
    <n v="482.75"/>
    <n v="444"/>
  </r>
  <r>
    <x v="61"/>
    <s v="Tennis Ball 3-Pack"/>
    <x v="4"/>
    <x v="14"/>
    <x v="61"/>
    <n v="103.45"/>
    <n v="465"/>
  </r>
  <r>
    <x v="62"/>
    <s v="Laptop Cooling Pad"/>
    <x v="0"/>
    <x v="0"/>
    <x v="62"/>
    <n v="86.42"/>
    <n v="222"/>
  </r>
  <r>
    <x v="63"/>
    <s v="Organic Sunscreen Lotion"/>
    <x v="2"/>
    <x v="5"/>
    <x v="63"/>
    <n v="266.86"/>
    <n v="458"/>
  </r>
  <r>
    <x v="64"/>
    <s v="Matte Lipstick Set"/>
    <x v="2"/>
    <x v="20"/>
    <x v="64"/>
    <n v="299.11"/>
    <n v="118"/>
  </r>
  <r>
    <x v="65"/>
    <s v="Adjustable Dumbbells 20kg"/>
    <x v="4"/>
    <x v="8"/>
    <x v="65"/>
    <n v="240.63"/>
    <n v="423"/>
  </r>
  <r>
    <x v="66"/>
    <s v="Women's Hair Dryer Brush"/>
    <x v="2"/>
    <x v="10"/>
    <x v="66"/>
    <n v="340.39"/>
    <n v="177"/>
  </r>
  <r>
    <x v="67"/>
    <s v="Smart LED Light Strip"/>
    <x v="0"/>
    <x v="4"/>
    <x v="67"/>
    <n v="349.17"/>
    <n v="476"/>
  </r>
  <r>
    <x v="68"/>
    <s v="Wooden Nightstand"/>
    <x v="3"/>
    <x v="22"/>
    <x v="68"/>
    <n v="243.7"/>
    <n v="130"/>
  </r>
  <r>
    <x v="69"/>
    <s v="Men's Sports Shorts"/>
    <x v="1"/>
    <x v="3"/>
    <x v="69"/>
    <n v="218.22"/>
    <n v="224"/>
  </r>
  <r>
    <x v="70"/>
    <s v="Kitchen Storage Rack"/>
    <x v="3"/>
    <x v="15"/>
    <x v="70"/>
    <n v="138.05000000000001"/>
    <n v="89"/>
  </r>
  <r>
    <x v="71"/>
    <s v="Hair Repair Oil Treatment"/>
    <x v="2"/>
    <x v="10"/>
    <x v="71"/>
    <n v="214.32"/>
    <n v="383"/>
  </r>
  <r>
    <x v="72"/>
    <s v="Professional Jump Rope"/>
    <x v="4"/>
    <x v="8"/>
    <x v="72"/>
    <n v="477.61"/>
    <n v="300"/>
  </r>
  <r>
    <x v="73"/>
    <s v="Shin Guards – Adult"/>
    <x v="4"/>
    <x v="17"/>
    <x v="73"/>
    <n v="107.06"/>
    <n v="359"/>
  </r>
  <r>
    <x v="74"/>
    <s v="Bluetooth Car Audio System"/>
    <x v="0"/>
    <x v="7"/>
    <x v="74"/>
    <n v="403.71"/>
    <n v="159"/>
  </r>
  <r>
    <x v="75"/>
    <s v="Women's Ankle Boots"/>
    <x v="1"/>
    <x v="18"/>
    <x v="75"/>
    <n v="158.13999999999999"/>
    <n v="82"/>
  </r>
  <r>
    <x v="76"/>
    <s v="Wireless Mouse"/>
    <x v="0"/>
    <x v="0"/>
    <x v="76"/>
    <n v="392.89"/>
    <n v="320"/>
  </r>
  <r>
    <x v="77"/>
    <s v="WiFi Mesh Router"/>
    <x v="0"/>
    <x v="12"/>
    <x v="77"/>
    <n v="480.9"/>
    <n v="104"/>
  </r>
  <r>
    <x v="78"/>
    <s v="Essential Oil Diffuser"/>
    <x v="3"/>
    <x v="11"/>
    <x v="78"/>
    <n v="325.26"/>
    <n v="400"/>
  </r>
  <r>
    <x v="79"/>
    <s v="Decorative Lamp Shade"/>
    <x v="3"/>
    <x v="6"/>
    <x v="79"/>
    <n v="228.53"/>
    <n v="469"/>
  </r>
  <r>
    <x v="80"/>
    <s v="Wall-Mounted Spice Rack"/>
    <x v="3"/>
    <x v="9"/>
    <x v="80"/>
    <n v="143.43"/>
    <n v="58"/>
  </r>
  <r>
    <x v="81"/>
    <s v="Badminton Racket Set"/>
    <x v="4"/>
    <x v="14"/>
    <x v="81"/>
    <n v="285.54000000000002"/>
    <n v="358"/>
  </r>
  <r>
    <x v="82"/>
    <s v="Fitness Resistance Bands"/>
    <x v="4"/>
    <x v="8"/>
    <x v="82"/>
    <n v="152.91999999999999"/>
    <n v="281"/>
  </r>
  <r>
    <x v="83"/>
    <s v="Hydrating Face Cleanser"/>
    <x v="2"/>
    <x v="5"/>
    <x v="83"/>
    <m/>
    <n v="159"/>
  </r>
  <r>
    <x v="84"/>
    <s v="Wooden Bookshelf"/>
    <x v="3"/>
    <x v="22"/>
    <x v="84"/>
    <n v="388.46"/>
    <n v="208"/>
  </r>
  <r>
    <x v="85"/>
    <s v="Women's Beanie Hat"/>
    <x v="1"/>
    <x v="4"/>
    <x v="85"/>
    <n v="119.57"/>
    <n v="210"/>
  </r>
  <r>
    <x v="86"/>
    <s v="Kitchen Cutting Board"/>
    <x v="3"/>
    <x v="9"/>
    <x v="86"/>
    <n v="176.07"/>
    <n v="82"/>
  </r>
  <r>
    <x v="87"/>
    <s v="LED Bedside Lamp"/>
    <x v="3"/>
    <x v="6"/>
    <x v="87"/>
    <n v="371.38"/>
    <n v="220"/>
  </r>
  <r>
    <x v="88"/>
    <s v="Sports Wrist Sweatbands"/>
    <x v="4"/>
    <x v="4"/>
    <x v="88"/>
    <n v="131.24"/>
    <n v="232"/>
  </r>
  <r>
    <x v="89"/>
    <s v="Face Foundation Kit"/>
    <x v="2"/>
    <x v="20"/>
    <x v="89"/>
    <n v="183.04"/>
    <n v="457"/>
  </r>
  <r>
    <x v="90"/>
    <s v="Gaming Mouse Pad XL"/>
    <x v="0"/>
    <x v="4"/>
    <x v="90"/>
    <n v="340.14"/>
    <n v="361"/>
  </r>
  <r>
    <x v="91"/>
    <s v="Women's High Heels"/>
    <x v="1"/>
    <x v="18"/>
    <x v="91"/>
    <n v="438.25"/>
    <n v="496"/>
  </r>
  <r>
    <x v="92"/>
    <s v="Microwave Oven"/>
    <x v="3"/>
    <x v="12"/>
    <x v="92"/>
    <n v="447.43"/>
    <n v="191"/>
  </r>
  <r>
    <x v="93"/>
    <s v="USB-C Laptop Charger"/>
    <x v="0"/>
    <x v="0"/>
    <x v="93"/>
    <n v="377.52"/>
    <n v="485"/>
  </r>
  <r>
    <x v="94"/>
    <s v="Vitamin E Body Lotion"/>
    <x v="2"/>
    <x v="5"/>
    <x v="94"/>
    <n v="358.47"/>
    <n v="213"/>
  </r>
  <r>
    <x v="95"/>
    <s v="Sports Stopwatch Basic"/>
    <x v="4"/>
    <x v="4"/>
    <x v="95"/>
    <n v="60.65"/>
    <n v="75"/>
  </r>
  <r>
    <x v="96"/>
    <s v="Women's Formal Blazer"/>
    <x v="1"/>
    <x v="2"/>
    <x v="96"/>
    <n v="358.47"/>
    <n v="143"/>
  </r>
  <r>
    <x v="97"/>
    <s v="Cricket Bat"/>
    <x v="4"/>
    <x v="17"/>
    <x v="97"/>
    <n v="245.98"/>
    <n v="471"/>
  </r>
  <r>
    <x v="98"/>
    <s v="Portable Bluetooth Speaker"/>
    <x v="0"/>
    <x v="7"/>
    <x v="98"/>
    <n v="431.67"/>
    <n v="73"/>
  </r>
  <r>
    <x v="99"/>
    <s v="Stainless Steel Cookware Set"/>
    <x v="3"/>
    <x v="9"/>
    <x v="99"/>
    <n v="201.41"/>
    <n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0CFE-D702-4B86-84C0-219FE2BF2809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7"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22"/>
        <item x="67"/>
        <item x="98"/>
        <item x="17"/>
        <item x="73"/>
        <item x="21"/>
        <item x="60"/>
        <item x="11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97"/>
        <item x="2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43"/>
        <item x="81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5" baseField="0" baseItem="0"/>
    <dataField name="Sum of Stock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4C625-5DC2-4A59-BDEC-88B562E2FFD2}" name="Table1" displayName="Table1" ref="A1:G101" totalsRowShown="0" headerRowDxfId="33" headerRowBorderDxfId="42" tableBorderDxfId="43" totalsRowBorderDxfId="41">
  <autoFilter ref="A1:G101" xr:uid="{6254C625-5DC2-4A59-BDEC-88B562E2FFD2}"/>
  <tableColumns count="7">
    <tableColumn id="1" xr3:uid="{C86FA7BB-C4D1-4660-AEE4-91034661CC91}" name="Product_ID" dataDxfId="40"/>
    <tableColumn id="2" xr3:uid="{5DDD144A-5B39-466D-9F72-B28579850163}" name="Product_Name" dataDxfId="39"/>
    <tableColumn id="3" xr3:uid="{ED64596A-76DE-4FE2-A7F7-DCFC5728CAA4}" name="Category" dataDxfId="38"/>
    <tableColumn id="4" xr3:uid="{3F5A2649-5C58-4E1A-89D6-5A94F6ECE8EC}" name="Sub_Category" dataDxfId="37"/>
    <tableColumn id="5" xr3:uid="{F0AD137A-3B81-4237-B732-D5458954D7C7}" name="Brand" dataDxfId="36"/>
    <tableColumn id="6" xr3:uid="{946EE1E6-84EB-448D-B5E6-649E65117C19}" name="Cost" dataDxfId="35"/>
    <tableColumn id="7" xr3:uid="{EF8F1A58-646D-4129-A91C-1969E678FE7F}" name="Stock" dataDxfId="3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18119-57E6-405F-8210-E69047C75726}" name="Table13" displayName="Table13" ref="A3:G103" totalsRowShown="0" headerRowDxfId="32" headerRowBorderDxfId="30" tableBorderDxfId="31" totalsRowBorderDxfId="29">
  <autoFilter ref="A3:G103" xr:uid="{9EC18119-57E6-405F-8210-E69047C75726}"/>
  <tableColumns count="7">
    <tableColumn id="1" xr3:uid="{A721C731-503F-40C4-A82B-BF409C2DEBF5}" name="Product_ID" dataDxfId="28"/>
    <tableColumn id="2" xr3:uid="{A5748EDE-B036-42FD-8991-C71750275A78}" name="Product_Name" dataDxfId="27"/>
    <tableColumn id="3" xr3:uid="{FD08CBC1-D07D-4195-AD58-925AF235580E}" name="Category" dataDxfId="26"/>
    <tableColumn id="4" xr3:uid="{520819C9-A840-49C2-82C6-1F490C212208}" name="Sub_Category" dataDxfId="25"/>
    <tableColumn id="5" xr3:uid="{0238C1FC-E241-4D09-B512-3EA03632EA56}" name="Brand" dataDxfId="24"/>
    <tableColumn id="6" xr3:uid="{362C9EC7-083C-4CC8-8128-F6B309D6605E}" name="Cost" dataDxfId="23"/>
    <tableColumn id="7" xr3:uid="{54C6C809-E157-4BCB-96E9-34437B1ABD4D}" name="Stock" dataDxfId="2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54BF3D-23AB-4541-BD07-3CA236F5A87E}" name="Table136" displayName="Table136" ref="A1:G102" totalsRowCount="1" headerRowDxfId="46" headerRowBorderDxfId="45" tableBorderDxfId="44">
  <autoFilter ref="A1:G101" xr:uid="{5054BF3D-23AB-4541-BD07-3CA236F5A87E}"/>
  <tableColumns count="7">
    <tableColumn id="1" xr3:uid="{F516CD1F-1B50-4A09-A5F1-FF4696C291CD}" name="Product_ID"/>
    <tableColumn id="2" xr3:uid="{7F66B93B-7052-4E9B-80A1-13909B70CAB4}" name="Product_Name"/>
    <tableColumn id="3" xr3:uid="{3202967C-4C6C-422F-B2E1-22EF992A85D9}" name="Category"/>
    <tableColumn id="4" xr3:uid="{A82735B1-1828-4695-99D5-4F461453EF30}" name="Sub_Category"/>
    <tableColumn id="5" xr3:uid="{966BA007-544E-4EC3-A030-763829E2452C}" name="Brand"/>
    <tableColumn id="6" xr3:uid="{6EC05B60-6F59-43EF-8F3C-1005BF5E623C}" name="Cost"/>
    <tableColumn id="7" xr3:uid="{34E17F94-BA6D-41F6-BBBB-19BA46BCCB5A}" name="Stock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100E17-B04D-4DB4-BF21-7CA212D309A2}" name="Table134" displayName="Table134" ref="B2:H102" totalsRowShown="0" headerRowDxfId="21" headerRowBorderDxfId="19" tableBorderDxfId="20" totalsRowBorderDxfId="18">
  <autoFilter ref="B2:H102" xr:uid="{5D100E17-B04D-4DB4-BF21-7CA212D309A2}"/>
  <tableColumns count="7">
    <tableColumn id="1" xr3:uid="{1B9EA3A2-C90C-4589-9F2A-3B70B0299363}" name="Product_ID" dataDxfId="17"/>
    <tableColumn id="2" xr3:uid="{749D73D9-91CD-4650-9CB8-3525F140ABD0}" name="Product_Name" dataDxfId="16"/>
    <tableColumn id="3" xr3:uid="{31433D14-1791-4119-BE54-290323069692}" name="Category" dataDxfId="15"/>
    <tableColumn id="4" xr3:uid="{0EDD4843-588D-4776-A54F-0EB8375FDD5E}" name="Sub_Category" dataDxfId="14"/>
    <tableColumn id="5" xr3:uid="{2E3E58E7-C1F4-48BB-AB3B-95E8070B81A3}" name="Brand" dataDxfId="13"/>
    <tableColumn id="6" xr3:uid="{A8CF2EBE-2394-4D8B-96CF-443421156FA1}" name="Cost" dataDxfId="12"/>
    <tableColumn id="7" xr3:uid="{54412979-3CB2-4738-9E98-2529D7AAD0B0}" name="Stock" dataDxfId="1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842DAC-BDAF-42C4-84E8-53A06B1AC321}" name="Table1345" displayName="Table1345" ref="F1:L101" totalsRowShown="0" headerRowDxfId="10" headerRowBorderDxfId="8" tableBorderDxfId="9" totalsRowBorderDxfId="7">
  <autoFilter ref="F1:L101" xr:uid="{E2842DAC-BDAF-42C4-84E8-53A06B1AC321}"/>
  <tableColumns count="7">
    <tableColumn id="1" xr3:uid="{02D31624-6689-4172-A42E-3A04187C0E0A}" name="Product_ID" dataDxfId="6"/>
    <tableColumn id="2" xr3:uid="{41CEE7D3-5ADA-4BE1-A8EC-D1F4234E4279}" name="Product_Name" dataDxfId="5"/>
    <tableColumn id="3" xr3:uid="{89F930BA-0837-456B-9F12-477CBF44852E}" name="Category" dataDxfId="4"/>
    <tableColumn id="4" xr3:uid="{2A0F277B-4BBB-4701-AFDB-E21EBFB05B01}" name="Sub_Category" dataDxfId="3"/>
    <tableColumn id="5" xr3:uid="{12E28867-F35D-4C60-85B2-030B19E56A8B}" name="Brand" dataDxfId="2"/>
    <tableColumn id="6" xr3:uid="{36A4E278-6255-4436-A6BE-3C31D49244C1}" name="Cost" dataDxfId="1"/>
    <tableColumn id="7" xr3:uid="{4AB2E830-4453-41D7-8747-8764D2D77087}" name="Stock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E2A3A4-1A5B-4F82-9E61-E2F8EC526A6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Mn9oVcNc-vfNyzMV1Dj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DF66-C0EC-4D62-B953-E6A16B73E7B5}">
  <dimension ref="A1:G101"/>
  <sheetViews>
    <sheetView workbookViewId="0">
      <selection sqref="A1:G101"/>
    </sheetView>
  </sheetViews>
  <sheetFormatPr defaultRowHeight="15" x14ac:dyDescent="0.25"/>
  <cols>
    <col min="1" max="1" width="15.28515625" bestFit="1" customWidth="1"/>
    <col min="2" max="2" width="27.5703125" bestFit="1" customWidth="1"/>
    <col min="3" max="3" width="13.42578125" bestFit="1" customWidth="1"/>
    <col min="4" max="4" width="17.85546875" bestFit="1" customWidth="1"/>
    <col min="5" max="5" width="30" bestFit="1" customWidth="1"/>
    <col min="6" max="6" width="9.42578125" bestFit="1" customWidth="1"/>
    <col min="7" max="7" width="10.28515625" bestFit="1" customWidth="1"/>
  </cols>
  <sheetData>
    <row r="1" spans="1:7" x14ac:dyDescent="0.25">
      <c r="A1" s="12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3" t="s">
        <v>25</v>
      </c>
    </row>
    <row r="2" spans="1:7" x14ac:dyDescent="0.25">
      <c r="A2" s="1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>
        <v>112.42</v>
      </c>
      <c r="G2" s="15">
        <v>416</v>
      </c>
    </row>
    <row r="3" spans="1:7" x14ac:dyDescent="0.25">
      <c r="A3" s="1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>
        <v>342.56</v>
      </c>
      <c r="G3" s="15">
        <v>181</v>
      </c>
    </row>
    <row r="4" spans="1:7" x14ac:dyDescent="0.25">
      <c r="A4" s="14" t="s">
        <v>36</v>
      </c>
      <c r="B4" s="4" t="s">
        <v>37</v>
      </c>
      <c r="C4" s="4" t="s">
        <v>33</v>
      </c>
      <c r="D4" s="4" t="s">
        <v>38</v>
      </c>
      <c r="E4" s="4" t="s">
        <v>39</v>
      </c>
      <c r="F4" s="4"/>
      <c r="G4" s="15">
        <v>352</v>
      </c>
    </row>
    <row r="5" spans="1:7" x14ac:dyDescent="0.25">
      <c r="A5" s="14" t="s">
        <v>40</v>
      </c>
      <c r="B5" s="4" t="s">
        <v>41</v>
      </c>
      <c r="C5" s="4" t="s">
        <v>33</v>
      </c>
      <c r="D5" s="4" t="s">
        <v>38</v>
      </c>
      <c r="E5" s="4" t="s">
        <v>42</v>
      </c>
      <c r="F5" s="4">
        <v>364.67</v>
      </c>
      <c r="G5" s="15">
        <v>452</v>
      </c>
    </row>
    <row r="6" spans="1:7" x14ac:dyDescent="0.25">
      <c r="A6" s="14" t="s">
        <v>43</v>
      </c>
      <c r="B6" s="4" t="s">
        <v>44</v>
      </c>
      <c r="C6" s="4" t="s">
        <v>33</v>
      </c>
      <c r="D6" s="4" t="s">
        <v>45</v>
      </c>
      <c r="E6" s="4" t="s">
        <v>46</v>
      </c>
      <c r="F6" s="4">
        <v>306.45999999999998</v>
      </c>
      <c r="G6" s="15">
        <v>487</v>
      </c>
    </row>
    <row r="7" spans="1:7" x14ac:dyDescent="0.25">
      <c r="A7" s="14" t="s">
        <v>47</v>
      </c>
      <c r="B7" s="4" t="s">
        <v>48</v>
      </c>
      <c r="C7" s="4" t="s">
        <v>33</v>
      </c>
      <c r="D7" s="4" t="s">
        <v>49</v>
      </c>
      <c r="E7" s="4" t="s">
        <v>50</v>
      </c>
      <c r="F7" s="4">
        <v>261</v>
      </c>
      <c r="G7" s="15">
        <v>59</v>
      </c>
    </row>
    <row r="8" spans="1:7" x14ac:dyDescent="0.25">
      <c r="A8" s="1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v>312.8</v>
      </c>
      <c r="G8" s="15">
        <v>350</v>
      </c>
    </row>
    <row r="9" spans="1:7" x14ac:dyDescent="0.25">
      <c r="A9" s="1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>
        <v>218.86</v>
      </c>
      <c r="G9" s="15">
        <v>170</v>
      </c>
    </row>
    <row r="10" spans="1:7" x14ac:dyDescent="0.25">
      <c r="A10" s="14" t="s">
        <v>61</v>
      </c>
      <c r="B10" s="4" t="s">
        <v>62</v>
      </c>
      <c r="C10" s="4" t="s">
        <v>28</v>
      </c>
      <c r="D10" s="4" t="s">
        <v>63</v>
      </c>
      <c r="E10" s="4" t="s">
        <v>64</v>
      </c>
      <c r="F10" s="4">
        <v>439.07</v>
      </c>
      <c r="G10" s="15">
        <v>142</v>
      </c>
    </row>
    <row r="11" spans="1:7" x14ac:dyDescent="0.25">
      <c r="A11" s="1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>
        <v>495.72</v>
      </c>
      <c r="G11" s="15">
        <v>323</v>
      </c>
    </row>
    <row r="12" spans="1:7" x14ac:dyDescent="0.25">
      <c r="A12" s="14" t="s">
        <v>70</v>
      </c>
      <c r="B12" s="4" t="s">
        <v>71</v>
      </c>
      <c r="C12" s="4" t="s">
        <v>58</v>
      </c>
      <c r="D12" s="4" t="s">
        <v>72</v>
      </c>
      <c r="E12" s="4" t="s">
        <v>73</v>
      </c>
      <c r="F12" s="4">
        <v>298.86</v>
      </c>
      <c r="G12" s="15">
        <v>308</v>
      </c>
    </row>
    <row r="13" spans="1:7" x14ac:dyDescent="0.25">
      <c r="A13" s="14" t="s">
        <v>74</v>
      </c>
      <c r="B13" s="4" t="s">
        <v>75</v>
      </c>
      <c r="C13" s="4" t="s">
        <v>28</v>
      </c>
      <c r="D13" s="4" t="s">
        <v>49</v>
      </c>
      <c r="E13" s="4" t="s">
        <v>76</v>
      </c>
      <c r="F13" s="4">
        <v>449.4</v>
      </c>
      <c r="G13" s="15"/>
    </row>
    <row r="14" spans="1:7" x14ac:dyDescent="0.25">
      <c r="A14" s="14" t="s">
        <v>77</v>
      </c>
      <c r="B14" s="4" t="s">
        <v>78</v>
      </c>
      <c r="C14" s="4" t="s">
        <v>53</v>
      </c>
      <c r="D14" s="4" t="s">
        <v>79</v>
      </c>
      <c r="E14" s="4" t="s">
        <v>80</v>
      </c>
      <c r="F14" s="4">
        <v>115.82</v>
      </c>
      <c r="G14" s="15">
        <v>460</v>
      </c>
    </row>
    <row r="15" spans="1:7" x14ac:dyDescent="0.25">
      <c r="A15" s="14" t="s">
        <v>81</v>
      </c>
      <c r="B15" s="4" t="s">
        <v>82</v>
      </c>
      <c r="C15" s="4" t="s">
        <v>28</v>
      </c>
      <c r="D15" s="4" t="s">
        <v>49</v>
      </c>
      <c r="E15" s="4" t="s">
        <v>83</v>
      </c>
      <c r="F15" s="4">
        <v>242.23</v>
      </c>
      <c r="G15" s="15">
        <v>453</v>
      </c>
    </row>
    <row r="16" spans="1:7" x14ac:dyDescent="0.25">
      <c r="A16" s="14" t="s">
        <v>84</v>
      </c>
      <c r="B16" s="4" t="s">
        <v>85</v>
      </c>
      <c r="C16" s="4" t="s">
        <v>58</v>
      </c>
      <c r="D16" s="4" t="s">
        <v>86</v>
      </c>
      <c r="E16" s="4" t="s">
        <v>87</v>
      </c>
      <c r="F16" s="4">
        <v>48.01</v>
      </c>
      <c r="G16" s="15">
        <v>439</v>
      </c>
    </row>
    <row r="17" spans="1:7" x14ac:dyDescent="0.25">
      <c r="A17" s="14" t="s">
        <v>88</v>
      </c>
      <c r="B17" s="4" t="s">
        <v>89</v>
      </c>
      <c r="C17" s="4" t="s">
        <v>28</v>
      </c>
      <c r="D17" s="4" t="s">
        <v>90</v>
      </c>
      <c r="E17" s="4" t="s">
        <v>91</v>
      </c>
      <c r="F17" s="4">
        <v>465.34</v>
      </c>
      <c r="G17" s="15">
        <v>301</v>
      </c>
    </row>
    <row r="18" spans="1:7" x14ac:dyDescent="0.25">
      <c r="A18" s="14" t="s">
        <v>92</v>
      </c>
      <c r="B18" s="4" t="s">
        <v>93</v>
      </c>
      <c r="C18" s="4" t="s">
        <v>53</v>
      </c>
      <c r="D18" s="4" t="s">
        <v>94</v>
      </c>
      <c r="E18" s="4" t="s">
        <v>95</v>
      </c>
      <c r="F18" s="4">
        <v>337.42</v>
      </c>
      <c r="G18" s="15">
        <v>256</v>
      </c>
    </row>
    <row r="19" spans="1:7" x14ac:dyDescent="0.25">
      <c r="A19" s="14" t="s">
        <v>96</v>
      </c>
      <c r="B19" s="4" t="s">
        <v>97</v>
      </c>
      <c r="C19" s="4" t="s">
        <v>67</v>
      </c>
      <c r="D19" s="4" t="s">
        <v>49</v>
      </c>
      <c r="E19" s="4" t="s">
        <v>98</v>
      </c>
      <c r="F19" s="4">
        <v>144.53</v>
      </c>
      <c r="G19" s="15">
        <v>367</v>
      </c>
    </row>
    <row r="20" spans="1:7" x14ac:dyDescent="0.25">
      <c r="A20" s="14" t="s">
        <v>99</v>
      </c>
      <c r="B20" s="4" t="s">
        <v>100</v>
      </c>
      <c r="C20" s="4" t="s">
        <v>33</v>
      </c>
      <c r="D20" s="4" t="s">
        <v>45</v>
      </c>
      <c r="E20" s="4" t="s">
        <v>101</v>
      </c>
      <c r="F20" s="4"/>
      <c r="G20" s="15">
        <v>343</v>
      </c>
    </row>
    <row r="21" spans="1:7" x14ac:dyDescent="0.25">
      <c r="A21" s="14" t="s">
        <v>102</v>
      </c>
      <c r="B21" s="4" t="s">
        <v>103</v>
      </c>
      <c r="C21" s="4" t="s">
        <v>67</v>
      </c>
      <c r="D21" s="4" t="s">
        <v>104</v>
      </c>
      <c r="E21" s="4" t="s">
        <v>105</v>
      </c>
      <c r="F21" s="4">
        <v>21.34</v>
      </c>
      <c r="G21" s="15">
        <v>65</v>
      </c>
    </row>
    <row r="22" spans="1:7" x14ac:dyDescent="0.25">
      <c r="A22" s="14" t="s">
        <v>106</v>
      </c>
      <c r="B22" s="4" t="s">
        <v>107</v>
      </c>
      <c r="C22" s="4" t="s">
        <v>67</v>
      </c>
      <c r="D22" s="4" t="s">
        <v>49</v>
      </c>
      <c r="E22" s="4" t="s">
        <v>108</v>
      </c>
      <c r="F22" s="4">
        <v>131.51</v>
      </c>
      <c r="G22" s="15"/>
    </row>
    <row r="23" spans="1:7" x14ac:dyDescent="0.25">
      <c r="A23" s="14" t="s">
        <v>109</v>
      </c>
      <c r="B23" s="4" t="s">
        <v>110</v>
      </c>
      <c r="C23" s="4" t="s">
        <v>58</v>
      </c>
      <c r="D23" s="4" t="s">
        <v>111</v>
      </c>
      <c r="E23" s="4" t="s">
        <v>112</v>
      </c>
      <c r="F23" s="4">
        <v>123.46</v>
      </c>
      <c r="G23" s="15">
        <v>76</v>
      </c>
    </row>
    <row r="24" spans="1:7" x14ac:dyDescent="0.25">
      <c r="A24" s="14" t="s">
        <v>113</v>
      </c>
      <c r="B24" s="4" t="s">
        <v>114</v>
      </c>
      <c r="C24" s="4" t="s">
        <v>67</v>
      </c>
      <c r="D24" s="4" t="s">
        <v>104</v>
      </c>
      <c r="E24" s="4" t="s">
        <v>115</v>
      </c>
      <c r="F24" s="4">
        <v>484.62</v>
      </c>
      <c r="G24" s="15">
        <v>432</v>
      </c>
    </row>
    <row r="25" spans="1:7" x14ac:dyDescent="0.25">
      <c r="A25" s="14" t="s">
        <v>116</v>
      </c>
      <c r="B25" s="4" t="s">
        <v>117</v>
      </c>
      <c r="C25" s="4" t="s">
        <v>33</v>
      </c>
      <c r="D25" s="4" t="s">
        <v>34</v>
      </c>
      <c r="E25" s="4" t="s">
        <v>118</v>
      </c>
      <c r="F25" s="4"/>
      <c r="G25" s="15">
        <v>360</v>
      </c>
    </row>
    <row r="26" spans="1:7" x14ac:dyDescent="0.25">
      <c r="A26" s="14" t="s">
        <v>119</v>
      </c>
      <c r="B26" s="4" t="s">
        <v>120</v>
      </c>
      <c r="C26" s="4" t="s">
        <v>67</v>
      </c>
      <c r="D26" s="4" t="s">
        <v>121</v>
      </c>
      <c r="E26" s="4" t="s">
        <v>122</v>
      </c>
      <c r="F26" s="4">
        <v>166.06</v>
      </c>
      <c r="G26" s="15">
        <v>340</v>
      </c>
    </row>
    <row r="27" spans="1:7" x14ac:dyDescent="0.25">
      <c r="A27" s="14" t="s">
        <v>123</v>
      </c>
      <c r="B27" s="4" t="s">
        <v>124</v>
      </c>
      <c r="C27" s="4" t="s">
        <v>33</v>
      </c>
      <c r="D27" s="4" t="s">
        <v>49</v>
      </c>
      <c r="E27" s="4" t="s">
        <v>125</v>
      </c>
      <c r="F27" s="4">
        <v>174.02</v>
      </c>
      <c r="G27" s="15">
        <v>268</v>
      </c>
    </row>
    <row r="28" spans="1:7" x14ac:dyDescent="0.25">
      <c r="A28" s="14" t="s">
        <v>126</v>
      </c>
      <c r="B28" s="4" t="s">
        <v>127</v>
      </c>
      <c r="C28" s="4" t="s">
        <v>28</v>
      </c>
      <c r="D28" s="4" t="s">
        <v>63</v>
      </c>
      <c r="E28" s="4" t="s">
        <v>128</v>
      </c>
      <c r="F28" s="4">
        <v>322.41000000000003</v>
      </c>
      <c r="G28" s="15">
        <v>213</v>
      </c>
    </row>
    <row r="29" spans="1:7" x14ac:dyDescent="0.25">
      <c r="A29" s="14" t="s">
        <v>129</v>
      </c>
      <c r="B29" s="4" t="s">
        <v>130</v>
      </c>
      <c r="C29" s="4" t="s">
        <v>58</v>
      </c>
      <c r="D29" s="4" t="s">
        <v>86</v>
      </c>
      <c r="E29" s="4" t="s">
        <v>131</v>
      </c>
      <c r="F29" s="4"/>
      <c r="G29" s="15">
        <v>378</v>
      </c>
    </row>
    <row r="30" spans="1:7" x14ac:dyDescent="0.25">
      <c r="A30" s="14" t="s">
        <v>132</v>
      </c>
      <c r="B30" s="4" t="s">
        <v>133</v>
      </c>
      <c r="C30" s="4" t="s">
        <v>67</v>
      </c>
      <c r="D30" s="4" t="s">
        <v>49</v>
      </c>
      <c r="E30" s="4" t="s">
        <v>134</v>
      </c>
      <c r="F30" s="4">
        <v>38.76</v>
      </c>
      <c r="G30" s="15">
        <v>137</v>
      </c>
    </row>
    <row r="31" spans="1:7" x14ac:dyDescent="0.25">
      <c r="A31" s="14" t="s">
        <v>135</v>
      </c>
      <c r="B31" s="4" t="s">
        <v>136</v>
      </c>
      <c r="C31" s="4" t="s">
        <v>58</v>
      </c>
      <c r="D31" s="4" t="s">
        <v>86</v>
      </c>
      <c r="E31" s="4" t="s">
        <v>137</v>
      </c>
      <c r="F31" s="4">
        <v>218.48</v>
      </c>
      <c r="G31" s="15">
        <v>276</v>
      </c>
    </row>
    <row r="32" spans="1:7" x14ac:dyDescent="0.25">
      <c r="A32" s="14" t="s">
        <v>138</v>
      </c>
      <c r="B32" s="4" t="s">
        <v>139</v>
      </c>
      <c r="C32" s="4" t="s">
        <v>58</v>
      </c>
      <c r="D32" s="4" t="s">
        <v>72</v>
      </c>
      <c r="E32" s="4" t="s">
        <v>140</v>
      </c>
      <c r="F32" s="4">
        <v>19.52</v>
      </c>
      <c r="G32" s="15">
        <v>57</v>
      </c>
    </row>
    <row r="33" spans="1:7" x14ac:dyDescent="0.25">
      <c r="A33" s="14" t="s">
        <v>141</v>
      </c>
      <c r="B33" s="4" t="s">
        <v>142</v>
      </c>
      <c r="C33" s="4" t="s">
        <v>67</v>
      </c>
      <c r="D33" s="4" t="s">
        <v>143</v>
      </c>
      <c r="E33" s="4" t="s">
        <v>144</v>
      </c>
      <c r="F33" s="4">
        <v>204.39</v>
      </c>
      <c r="G33" s="15">
        <v>281</v>
      </c>
    </row>
    <row r="34" spans="1:7" x14ac:dyDescent="0.25">
      <c r="A34" s="14" t="s">
        <v>145</v>
      </c>
      <c r="B34" s="4" t="s">
        <v>146</v>
      </c>
      <c r="C34" s="4" t="s">
        <v>53</v>
      </c>
      <c r="D34" s="4" t="s">
        <v>54</v>
      </c>
      <c r="E34" s="4" t="s">
        <v>147</v>
      </c>
      <c r="F34" s="4">
        <v>283.83</v>
      </c>
      <c r="G34" s="15">
        <v>244</v>
      </c>
    </row>
    <row r="35" spans="1:7" x14ac:dyDescent="0.25">
      <c r="A35" s="14" t="s">
        <v>148</v>
      </c>
      <c r="B35" s="4" t="s">
        <v>149</v>
      </c>
      <c r="C35" s="4" t="s">
        <v>58</v>
      </c>
      <c r="D35" s="4" t="s">
        <v>86</v>
      </c>
      <c r="E35" s="4" t="s">
        <v>150</v>
      </c>
      <c r="F35" s="4">
        <v>179.77</v>
      </c>
      <c r="G35" s="15">
        <v>305</v>
      </c>
    </row>
    <row r="36" spans="1:7" x14ac:dyDescent="0.25">
      <c r="A36" s="14" t="s">
        <v>151</v>
      </c>
      <c r="B36" s="4" t="s">
        <v>152</v>
      </c>
      <c r="C36" s="4" t="s">
        <v>28</v>
      </c>
      <c r="D36" s="4" t="s">
        <v>29</v>
      </c>
      <c r="E36" s="4" t="s">
        <v>153</v>
      </c>
      <c r="F36" s="4">
        <v>419.28</v>
      </c>
      <c r="G36" s="15">
        <v>86</v>
      </c>
    </row>
    <row r="37" spans="1:7" x14ac:dyDescent="0.25">
      <c r="A37" s="14" t="s">
        <v>154</v>
      </c>
      <c r="B37" s="4" t="s">
        <v>155</v>
      </c>
      <c r="C37" s="4" t="s">
        <v>58</v>
      </c>
      <c r="D37" s="4" t="s">
        <v>59</v>
      </c>
      <c r="E37" s="4" t="s">
        <v>156</v>
      </c>
      <c r="F37" s="4">
        <v>382.22</v>
      </c>
      <c r="G37" s="15">
        <v>329</v>
      </c>
    </row>
    <row r="38" spans="1:7" x14ac:dyDescent="0.25">
      <c r="A38" s="14" t="s">
        <v>157</v>
      </c>
      <c r="B38" s="4" t="s">
        <v>158</v>
      </c>
      <c r="C38" s="4" t="s">
        <v>33</v>
      </c>
      <c r="D38" s="4" t="s">
        <v>34</v>
      </c>
      <c r="E38" s="4" t="s">
        <v>159</v>
      </c>
      <c r="F38" s="4">
        <v>223.43</v>
      </c>
      <c r="G38" s="15">
        <v>154</v>
      </c>
    </row>
    <row r="39" spans="1:7" x14ac:dyDescent="0.25">
      <c r="A39" s="14" t="s">
        <v>160</v>
      </c>
      <c r="B39" s="4" t="s">
        <v>161</v>
      </c>
      <c r="C39" s="4" t="s">
        <v>33</v>
      </c>
      <c r="D39" s="4" t="s">
        <v>162</v>
      </c>
      <c r="E39" s="4" t="s">
        <v>163</v>
      </c>
      <c r="F39" s="4">
        <v>353.47</v>
      </c>
      <c r="G39" s="15">
        <v>214</v>
      </c>
    </row>
    <row r="40" spans="1:7" x14ac:dyDescent="0.25">
      <c r="A40" s="14" t="s">
        <v>164</v>
      </c>
      <c r="B40" s="4" t="s">
        <v>165</v>
      </c>
      <c r="C40" s="4" t="s">
        <v>67</v>
      </c>
      <c r="D40" s="4" t="s">
        <v>121</v>
      </c>
      <c r="E40" s="4" t="s">
        <v>166</v>
      </c>
      <c r="F40" s="4">
        <v>135.61000000000001</v>
      </c>
      <c r="G40" s="15">
        <v>394</v>
      </c>
    </row>
    <row r="41" spans="1:7" x14ac:dyDescent="0.25">
      <c r="A41" s="14" t="s">
        <v>167</v>
      </c>
      <c r="B41" s="4" t="s">
        <v>168</v>
      </c>
      <c r="C41" s="4" t="s">
        <v>28</v>
      </c>
      <c r="D41" s="4" t="s">
        <v>169</v>
      </c>
      <c r="E41" s="4" t="s">
        <v>170</v>
      </c>
      <c r="F41" s="4">
        <v>326.06</v>
      </c>
      <c r="G41" s="15">
        <v>301</v>
      </c>
    </row>
    <row r="42" spans="1:7" x14ac:dyDescent="0.25">
      <c r="A42" s="14" t="s">
        <v>171</v>
      </c>
      <c r="B42" s="4" t="s">
        <v>172</v>
      </c>
      <c r="C42" s="4" t="s">
        <v>28</v>
      </c>
      <c r="D42" s="4" t="s">
        <v>63</v>
      </c>
      <c r="E42" s="4" t="s">
        <v>173</v>
      </c>
      <c r="F42" s="4">
        <v>38.520000000000003</v>
      </c>
      <c r="G42" s="15">
        <v>378</v>
      </c>
    </row>
    <row r="43" spans="1:7" x14ac:dyDescent="0.25">
      <c r="A43" s="14" t="s">
        <v>174</v>
      </c>
      <c r="B43" s="4" t="s">
        <v>175</v>
      </c>
      <c r="C43" s="4" t="s">
        <v>67</v>
      </c>
      <c r="D43" s="4" t="s">
        <v>68</v>
      </c>
      <c r="E43" s="4" t="s">
        <v>176</v>
      </c>
      <c r="F43" s="4">
        <v>313.26</v>
      </c>
      <c r="G43" s="15">
        <v>369</v>
      </c>
    </row>
    <row r="44" spans="1:7" x14ac:dyDescent="0.25">
      <c r="A44" s="14" t="s">
        <v>177</v>
      </c>
      <c r="B44" s="4" t="s">
        <v>178</v>
      </c>
      <c r="C44" s="4" t="s">
        <v>28</v>
      </c>
      <c r="D44" s="4" t="s">
        <v>49</v>
      </c>
      <c r="E44" s="4" t="s">
        <v>179</v>
      </c>
      <c r="F44" s="4">
        <v>450.71</v>
      </c>
      <c r="G44" s="15">
        <v>389</v>
      </c>
    </row>
    <row r="45" spans="1:7" x14ac:dyDescent="0.25">
      <c r="A45" s="14" t="s">
        <v>180</v>
      </c>
      <c r="B45" s="4" t="s">
        <v>181</v>
      </c>
      <c r="C45" s="4" t="s">
        <v>28</v>
      </c>
      <c r="D45" s="4" t="s">
        <v>29</v>
      </c>
      <c r="E45" s="4" t="s">
        <v>182</v>
      </c>
      <c r="F45" s="4">
        <v>253.33</v>
      </c>
      <c r="G45" s="15">
        <v>266</v>
      </c>
    </row>
    <row r="46" spans="1:7" x14ac:dyDescent="0.25">
      <c r="A46" s="14" t="s">
        <v>183</v>
      </c>
      <c r="B46" s="4" t="s">
        <v>184</v>
      </c>
      <c r="C46" s="4" t="s">
        <v>67</v>
      </c>
      <c r="D46" s="4" t="s">
        <v>68</v>
      </c>
      <c r="E46" s="4" t="s">
        <v>185</v>
      </c>
      <c r="F46" s="4">
        <v>167.12</v>
      </c>
      <c r="G46" s="15">
        <v>316</v>
      </c>
    </row>
    <row r="47" spans="1:7" x14ac:dyDescent="0.25">
      <c r="A47" s="14" t="s">
        <v>186</v>
      </c>
      <c r="B47" s="4" t="s">
        <v>187</v>
      </c>
      <c r="C47" s="4" t="s">
        <v>67</v>
      </c>
      <c r="D47" s="4" t="s">
        <v>143</v>
      </c>
      <c r="E47" s="4" t="s">
        <v>188</v>
      </c>
      <c r="F47" s="4">
        <v>318.91000000000003</v>
      </c>
      <c r="G47" s="15">
        <v>114</v>
      </c>
    </row>
    <row r="48" spans="1:7" x14ac:dyDescent="0.25">
      <c r="A48" s="14" t="s">
        <v>189</v>
      </c>
      <c r="B48" s="4" t="s">
        <v>190</v>
      </c>
      <c r="C48" s="4" t="s">
        <v>33</v>
      </c>
      <c r="D48" s="4" t="s">
        <v>38</v>
      </c>
      <c r="E48" s="4" t="s">
        <v>191</v>
      </c>
      <c r="F48" s="4">
        <v>167.34</v>
      </c>
      <c r="G48" s="15">
        <v>296</v>
      </c>
    </row>
    <row r="49" spans="1:7" x14ac:dyDescent="0.25">
      <c r="A49" s="14" t="s">
        <v>192</v>
      </c>
      <c r="B49" s="4" t="s">
        <v>193</v>
      </c>
      <c r="C49" s="4" t="s">
        <v>53</v>
      </c>
      <c r="D49" s="4" t="s">
        <v>194</v>
      </c>
      <c r="E49" s="4" t="s">
        <v>195</v>
      </c>
      <c r="F49" s="4"/>
      <c r="G49" s="15">
        <v>431</v>
      </c>
    </row>
    <row r="50" spans="1:7" x14ac:dyDescent="0.25">
      <c r="A50" s="14" t="s">
        <v>196</v>
      </c>
      <c r="B50" s="4" t="s">
        <v>197</v>
      </c>
      <c r="C50" s="4" t="s">
        <v>28</v>
      </c>
      <c r="D50" s="4" t="s">
        <v>49</v>
      </c>
      <c r="E50" s="4" t="s">
        <v>198</v>
      </c>
      <c r="F50" s="4">
        <v>177.98</v>
      </c>
      <c r="G50" s="15">
        <v>103</v>
      </c>
    </row>
    <row r="51" spans="1:7" x14ac:dyDescent="0.25">
      <c r="A51" s="14" t="s">
        <v>199</v>
      </c>
      <c r="B51" s="4" t="s">
        <v>200</v>
      </c>
      <c r="C51" s="4" t="s">
        <v>53</v>
      </c>
      <c r="D51" s="4" t="s">
        <v>201</v>
      </c>
      <c r="E51" s="4" t="s">
        <v>202</v>
      </c>
      <c r="F51" s="4">
        <v>43.29</v>
      </c>
      <c r="G51" s="15">
        <v>267</v>
      </c>
    </row>
    <row r="52" spans="1:7" x14ac:dyDescent="0.25">
      <c r="A52" s="14" t="s">
        <v>203</v>
      </c>
      <c r="B52" s="4" t="s">
        <v>204</v>
      </c>
      <c r="C52" s="4" t="s">
        <v>67</v>
      </c>
      <c r="D52" s="4" t="s">
        <v>68</v>
      </c>
      <c r="E52" s="4" t="s">
        <v>205</v>
      </c>
      <c r="F52" s="4">
        <v>190.29</v>
      </c>
      <c r="G52" s="15">
        <v>260</v>
      </c>
    </row>
    <row r="53" spans="1:7" x14ac:dyDescent="0.25">
      <c r="A53" s="14" t="s">
        <v>206</v>
      </c>
      <c r="B53" s="4" t="s">
        <v>207</v>
      </c>
      <c r="C53" s="4" t="s">
        <v>28</v>
      </c>
      <c r="D53" s="4" t="s">
        <v>49</v>
      </c>
      <c r="E53" s="4" t="s">
        <v>208</v>
      </c>
      <c r="F53" s="4">
        <v>88.49</v>
      </c>
      <c r="G53" s="15">
        <v>246</v>
      </c>
    </row>
    <row r="54" spans="1:7" x14ac:dyDescent="0.25">
      <c r="A54" s="14" t="s">
        <v>209</v>
      </c>
      <c r="B54" s="4" t="s">
        <v>210</v>
      </c>
      <c r="C54" s="4" t="s">
        <v>67</v>
      </c>
      <c r="D54" s="4" t="s">
        <v>143</v>
      </c>
      <c r="E54" s="4" t="s">
        <v>211</v>
      </c>
      <c r="F54" s="4">
        <v>212.26</v>
      </c>
      <c r="G54" s="15">
        <v>82</v>
      </c>
    </row>
    <row r="55" spans="1:7" x14ac:dyDescent="0.25">
      <c r="A55" s="14" t="s">
        <v>212</v>
      </c>
      <c r="B55" s="4" t="s">
        <v>213</v>
      </c>
      <c r="C55" s="4" t="s">
        <v>33</v>
      </c>
      <c r="D55" s="4" t="s">
        <v>45</v>
      </c>
      <c r="E55" s="4" t="s">
        <v>214</v>
      </c>
      <c r="F55" s="4">
        <v>386.56</v>
      </c>
      <c r="G55" s="15">
        <v>125</v>
      </c>
    </row>
    <row r="56" spans="1:7" x14ac:dyDescent="0.25">
      <c r="A56" s="14" t="s">
        <v>215</v>
      </c>
      <c r="B56" s="4" t="s">
        <v>216</v>
      </c>
      <c r="C56" s="4" t="s">
        <v>67</v>
      </c>
      <c r="D56" s="4" t="s">
        <v>49</v>
      </c>
      <c r="E56" s="4" t="s">
        <v>217</v>
      </c>
      <c r="F56" s="4">
        <v>434.84</v>
      </c>
      <c r="G56" s="15">
        <v>185</v>
      </c>
    </row>
    <row r="57" spans="1:7" x14ac:dyDescent="0.25">
      <c r="A57" s="14" t="s">
        <v>218</v>
      </c>
      <c r="B57" s="4" t="s">
        <v>219</v>
      </c>
      <c r="C57" s="4" t="s">
        <v>58</v>
      </c>
      <c r="D57" s="4" t="s">
        <v>86</v>
      </c>
      <c r="E57" s="4" t="s">
        <v>220</v>
      </c>
      <c r="F57" s="4">
        <v>81.75</v>
      </c>
      <c r="G57" s="15"/>
    </row>
    <row r="58" spans="1:7" x14ac:dyDescent="0.25">
      <c r="A58" s="14" t="s">
        <v>221</v>
      </c>
      <c r="B58" s="4" t="s">
        <v>222</v>
      </c>
      <c r="C58" s="4" t="s">
        <v>58</v>
      </c>
      <c r="D58" s="4" t="s">
        <v>86</v>
      </c>
      <c r="E58" s="4" t="s">
        <v>223</v>
      </c>
      <c r="F58" s="4">
        <v>461.47</v>
      </c>
      <c r="G58" s="15">
        <v>190</v>
      </c>
    </row>
    <row r="59" spans="1:7" x14ac:dyDescent="0.25">
      <c r="A59" s="14" t="s">
        <v>224</v>
      </c>
      <c r="B59" s="4" t="s">
        <v>225</v>
      </c>
      <c r="C59" s="4" t="s">
        <v>67</v>
      </c>
      <c r="D59" s="4" t="s">
        <v>68</v>
      </c>
      <c r="E59" s="4" t="s">
        <v>226</v>
      </c>
      <c r="F59" s="4">
        <v>30.62</v>
      </c>
      <c r="G59" s="15">
        <v>138</v>
      </c>
    </row>
    <row r="60" spans="1:7" x14ac:dyDescent="0.25">
      <c r="A60" s="14" t="s">
        <v>227</v>
      </c>
      <c r="B60" s="4" t="s">
        <v>228</v>
      </c>
      <c r="C60" s="4" t="s">
        <v>33</v>
      </c>
      <c r="D60" s="4" t="s">
        <v>49</v>
      </c>
      <c r="E60" s="4" t="s">
        <v>229</v>
      </c>
      <c r="F60" s="4">
        <v>113.83</v>
      </c>
      <c r="G60" s="15">
        <v>485</v>
      </c>
    </row>
    <row r="61" spans="1:7" x14ac:dyDescent="0.25">
      <c r="A61" s="14" t="s">
        <v>230</v>
      </c>
      <c r="B61" s="4" t="s">
        <v>231</v>
      </c>
      <c r="C61" s="4" t="s">
        <v>53</v>
      </c>
      <c r="D61" s="4" t="s">
        <v>79</v>
      </c>
      <c r="E61" s="4" t="s">
        <v>232</v>
      </c>
      <c r="F61" s="4">
        <v>17.309999999999999</v>
      </c>
      <c r="G61" s="15">
        <v>399</v>
      </c>
    </row>
    <row r="62" spans="1:7" x14ac:dyDescent="0.25">
      <c r="A62" s="14" t="s">
        <v>233</v>
      </c>
      <c r="B62" s="4" t="s">
        <v>234</v>
      </c>
      <c r="C62" s="4" t="s">
        <v>53</v>
      </c>
      <c r="D62" s="4" t="s">
        <v>201</v>
      </c>
      <c r="E62" s="4" t="s">
        <v>235</v>
      </c>
      <c r="F62" s="4">
        <v>482.75</v>
      </c>
      <c r="G62" s="15">
        <v>444</v>
      </c>
    </row>
    <row r="63" spans="1:7" x14ac:dyDescent="0.25">
      <c r="A63" s="14" t="s">
        <v>236</v>
      </c>
      <c r="B63" s="4" t="s">
        <v>237</v>
      </c>
      <c r="C63" s="4" t="s">
        <v>67</v>
      </c>
      <c r="D63" s="4" t="s">
        <v>104</v>
      </c>
      <c r="E63" s="4" t="s">
        <v>238</v>
      </c>
      <c r="F63" s="4">
        <v>103.45</v>
      </c>
      <c r="G63" s="15">
        <v>465</v>
      </c>
    </row>
    <row r="64" spans="1:7" x14ac:dyDescent="0.25">
      <c r="A64" s="14" t="s">
        <v>239</v>
      </c>
      <c r="B64" s="4" t="s">
        <v>240</v>
      </c>
      <c r="C64" s="4" t="s">
        <v>28</v>
      </c>
      <c r="D64" s="4" t="s">
        <v>29</v>
      </c>
      <c r="E64" s="4" t="s">
        <v>241</v>
      </c>
      <c r="F64" s="4">
        <v>86.42</v>
      </c>
      <c r="G64" s="15">
        <v>222</v>
      </c>
    </row>
    <row r="65" spans="1:7" x14ac:dyDescent="0.25">
      <c r="A65" s="14" t="s">
        <v>242</v>
      </c>
      <c r="B65" s="4" t="s">
        <v>243</v>
      </c>
      <c r="C65" s="4" t="s">
        <v>53</v>
      </c>
      <c r="D65" s="4" t="s">
        <v>54</v>
      </c>
      <c r="E65" s="4" t="s">
        <v>244</v>
      </c>
      <c r="F65" s="4">
        <v>266.86</v>
      </c>
      <c r="G65" s="15">
        <v>458</v>
      </c>
    </row>
    <row r="66" spans="1:7" x14ac:dyDescent="0.25">
      <c r="A66" s="14" t="s">
        <v>245</v>
      </c>
      <c r="B66" s="4" t="s">
        <v>246</v>
      </c>
      <c r="C66" s="4" t="s">
        <v>53</v>
      </c>
      <c r="D66" s="4" t="s">
        <v>194</v>
      </c>
      <c r="E66" s="4" t="s">
        <v>247</v>
      </c>
      <c r="F66" s="4">
        <v>299.11</v>
      </c>
      <c r="G66" s="15">
        <v>118</v>
      </c>
    </row>
    <row r="67" spans="1:7" x14ac:dyDescent="0.25">
      <c r="A67" s="14" t="s">
        <v>248</v>
      </c>
      <c r="B67" s="4" t="s">
        <v>249</v>
      </c>
      <c r="C67" s="4" t="s">
        <v>67</v>
      </c>
      <c r="D67" s="4" t="s">
        <v>68</v>
      </c>
      <c r="E67" s="4" t="s">
        <v>250</v>
      </c>
      <c r="F67" s="4">
        <v>240.63</v>
      </c>
      <c r="G67" s="15">
        <v>423</v>
      </c>
    </row>
    <row r="68" spans="1:7" x14ac:dyDescent="0.25">
      <c r="A68" s="14" t="s">
        <v>251</v>
      </c>
      <c r="B68" s="4" t="s">
        <v>252</v>
      </c>
      <c r="C68" s="4" t="s">
        <v>53</v>
      </c>
      <c r="D68" s="4" t="s">
        <v>79</v>
      </c>
      <c r="E68" s="4" t="s">
        <v>253</v>
      </c>
      <c r="F68" s="4">
        <v>340.39</v>
      </c>
      <c r="G68" s="15">
        <v>177</v>
      </c>
    </row>
    <row r="69" spans="1:7" x14ac:dyDescent="0.25">
      <c r="A69" s="14" t="s">
        <v>254</v>
      </c>
      <c r="B69" s="4" t="s">
        <v>255</v>
      </c>
      <c r="C69" s="4" t="s">
        <v>28</v>
      </c>
      <c r="D69" s="4" t="s">
        <v>49</v>
      </c>
      <c r="E69" s="4" t="s">
        <v>256</v>
      </c>
      <c r="F69" s="4">
        <v>349.17</v>
      </c>
      <c r="G69" s="15">
        <v>476</v>
      </c>
    </row>
    <row r="70" spans="1:7" x14ac:dyDescent="0.25">
      <c r="A70" s="14" t="s">
        <v>257</v>
      </c>
      <c r="B70" s="4" t="s">
        <v>258</v>
      </c>
      <c r="C70" s="4" t="s">
        <v>58</v>
      </c>
      <c r="D70" s="4" t="s">
        <v>259</v>
      </c>
      <c r="E70" s="4" t="s">
        <v>260</v>
      </c>
      <c r="F70" s="4">
        <v>243.7</v>
      </c>
      <c r="G70" s="15">
        <v>130</v>
      </c>
    </row>
    <row r="71" spans="1:7" x14ac:dyDescent="0.25">
      <c r="A71" s="14" t="s">
        <v>261</v>
      </c>
      <c r="B71" s="4" t="s">
        <v>262</v>
      </c>
      <c r="C71" s="4" t="s">
        <v>33</v>
      </c>
      <c r="D71" s="4" t="s">
        <v>45</v>
      </c>
      <c r="E71" s="4" t="s">
        <v>263</v>
      </c>
      <c r="F71" s="4">
        <v>218.22</v>
      </c>
      <c r="G71" s="15">
        <v>224</v>
      </c>
    </row>
    <row r="72" spans="1:7" x14ac:dyDescent="0.25">
      <c r="A72" s="14" t="s">
        <v>264</v>
      </c>
      <c r="B72" s="4" t="s">
        <v>265</v>
      </c>
      <c r="C72" s="4" t="s">
        <v>58</v>
      </c>
      <c r="D72" s="4" t="s">
        <v>111</v>
      </c>
      <c r="E72" s="4" t="s">
        <v>266</v>
      </c>
      <c r="F72" s="4">
        <v>138.05000000000001</v>
      </c>
      <c r="G72" s="15">
        <v>89</v>
      </c>
    </row>
    <row r="73" spans="1:7" x14ac:dyDescent="0.25">
      <c r="A73" s="14" t="s">
        <v>267</v>
      </c>
      <c r="B73" s="4" t="s">
        <v>268</v>
      </c>
      <c r="C73" s="4" t="s">
        <v>53</v>
      </c>
      <c r="D73" s="4" t="s">
        <v>79</v>
      </c>
      <c r="E73" s="4" t="s">
        <v>269</v>
      </c>
      <c r="F73" s="4">
        <v>214.32</v>
      </c>
      <c r="G73" s="15">
        <v>383</v>
      </c>
    </row>
    <row r="74" spans="1:7" x14ac:dyDescent="0.25">
      <c r="A74" s="14" t="s">
        <v>270</v>
      </c>
      <c r="B74" s="4" t="s">
        <v>271</v>
      </c>
      <c r="C74" s="4" t="s">
        <v>67</v>
      </c>
      <c r="D74" s="4" t="s">
        <v>68</v>
      </c>
      <c r="E74" s="4" t="s">
        <v>272</v>
      </c>
      <c r="F74" s="4">
        <v>477.61</v>
      </c>
      <c r="G74" s="15">
        <v>300</v>
      </c>
    </row>
    <row r="75" spans="1:7" x14ac:dyDescent="0.25">
      <c r="A75" s="14" t="s">
        <v>273</v>
      </c>
      <c r="B75" s="4" t="s">
        <v>274</v>
      </c>
      <c r="C75" s="4" t="s">
        <v>67</v>
      </c>
      <c r="D75" s="4" t="s">
        <v>143</v>
      </c>
      <c r="E75" s="4" t="s">
        <v>275</v>
      </c>
      <c r="F75" s="4">
        <v>107.06</v>
      </c>
      <c r="G75" s="15">
        <v>359</v>
      </c>
    </row>
    <row r="76" spans="1:7" x14ac:dyDescent="0.25">
      <c r="A76" s="14" t="s">
        <v>276</v>
      </c>
      <c r="B76" s="4" t="s">
        <v>277</v>
      </c>
      <c r="C76" s="4" t="s">
        <v>28</v>
      </c>
      <c r="D76" s="4" t="s">
        <v>63</v>
      </c>
      <c r="E76" s="4" t="s">
        <v>278</v>
      </c>
      <c r="F76" s="4">
        <v>403.71</v>
      </c>
      <c r="G76" s="15">
        <v>159</v>
      </c>
    </row>
    <row r="77" spans="1:7" x14ac:dyDescent="0.25">
      <c r="A77" s="14" t="s">
        <v>279</v>
      </c>
      <c r="B77" s="4" t="s">
        <v>280</v>
      </c>
      <c r="C77" s="4" t="s">
        <v>33</v>
      </c>
      <c r="D77" s="4" t="s">
        <v>162</v>
      </c>
      <c r="E77" s="4" t="s">
        <v>281</v>
      </c>
      <c r="F77" s="4">
        <v>158.13999999999999</v>
      </c>
      <c r="G77" s="15">
        <v>82</v>
      </c>
    </row>
    <row r="78" spans="1:7" x14ac:dyDescent="0.25">
      <c r="A78" s="14" t="s">
        <v>282</v>
      </c>
      <c r="B78" s="4" t="s">
        <v>283</v>
      </c>
      <c r="C78" s="4" t="s">
        <v>28</v>
      </c>
      <c r="D78" s="4" t="s">
        <v>29</v>
      </c>
      <c r="E78" s="4" t="s">
        <v>284</v>
      </c>
      <c r="F78" s="4">
        <v>392.89</v>
      </c>
      <c r="G78" s="15">
        <v>320</v>
      </c>
    </row>
    <row r="79" spans="1:7" x14ac:dyDescent="0.25">
      <c r="A79" s="14" t="s">
        <v>285</v>
      </c>
      <c r="B79" s="4" t="s">
        <v>286</v>
      </c>
      <c r="C79" s="4" t="s">
        <v>28</v>
      </c>
      <c r="D79" s="4" t="s">
        <v>90</v>
      </c>
      <c r="E79" s="4" t="s">
        <v>287</v>
      </c>
      <c r="F79" s="4">
        <v>480.9</v>
      </c>
      <c r="G79" s="15">
        <v>104</v>
      </c>
    </row>
    <row r="80" spans="1:7" x14ac:dyDescent="0.25">
      <c r="A80" s="14" t="s">
        <v>288</v>
      </c>
      <c r="B80" s="4" t="s">
        <v>289</v>
      </c>
      <c r="C80" s="4" t="s">
        <v>58</v>
      </c>
      <c r="D80" s="4" t="s">
        <v>86</v>
      </c>
      <c r="E80" s="4" t="s">
        <v>290</v>
      </c>
      <c r="F80" s="4">
        <v>325.26</v>
      </c>
      <c r="G80" s="15">
        <v>400</v>
      </c>
    </row>
    <row r="81" spans="1:7" x14ac:dyDescent="0.25">
      <c r="A81" s="14" t="s">
        <v>291</v>
      </c>
      <c r="B81" s="4" t="s">
        <v>292</v>
      </c>
      <c r="C81" s="4" t="s">
        <v>58</v>
      </c>
      <c r="D81" s="4" t="s">
        <v>59</v>
      </c>
      <c r="E81" s="4" t="s">
        <v>293</v>
      </c>
      <c r="F81" s="4">
        <v>228.53</v>
      </c>
      <c r="G81" s="15">
        <v>469</v>
      </c>
    </row>
    <row r="82" spans="1:7" x14ac:dyDescent="0.25">
      <c r="A82" s="14" t="s">
        <v>294</v>
      </c>
      <c r="B82" s="4" t="s">
        <v>295</v>
      </c>
      <c r="C82" s="4" t="s">
        <v>58</v>
      </c>
      <c r="D82" s="4" t="s">
        <v>72</v>
      </c>
      <c r="E82" s="4" t="s">
        <v>296</v>
      </c>
      <c r="F82" s="4">
        <v>143.43</v>
      </c>
      <c r="G82" s="15">
        <v>58</v>
      </c>
    </row>
    <row r="83" spans="1:7" x14ac:dyDescent="0.25">
      <c r="A83" s="14" t="s">
        <v>297</v>
      </c>
      <c r="B83" s="4" t="s">
        <v>298</v>
      </c>
      <c r="C83" s="4" t="s">
        <v>67</v>
      </c>
      <c r="D83" s="4" t="s">
        <v>104</v>
      </c>
      <c r="E83" s="4" t="s">
        <v>299</v>
      </c>
      <c r="F83" s="4">
        <v>285.54000000000002</v>
      </c>
      <c r="G83" s="15">
        <v>358</v>
      </c>
    </row>
    <row r="84" spans="1:7" x14ac:dyDescent="0.25">
      <c r="A84" s="14" t="s">
        <v>300</v>
      </c>
      <c r="B84" s="4" t="s">
        <v>301</v>
      </c>
      <c r="C84" s="4" t="s">
        <v>67</v>
      </c>
      <c r="D84" s="4" t="s">
        <v>68</v>
      </c>
      <c r="E84" s="4" t="s">
        <v>302</v>
      </c>
      <c r="F84" s="4">
        <v>152.91999999999999</v>
      </c>
      <c r="G84" s="15">
        <v>281</v>
      </c>
    </row>
    <row r="85" spans="1:7" x14ac:dyDescent="0.25">
      <c r="A85" s="14" t="s">
        <v>303</v>
      </c>
      <c r="B85" s="4" t="s">
        <v>304</v>
      </c>
      <c r="C85" s="4" t="s">
        <v>53</v>
      </c>
      <c r="D85" s="4" t="s">
        <v>54</v>
      </c>
      <c r="E85" s="4" t="s">
        <v>305</v>
      </c>
      <c r="F85" s="4"/>
      <c r="G85" s="15">
        <v>159</v>
      </c>
    </row>
    <row r="86" spans="1:7" x14ac:dyDescent="0.25">
      <c r="A86" s="14" t="s">
        <v>306</v>
      </c>
      <c r="B86" s="4" t="s">
        <v>307</v>
      </c>
      <c r="C86" s="4" t="s">
        <v>58</v>
      </c>
      <c r="D86" s="4" t="s">
        <v>259</v>
      </c>
      <c r="E86" s="4" t="s">
        <v>308</v>
      </c>
      <c r="F86" s="4">
        <v>388.46</v>
      </c>
      <c r="G86" s="15">
        <v>208</v>
      </c>
    </row>
    <row r="87" spans="1:7" x14ac:dyDescent="0.25">
      <c r="A87" s="14" t="s">
        <v>309</v>
      </c>
      <c r="B87" s="4" t="s">
        <v>310</v>
      </c>
      <c r="C87" s="4" t="s">
        <v>33</v>
      </c>
      <c r="D87" s="4" t="s">
        <v>49</v>
      </c>
      <c r="E87" s="4" t="s">
        <v>311</v>
      </c>
      <c r="F87" s="4">
        <v>119.57</v>
      </c>
      <c r="G87" s="15">
        <v>210</v>
      </c>
    </row>
    <row r="88" spans="1:7" x14ac:dyDescent="0.25">
      <c r="A88" s="14" t="s">
        <v>312</v>
      </c>
      <c r="B88" s="4" t="s">
        <v>313</v>
      </c>
      <c r="C88" s="4" t="s">
        <v>58</v>
      </c>
      <c r="D88" s="4" t="s">
        <v>72</v>
      </c>
      <c r="E88" s="4" t="s">
        <v>314</v>
      </c>
      <c r="F88" s="4">
        <v>176.07</v>
      </c>
      <c r="G88" s="15">
        <v>82</v>
      </c>
    </row>
    <row r="89" spans="1:7" x14ac:dyDescent="0.25">
      <c r="A89" s="14" t="s">
        <v>315</v>
      </c>
      <c r="B89" s="4" t="s">
        <v>316</v>
      </c>
      <c r="C89" s="4" t="s">
        <v>58</v>
      </c>
      <c r="D89" s="4" t="s">
        <v>59</v>
      </c>
      <c r="E89" s="4" t="s">
        <v>317</v>
      </c>
      <c r="F89" s="4">
        <v>371.38</v>
      </c>
      <c r="G89" s="15">
        <v>220</v>
      </c>
    </row>
    <row r="90" spans="1:7" x14ac:dyDescent="0.25">
      <c r="A90" s="14" t="s">
        <v>318</v>
      </c>
      <c r="B90" s="4" t="s">
        <v>319</v>
      </c>
      <c r="C90" s="4" t="s">
        <v>67</v>
      </c>
      <c r="D90" s="4" t="s">
        <v>49</v>
      </c>
      <c r="E90" s="4" t="s">
        <v>320</v>
      </c>
      <c r="F90" s="4">
        <v>131.24</v>
      </c>
      <c r="G90" s="15">
        <v>232</v>
      </c>
    </row>
    <row r="91" spans="1:7" x14ac:dyDescent="0.25">
      <c r="A91" s="14" t="s">
        <v>321</v>
      </c>
      <c r="B91" s="4" t="s">
        <v>322</v>
      </c>
      <c r="C91" s="4" t="s">
        <v>53</v>
      </c>
      <c r="D91" s="4" t="s">
        <v>194</v>
      </c>
      <c r="E91" s="4" t="s">
        <v>323</v>
      </c>
      <c r="F91" s="4">
        <v>183.04</v>
      </c>
      <c r="G91" s="15">
        <v>457</v>
      </c>
    </row>
    <row r="92" spans="1:7" x14ac:dyDescent="0.25">
      <c r="A92" s="14" t="s">
        <v>324</v>
      </c>
      <c r="B92" s="4" t="s">
        <v>325</v>
      </c>
      <c r="C92" s="4" t="s">
        <v>28</v>
      </c>
      <c r="D92" s="4" t="s">
        <v>49</v>
      </c>
      <c r="E92" s="4" t="s">
        <v>326</v>
      </c>
      <c r="F92" s="4">
        <v>340.14</v>
      </c>
      <c r="G92" s="15">
        <v>361</v>
      </c>
    </row>
    <row r="93" spans="1:7" x14ac:dyDescent="0.25">
      <c r="A93" s="14" t="s">
        <v>327</v>
      </c>
      <c r="B93" s="4" t="s">
        <v>328</v>
      </c>
      <c r="C93" s="4" t="s">
        <v>33</v>
      </c>
      <c r="D93" s="4" t="s">
        <v>162</v>
      </c>
      <c r="E93" s="4" t="s">
        <v>329</v>
      </c>
      <c r="F93" s="4">
        <v>438.25</v>
      </c>
      <c r="G93" s="15">
        <v>496</v>
      </c>
    </row>
    <row r="94" spans="1:7" x14ac:dyDescent="0.25">
      <c r="A94" s="14" t="s">
        <v>330</v>
      </c>
      <c r="B94" s="4" t="s">
        <v>331</v>
      </c>
      <c r="C94" s="4" t="s">
        <v>58</v>
      </c>
      <c r="D94" s="4" t="s">
        <v>90</v>
      </c>
      <c r="E94" s="4" t="s">
        <v>332</v>
      </c>
      <c r="F94" s="4">
        <v>447.43</v>
      </c>
      <c r="G94" s="15">
        <v>191</v>
      </c>
    </row>
    <row r="95" spans="1:7" x14ac:dyDescent="0.25">
      <c r="A95" s="14" t="s">
        <v>333</v>
      </c>
      <c r="B95" s="4" t="s">
        <v>334</v>
      </c>
      <c r="C95" s="4" t="s">
        <v>28</v>
      </c>
      <c r="D95" s="4" t="s">
        <v>29</v>
      </c>
      <c r="E95" s="4" t="s">
        <v>335</v>
      </c>
      <c r="F95" s="4">
        <v>377.52</v>
      </c>
      <c r="G95" s="15">
        <v>485</v>
      </c>
    </row>
    <row r="96" spans="1:7" x14ac:dyDescent="0.25">
      <c r="A96" s="14" t="s">
        <v>336</v>
      </c>
      <c r="B96" s="4" t="s">
        <v>337</v>
      </c>
      <c r="C96" s="4" t="s">
        <v>53</v>
      </c>
      <c r="D96" s="4" t="s">
        <v>54</v>
      </c>
      <c r="E96" s="4" t="s">
        <v>338</v>
      </c>
      <c r="F96" s="4">
        <v>358.47</v>
      </c>
      <c r="G96" s="15">
        <v>213</v>
      </c>
    </row>
    <row r="97" spans="1:7" x14ac:dyDescent="0.25">
      <c r="A97" s="14" t="s">
        <v>339</v>
      </c>
      <c r="B97" s="4" t="s">
        <v>340</v>
      </c>
      <c r="C97" s="4" t="s">
        <v>67</v>
      </c>
      <c r="D97" s="4" t="s">
        <v>49</v>
      </c>
      <c r="E97" s="4" t="s">
        <v>341</v>
      </c>
      <c r="F97" s="4">
        <v>60.65</v>
      </c>
      <c r="G97" s="15">
        <v>75</v>
      </c>
    </row>
    <row r="98" spans="1:7" x14ac:dyDescent="0.25">
      <c r="A98" s="14" t="s">
        <v>342</v>
      </c>
      <c r="B98" s="4" t="s">
        <v>343</v>
      </c>
      <c r="C98" s="4" t="s">
        <v>33</v>
      </c>
      <c r="D98" s="4" t="s">
        <v>38</v>
      </c>
      <c r="E98" s="4" t="s">
        <v>344</v>
      </c>
      <c r="F98" s="4">
        <v>358.47</v>
      </c>
      <c r="G98" s="15">
        <v>143</v>
      </c>
    </row>
    <row r="99" spans="1:7" x14ac:dyDescent="0.25">
      <c r="A99" s="14" t="s">
        <v>345</v>
      </c>
      <c r="B99" s="4" t="s">
        <v>346</v>
      </c>
      <c r="C99" s="4" t="s">
        <v>67</v>
      </c>
      <c r="D99" s="4" t="s">
        <v>143</v>
      </c>
      <c r="E99" s="4" t="s">
        <v>347</v>
      </c>
      <c r="F99" s="4">
        <v>245.98</v>
      </c>
      <c r="G99" s="15">
        <v>471</v>
      </c>
    </row>
    <row r="100" spans="1:7" x14ac:dyDescent="0.25">
      <c r="A100" s="14" t="s">
        <v>348</v>
      </c>
      <c r="B100" s="4" t="s">
        <v>349</v>
      </c>
      <c r="C100" s="4" t="s">
        <v>28</v>
      </c>
      <c r="D100" s="4" t="s">
        <v>63</v>
      </c>
      <c r="E100" s="4" t="s">
        <v>350</v>
      </c>
      <c r="F100" s="4">
        <v>431.67</v>
      </c>
      <c r="G100" s="15">
        <v>73</v>
      </c>
    </row>
    <row r="101" spans="1:7" x14ac:dyDescent="0.25">
      <c r="A101" s="16" t="s">
        <v>351</v>
      </c>
      <c r="B101" s="17" t="s">
        <v>352</v>
      </c>
      <c r="C101" s="17" t="s">
        <v>58</v>
      </c>
      <c r="D101" s="17" t="s">
        <v>72</v>
      </c>
      <c r="E101" s="17" t="s">
        <v>353</v>
      </c>
      <c r="F101" s="17">
        <v>201.41</v>
      </c>
      <c r="G101" s="18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A28A-EF44-4514-A0FC-7C29463D4110}">
  <dimension ref="A1:AE103"/>
  <sheetViews>
    <sheetView workbookViewId="0">
      <selection activeCell="A3" sqref="A3:G103"/>
    </sheetView>
  </sheetViews>
  <sheetFormatPr defaultRowHeight="15" x14ac:dyDescent="0.25"/>
  <cols>
    <col min="1" max="1" width="15.28515625" bestFit="1" customWidth="1"/>
    <col min="2" max="2" width="27.5703125" bestFit="1" customWidth="1"/>
    <col min="3" max="3" width="13.42578125" bestFit="1" customWidth="1"/>
    <col min="4" max="4" width="17.85546875" bestFit="1" customWidth="1"/>
    <col min="5" max="5" width="30" bestFit="1" customWidth="1"/>
    <col min="6" max="6" width="14.7109375" bestFit="1" customWidth="1"/>
    <col min="7" max="7" width="10.28515625" bestFit="1" customWidth="1"/>
    <col min="8" max="8" width="17.7109375" bestFit="1" customWidth="1"/>
    <col min="9" max="9" width="10.7109375" bestFit="1" customWidth="1"/>
    <col min="10" max="10" width="27.5703125" bestFit="1" customWidth="1"/>
    <col min="11" max="11" width="10.5703125" bestFit="1" customWidth="1"/>
    <col min="12" max="12" width="13.28515625" bestFit="1" customWidth="1"/>
    <col min="13" max="13" width="30" bestFit="1" customWidth="1"/>
    <col min="14" max="14" width="6.5703125" bestFit="1" customWidth="1"/>
    <col min="15" max="15" width="5.7109375" bestFit="1" customWidth="1"/>
    <col min="16" max="16" width="4.140625" customWidth="1"/>
    <col min="17" max="17" width="12.28515625" bestFit="1" customWidth="1"/>
    <col min="18" max="18" width="31.42578125" bestFit="1" customWidth="1"/>
    <col min="19" max="19" width="12.7109375" bestFit="1" customWidth="1"/>
    <col min="20" max="20" width="14.85546875" bestFit="1" customWidth="1"/>
    <col min="21" max="21" width="34.42578125" bestFit="1" customWidth="1"/>
    <col min="22" max="22" width="6.5703125" bestFit="1" customWidth="1"/>
    <col min="23" max="23" width="6.7109375" bestFit="1" customWidth="1"/>
    <col min="24" max="24" width="2.42578125" customWidth="1"/>
    <col min="25" max="25" width="10.5703125" bestFit="1" customWidth="1"/>
    <col min="26" max="26" width="27.5703125" bestFit="1" customWidth="1"/>
    <col min="27" max="27" width="10.5703125" bestFit="1" customWidth="1"/>
    <col min="28" max="28" width="13.28515625" bestFit="1" customWidth="1"/>
    <col min="29" max="29" width="30.28515625" bestFit="1" customWidth="1"/>
    <col min="30" max="30" width="6.5703125" bestFit="1" customWidth="1"/>
    <col min="31" max="31" width="5.7109375" bestFit="1" customWidth="1"/>
  </cols>
  <sheetData>
    <row r="1" spans="1:31" ht="18.75" x14ac:dyDescent="0.3">
      <c r="A1" s="2">
        <v>2</v>
      </c>
      <c r="B1" s="10" t="s">
        <v>359</v>
      </c>
      <c r="C1" s="10"/>
      <c r="D1" s="10"/>
      <c r="E1" s="10"/>
      <c r="F1" s="3" t="s">
        <v>0</v>
      </c>
      <c r="G1" s="19" t="s">
        <v>1</v>
      </c>
      <c r="H1" s="19"/>
    </row>
    <row r="3" spans="1:31" x14ac:dyDescent="0.25">
      <c r="A3" s="1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3" t="s">
        <v>25</v>
      </c>
      <c r="I3" s="4" t="str" cm="1">
        <f t="array" ref="I3:O103">TRIM(Table13[#All])</f>
        <v>Product_ID</v>
      </c>
      <c r="J3" s="4" t="str">
        <v>Product_Name</v>
      </c>
      <c r="K3" s="4" t="str">
        <v>Category</v>
      </c>
      <c r="L3" s="4" t="str">
        <v>Sub_Category</v>
      </c>
      <c r="M3" s="4" t="str">
        <v>Brand</v>
      </c>
      <c r="N3" s="4" t="str">
        <v>Cost</v>
      </c>
      <c r="O3" s="4" t="str">
        <v>Stock</v>
      </c>
      <c r="Q3" s="4" t="str" cm="1">
        <f t="array" ref="Q3:W103">UPPER(Table13[#All])</f>
        <v>PRODUCT_ID</v>
      </c>
      <c r="R3" s="4" t="str">
        <v>PRODUCT_NAME</v>
      </c>
      <c r="S3" s="4" t="str">
        <v>CATEGORY</v>
      </c>
      <c r="T3" s="4" t="str">
        <v>SUB_CATEGORY</v>
      </c>
      <c r="U3" s="4" t="str">
        <v>BRAND</v>
      </c>
      <c r="V3" s="4" t="str">
        <v>COST</v>
      </c>
      <c r="W3" s="4" t="str">
        <v>STOCK</v>
      </c>
      <c r="Y3" s="4" t="str" cm="1">
        <f t="array" ref="Y3:AE103">PROPER(Table13[#All])</f>
        <v>Product_Id</v>
      </c>
      <c r="Z3" s="4" t="str">
        <v>Product_Name</v>
      </c>
      <c r="AA3" s="4" t="str">
        <v>Category</v>
      </c>
      <c r="AB3" s="4" t="str">
        <v>Sub_Category</v>
      </c>
      <c r="AC3" s="4" t="str">
        <v>Brand</v>
      </c>
      <c r="AD3" s="4" t="str">
        <v>Cost</v>
      </c>
      <c r="AE3" s="4" t="str">
        <v>Stock</v>
      </c>
    </row>
    <row r="4" spans="1:31" x14ac:dyDescent="0.25">
      <c r="A4" s="1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112.42</v>
      </c>
      <c r="G4" s="15">
        <v>416</v>
      </c>
      <c r="I4" s="4" t="str">
        <v>PROD0</v>
      </c>
      <c r="J4" s="4" t="str">
        <v>Brother Laser Printer</v>
      </c>
      <c r="K4" s="4" t="str">
        <v>Electronics</v>
      </c>
      <c r="L4" s="4" t="str">
        <v>Computer</v>
      </c>
      <c r="M4" s="4" t="str">
        <v>Hunt Inc</v>
      </c>
      <c r="N4" s="4" t="str">
        <v>112.42</v>
      </c>
      <c r="O4" s="4" t="str">
        <v>416</v>
      </c>
      <c r="Q4" s="4" t="str">
        <v>PROD0</v>
      </c>
      <c r="R4" s="4" t="str">
        <v>BROTHER LASER PRINTER</v>
      </c>
      <c r="S4" s="4" t="str">
        <v>ELECTRONICS</v>
      </c>
      <c r="T4" s="4" t="str">
        <v>COMPUTER</v>
      </c>
      <c r="U4" s="4" t="str">
        <v>HUNT INC</v>
      </c>
      <c r="V4" s="4" t="str">
        <v>112.42</v>
      </c>
      <c r="W4" s="4" t="str">
        <v>416</v>
      </c>
      <c r="Y4" s="4" t="str">
        <v>Prod0</v>
      </c>
      <c r="Z4" s="4" t="str">
        <v>Brother Laser Printer</v>
      </c>
      <c r="AA4" s="4" t="str">
        <v>Electronics</v>
      </c>
      <c r="AB4" s="4" t="str">
        <v>Computer</v>
      </c>
      <c r="AC4" s="4" t="str">
        <v>Hunt Inc</v>
      </c>
      <c r="AD4" s="4" t="str">
        <v>112.42</v>
      </c>
      <c r="AE4" s="4" t="str">
        <v>416</v>
      </c>
    </row>
    <row r="5" spans="1:31" x14ac:dyDescent="0.25">
      <c r="A5" s="1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>
        <v>342.56</v>
      </c>
      <c r="G5" s="15">
        <v>181</v>
      </c>
      <c r="I5" s="4" t="str">
        <v>PROD1</v>
      </c>
      <c r="J5" s="4" t="str">
        <v>Men's Graphic T-Shirt</v>
      </c>
      <c r="K5" s="4" t="str">
        <v>Clothing</v>
      </c>
      <c r="L5" s="4" t="str">
        <v>Tops</v>
      </c>
      <c r="M5" s="4" t="str">
        <v>Terry-Moore</v>
      </c>
      <c r="N5" s="4" t="str">
        <v>342.56</v>
      </c>
      <c r="O5" s="4" t="str">
        <v>181</v>
      </c>
      <c r="Q5" s="4" t="str">
        <v>PROD1</v>
      </c>
      <c r="R5" s="4" t="str">
        <v>MEN'S GRAPHIC T-SHIRT</v>
      </c>
      <c r="S5" s="4" t="str">
        <v>CLOTHING</v>
      </c>
      <c r="T5" s="4" t="str">
        <v>TOPS</v>
      </c>
      <c r="U5" s="4" t="str">
        <v>TERRY-MOORE</v>
      </c>
      <c r="V5" s="4" t="str">
        <v>342.56</v>
      </c>
      <c r="W5" s="4" t="str">
        <v>181</v>
      </c>
      <c r="Y5" s="4" t="str">
        <v>Prod1</v>
      </c>
      <c r="Z5" s="4" t="str">
        <v>Men'S Graphic T-Shirt</v>
      </c>
      <c r="AA5" s="4" t="str">
        <v>Clothing</v>
      </c>
      <c r="AB5" s="4" t="str">
        <v>Tops</v>
      </c>
      <c r="AC5" s="4" t="str">
        <v>Terry-Moore</v>
      </c>
      <c r="AD5" s="4" t="str">
        <v>342.56</v>
      </c>
      <c r="AE5" s="4" t="str">
        <v>181</v>
      </c>
    </row>
    <row r="6" spans="1:31" x14ac:dyDescent="0.25">
      <c r="A6" s="14" t="s">
        <v>36</v>
      </c>
      <c r="B6" s="4" t="s">
        <v>37</v>
      </c>
      <c r="C6" s="4" t="s">
        <v>33</v>
      </c>
      <c r="D6" s="4" t="s">
        <v>38</v>
      </c>
      <c r="E6" s="4" t="s">
        <v>39</v>
      </c>
      <c r="F6" s="4"/>
      <c r="G6" s="15">
        <v>352</v>
      </c>
      <c r="I6" s="4" t="str">
        <v>PROD2</v>
      </c>
      <c r="J6" s="4" t="str">
        <v>Women's Casual Hoodie</v>
      </c>
      <c r="K6" s="4" t="str">
        <v>Clothing</v>
      </c>
      <c r="L6" s="4" t="str">
        <v>Outerwear</v>
      </c>
      <c r="M6" s="4" t="str">
        <v>Sims Inc</v>
      </c>
      <c r="N6" s="4" t="str">
        <v/>
      </c>
      <c r="O6" s="4" t="str">
        <v>352</v>
      </c>
      <c r="Q6" s="4" t="str">
        <v>PROD2</v>
      </c>
      <c r="R6" s="4" t="str">
        <v>WOMEN'S CASUAL HOODIE</v>
      </c>
      <c r="S6" s="4" t="str">
        <v>CLOTHING</v>
      </c>
      <c r="T6" s="4" t="str">
        <v>OUTERWEAR</v>
      </c>
      <c r="U6" s="4" t="str">
        <v>SIMS INC</v>
      </c>
      <c r="V6" s="4" t="str">
        <v/>
      </c>
      <c r="W6" s="4" t="str">
        <v>352</v>
      </c>
      <c r="Y6" s="4" t="str">
        <v>Prod2</v>
      </c>
      <c r="Z6" s="4" t="str">
        <v>Women'S Casual Hoodie</v>
      </c>
      <c r="AA6" s="4" t="str">
        <v>Clothing</v>
      </c>
      <c r="AB6" s="4" t="str">
        <v>Outerwear</v>
      </c>
      <c r="AC6" s="4" t="str">
        <v>Sims Inc</v>
      </c>
      <c r="AD6" s="4" t="str">
        <v/>
      </c>
      <c r="AE6" s="4" t="str">
        <v>352</v>
      </c>
    </row>
    <row r="7" spans="1:31" x14ac:dyDescent="0.25">
      <c r="A7" s="14" t="s">
        <v>357</v>
      </c>
      <c r="B7" s="4" t="s">
        <v>41</v>
      </c>
      <c r="C7" s="4" t="s">
        <v>33</v>
      </c>
      <c r="D7" s="4" t="s">
        <v>38</v>
      </c>
      <c r="E7" s="4" t="s">
        <v>42</v>
      </c>
      <c r="F7" s="4">
        <v>364.67</v>
      </c>
      <c r="G7" s="15">
        <v>452</v>
      </c>
      <c r="I7" s="4" t="str">
        <v>PROD3</v>
      </c>
      <c r="J7" s="4" t="str">
        <v>Men's Running Jacket</v>
      </c>
      <c r="K7" s="4" t="str">
        <v>Clothing</v>
      </c>
      <c r="L7" s="4" t="str">
        <v>Outerwear</v>
      </c>
      <c r="M7" s="4" t="str">
        <v>Pineda Ltd</v>
      </c>
      <c r="N7" s="4" t="str">
        <v>364.67</v>
      </c>
      <c r="O7" s="4" t="str">
        <v>452</v>
      </c>
      <c r="Q7" s="4" t="str">
        <v>PROD3</v>
      </c>
      <c r="R7" s="4" t="str">
        <v>MEN'S RUNNING JACKET</v>
      </c>
      <c r="S7" s="4" t="str">
        <v>CLOTHING</v>
      </c>
      <c r="T7" s="4" t="str">
        <v>OUTERWEAR</v>
      </c>
      <c r="U7" s="4" t="str">
        <v>PINEDA LTD</v>
      </c>
      <c r="V7" s="4" t="str">
        <v>364.67</v>
      </c>
      <c r="W7" s="4" t="str">
        <v>452</v>
      </c>
      <c r="Y7" s="4" t="str">
        <v>Prod3</v>
      </c>
      <c r="Z7" s="4" t="str">
        <v>Men'S Running Jacket</v>
      </c>
      <c r="AA7" s="4" t="str">
        <v>Clothing</v>
      </c>
      <c r="AB7" s="4" t="str">
        <v>Outerwear</v>
      </c>
      <c r="AC7" s="4" t="str">
        <v>Pineda Ltd</v>
      </c>
      <c r="AD7" s="4" t="str">
        <v>364.67</v>
      </c>
      <c r="AE7" s="4" t="str">
        <v>452</v>
      </c>
    </row>
    <row r="8" spans="1:31" x14ac:dyDescent="0.25">
      <c r="A8" s="14" t="s">
        <v>43</v>
      </c>
      <c r="B8" s="4" t="s">
        <v>44</v>
      </c>
      <c r="C8" s="4" t="s">
        <v>33</v>
      </c>
      <c r="D8" s="4" t="s">
        <v>45</v>
      </c>
      <c r="E8" s="4" t="s">
        <v>46</v>
      </c>
      <c r="F8" s="4">
        <v>306.45999999999998</v>
      </c>
      <c r="G8" s="15">
        <v>487</v>
      </c>
      <c r="I8" s="4" t="str">
        <v>PROD4</v>
      </c>
      <c r="J8" s="4" t="str">
        <v>Women's Yoga Pants</v>
      </c>
      <c r="K8" s="4" t="str">
        <v>Clothing</v>
      </c>
      <c r="L8" s="4" t="str">
        <v>Bottoms</v>
      </c>
      <c r="M8" s="4" t="str">
        <v>Gonzales-Davis</v>
      </c>
      <c r="N8" s="4" t="str">
        <v>306.46</v>
      </c>
      <c r="O8" s="4" t="str">
        <v>487</v>
      </c>
      <c r="Q8" s="4" t="str">
        <v>PROD4</v>
      </c>
      <c r="R8" s="4" t="str">
        <v>WOMEN'S YOGA PANTS</v>
      </c>
      <c r="S8" s="4" t="str">
        <v>CLOTHING</v>
      </c>
      <c r="T8" s="4" t="str">
        <v>BOTTOMS</v>
      </c>
      <c r="U8" s="4" t="str">
        <v>GONZALES-DAVIS</v>
      </c>
      <c r="V8" s="4" t="str">
        <v>306.46</v>
      </c>
      <c r="W8" s="4" t="str">
        <v>487</v>
      </c>
      <c r="Y8" s="4" t="str">
        <v>Prod4</v>
      </c>
      <c r="Z8" s="4" t="str">
        <v>Women'S Yoga Pants</v>
      </c>
      <c r="AA8" s="4" t="str">
        <v>Clothing</v>
      </c>
      <c r="AB8" s="4" t="str">
        <v>Bottoms</v>
      </c>
      <c r="AC8" s="4" t="str">
        <v>Gonzales-Davis</v>
      </c>
      <c r="AD8" s="4" t="str">
        <v>306.46</v>
      </c>
      <c r="AE8" s="4" t="str">
        <v>487</v>
      </c>
    </row>
    <row r="9" spans="1:31" x14ac:dyDescent="0.25">
      <c r="A9" s="14" t="s">
        <v>47</v>
      </c>
      <c r="B9" s="4" t="s">
        <v>48</v>
      </c>
      <c r="C9" s="4" t="s">
        <v>33</v>
      </c>
      <c r="D9" s="4" t="s">
        <v>49</v>
      </c>
      <c r="E9" s="4" t="s">
        <v>50</v>
      </c>
      <c r="F9" s="4">
        <v>261</v>
      </c>
      <c r="G9" s="15">
        <v>59</v>
      </c>
      <c r="I9" s="4" t="str">
        <v>PROD5</v>
      </c>
      <c r="J9" s="4" t="str">
        <v>Men's Leather Belt</v>
      </c>
      <c r="K9" s="4" t="str">
        <v>Clothing</v>
      </c>
      <c r="L9" s="4" t="str">
        <v>Accessories</v>
      </c>
      <c r="M9" s="4" t="str">
        <v>Baldwin, Garza and Gonzalez</v>
      </c>
      <c r="N9" s="4" t="str">
        <v>261</v>
      </c>
      <c r="O9" s="4" t="str">
        <v>59</v>
      </c>
      <c r="Q9" s="4" t="str">
        <v>PROD5</v>
      </c>
      <c r="R9" s="4" t="str">
        <v>MEN'S LEATHER BELT</v>
      </c>
      <c r="S9" s="4" t="str">
        <v>CLOTHING</v>
      </c>
      <c r="T9" s="4" t="str">
        <v>ACCESSORIES</v>
      </c>
      <c r="U9" s="4" t="str">
        <v>BALDWIN, GARZA AND GONZALEZ</v>
      </c>
      <c r="V9" s="4" t="str">
        <v>261</v>
      </c>
      <c r="W9" s="4" t="str">
        <v>59</v>
      </c>
      <c r="Y9" s="4" t="str">
        <v>Prod5</v>
      </c>
      <c r="Z9" s="4" t="str">
        <v>Men'S Leather Belt</v>
      </c>
      <c r="AA9" s="4" t="str">
        <v>Clothing</v>
      </c>
      <c r="AB9" s="4" t="str">
        <v>Accessories</v>
      </c>
      <c r="AC9" s="4" t="str">
        <v>Baldwin, Garza And Gonzalez</v>
      </c>
      <c r="AD9" s="4" t="str">
        <v>261</v>
      </c>
      <c r="AE9" s="4" t="str">
        <v>59</v>
      </c>
    </row>
    <row r="10" spans="1:31" x14ac:dyDescent="0.25">
      <c r="A10" s="1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>
        <v>312.8</v>
      </c>
      <c r="G10" s="15">
        <v>350</v>
      </c>
      <c r="I10" s="4" t="str">
        <v>PROD6</v>
      </c>
      <c r="J10" s="4" t="str">
        <v>Herbal Face Moisturizer</v>
      </c>
      <c r="K10" s="4" t="str">
        <v>Beauty</v>
      </c>
      <c r="L10" s="4" t="str">
        <v>Skincare</v>
      </c>
      <c r="M10" s="4" t="str">
        <v>Davidson PLC</v>
      </c>
      <c r="N10" s="4" t="str">
        <v>312.8</v>
      </c>
      <c r="O10" s="4" t="str">
        <v>350</v>
      </c>
      <c r="Q10" s="4" t="str">
        <v>PROD6</v>
      </c>
      <c r="R10" s="4" t="str">
        <v>HERBAL FACE MOISTURIZER</v>
      </c>
      <c r="S10" s="4" t="str">
        <v>BEAUTY</v>
      </c>
      <c r="T10" s="4" t="str">
        <v>SKINCARE</v>
      </c>
      <c r="U10" s="4" t="str">
        <v>DAVIDSON PLC</v>
      </c>
      <c r="V10" s="4" t="str">
        <v>312.8</v>
      </c>
      <c r="W10" s="4" t="str">
        <v>350</v>
      </c>
      <c r="Y10" s="4" t="str">
        <v>Prod6</v>
      </c>
      <c r="Z10" s="4" t="str">
        <v>Herbal Face Moisturizer</v>
      </c>
      <c r="AA10" s="4" t="str">
        <v>Beauty</v>
      </c>
      <c r="AB10" s="4" t="str">
        <v>Skincare</v>
      </c>
      <c r="AC10" s="4" t="str">
        <v>Davidson Plc</v>
      </c>
      <c r="AD10" s="4" t="str">
        <v>312.8</v>
      </c>
      <c r="AE10" s="4" t="str">
        <v>350</v>
      </c>
    </row>
    <row r="11" spans="1:31" x14ac:dyDescent="0.25">
      <c r="A11" s="14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4">
        <v>218.86</v>
      </c>
      <c r="G11" s="15">
        <v>170</v>
      </c>
      <c r="I11" s="4" t="str">
        <v>PROD7</v>
      </c>
      <c r="J11" s="4" t="str">
        <v>LED Table Lamp</v>
      </c>
      <c r="K11" s="4" t="str">
        <v>Home</v>
      </c>
      <c r="L11" s="4" t="str">
        <v>Lighting</v>
      </c>
      <c r="M11" s="4" t="str">
        <v>Harrell LLC</v>
      </c>
      <c r="N11" s="4" t="str">
        <v>218.86</v>
      </c>
      <c r="O11" s="4" t="str">
        <v>170</v>
      </c>
      <c r="Q11" s="4" t="str">
        <v>PROD7</v>
      </c>
      <c r="R11" s="4" t="str">
        <v>LED TABLE LAMP</v>
      </c>
      <c r="S11" s="4" t="str">
        <v>HOME</v>
      </c>
      <c r="T11" s="4" t="str">
        <v>LIGHTING</v>
      </c>
      <c r="U11" s="4" t="str">
        <v>HARRELL LLC</v>
      </c>
      <c r="V11" s="4" t="str">
        <v>218.86</v>
      </c>
      <c r="W11" s="4" t="str">
        <v>170</v>
      </c>
      <c r="Y11" s="4" t="str">
        <v>Prod7</v>
      </c>
      <c r="Z11" s="4" t="str">
        <v>Led Table Lamp</v>
      </c>
      <c r="AA11" s="4" t="str">
        <v>Home</v>
      </c>
      <c r="AB11" s="4" t="str">
        <v>Lighting</v>
      </c>
      <c r="AC11" s="4" t="str">
        <v>Harrell Llc</v>
      </c>
      <c r="AD11" s="4" t="str">
        <v>218.86</v>
      </c>
      <c r="AE11" s="4" t="str">
        <v>170</v>
      </c>
    </row>
    <row r="12" spans="1:31" x14ac:dyDescent="0.25">
      <c r="A12" s="14" t="s">
        <v>61</v>
      </c>
      <c r="B12" s="4" t="s">
        <v>62</v>
      </c>
      <c r="C12" s="4" t="s">
        <v>28</v>
      </c>
      <c r="D12" s="4" t="s">
        <v>63</v>
      </c>
      <c r="E12" s="4" t="s">
        <v>64</v>
      </c>
      <c r="F12" s="4">
        <v>439.07</v>
      </c>
      <c r="G12" s="15">
        <v>142</v>
      </c>
      <c r="I12" s="4" t="str">
        <v>PROD8</v>
      </c>
      <c r="J12" s="4" t="str">
        <v>Wireless Bluetooth Earbuds</v>
      </c>
      <c r="K12" s="4" t="str">
        <v>Electronics</v>
      </c>
      <c r="L12" s="4" t="str">
        <v>Audio</v>
      </c>
      <c r="M12" s="4" t="str">
        <v>Perez-Johnston</v>
      </c>
      <c r="N12" s="4" t="str">
        <v>439.07</v>
      </c>
      <c r="O12" s="4" t="str">
        <v>142</v>
      </c>
      <c r="Q12" s="4" t="str">
        <v>PROD8</v>
      </c>
      <c r="R12" s="4" t="str">
        <v>WIRELESS BLUETOOTH EARBUDS</v>
      </c>
      <c r="S12" s="4" t="str">
        <v>ELECTRONICS</v>
      </c>
      <c r="T12" s="4" t="str">
        <v>AUDIO</v>
      </c>
      <c r="U12" s="4" t="str">
        <v>PEREZ-JOHNSTON</v>
      </c>
      <c r="V12" s="4" t="str">
        <v>439.07</v>
      </c>
      <c r="W12" s="4" t="str">
        <v>142</v>
      </c>
      <c r="Y12" s="4" t="str">
        <v>Prod8</v>
      </c>
      <c r="Z12" s="4" t="str">
        <v>Wireless Bluetooth Earbuds</v>
      </c>
      <c r="AA12" s="4" t="str">
        <v>Electronics</v>
      </c>
      <c r="AB12" s="4" t="str">
        <v>Audio</v>
      </c>
      <c r="AC12" s="4" t="str">
        <v>Perez-Johnston</v>
      </c>
      <c r="AD12" s="4" t="str">
        <v>439.07</v>
      </c>
      <c r="AE12" s="4" t="str">
        <v>142</v>
      </c>
    </row>
    <row r="13" spans="1:31" x14ac:dyDescent="0.25">
      <c r="A13" s="1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>
        <v>495.72</v>
      </c>
      <c r="G13" s="15">
        <v>323</v>
      </c>
      <c r="I13" s="4" t="str">
        <v>PROD9</v>
      </c>
      <c r="J13" s="4" t="str">
        <v>Adjustable Dumbbell Set</v>
      </c>
      <c r="K13" s="4" t="str">
        <v>Sports</v>
      </c>
      <c r="L13" s="4" t="str">
        <v>Fitness</v>
      </c>
      <c r="M13" s="4" t="str">
        <v>Hill PLC</v>
      </c>
      <c r="N13" s="4" t="str">
        <v>495.72</v>
      </c>
      <c r="O13" s="4" t="str">
        <v>323</v>
      </c>
      <c r="Q13" s="4" t="str">
        <v>PROD9</v>
      </c>
      <c r="R13" s="4" t="str">
        <v>ADJUSTABLE DUMBBELL SET</v>
      </c>
      <c r="S13" s="4" t="str">
        <v>SPORTS</v>
      </c>
      <c r="T13" s="4" t="str">
        <v>FITNESS</v>
      </c>
      <c r="U13" s="4" t="str">
        <v>HILL PLC</v>
      </c>
      <c r="V13" s="4" t="str">
        <v>495.72</v>
      </c>
      <c r="W13" s="4" t="str">
        <v>323</v>
      </c>
      <c r="Y13" s="4" t="str">
        <v>Prod9</v>
      </c>
      <c r="Z13" s="4" t="str">
        <v>Adjustable Dumbbell Set</v>
      </c>
      <c r="AA13" s="4" t="str">
        <v>Sports</v>
      </c>
      <c r="AB13" s="4" t="str">
        <v>Fitness</v>
      </c>
      <c r="AC13" s="4" t="str">
        <v>Hill Plc</v>
      </c>
      <c r="AD13" s="4" t="str">
        <v>495.72</v>
      </c>
      <c r="AE13" s="4" t="str">
        <v>323</v>
      </c>
    </row>
    <row r="14" spans="1:31" x14ac:dyDescent="0.25">
      <c r="A14" s="14" t="s">
        <v>70</v>
      </c>
      <c r="B14" s="4" t="s">
        <v>71</v>
      </c>
      <c r="C14" s="4" t="s">
        <v>58</v>
      </c>
      <c r="D14" s="4" t="s">
        <v>72</v>
      </c>
      <c r="E14" s="4" t="s">
        <v>73</v>
      </c>
      <c r="F14" s="4">
        <v>298.86</v>
      </c>
      <c r="G14" s="15">
        <v>308</v>
      </c>
      <c r="I14" s="4" t="str">
        <v>PROD10</v>
      </c>
      <c r="J14" s="4" t="str">
        <v>Ceramic Kitchen Bowl Set</v>
      </c>
      <c r="K14" s="4" t="str">
        <v>Home</v>
      </c>
      <c r="L14" s="4" t="str">
        <v>Kitchen</v>
      </c>
      <c r="M14" s="4" t="str">
        <v>Hamilton Group</v>
      </c>
      <c r="N14" s="4" t="str">
        <v>298.86</v>
      </c>
      <c r="O14" s="4" t="str">
        <v>308</v>
      </c>
      <c r="Q14" s="4" t="str">
        <v>PROD10</v>
      </c>
      <c r="R14" s="4" t="str">
        <v>CERAMIC KITCHEN BOWL SET</v>
      </c>
      <c r="S14" s="4" t="str">
        <v>HOME</v>
      </c>
      <c r="T14" s="4" t="str">
        <v>KITCHEN</v>
      </c>
      <c r="U14" s="4" t="str">
        <v>HAMILTON GROUP</v>
      </c>
      <c r="V14" s="4" t="str">
        <v>298.86</v>
      </c>
      <c r="W14" s="4" t="str">
        <v>308</v>
      </c>
      <c r="Y14" s="4" t="str">
        <v>Prod10</v>
      </c>
      <c r="Z14" s="4" t="str">
        <v>Ceramic Kitchen Bowl Set</v>
      </c>
      <c r="AA14" s="4" t="str">
        <v>Home</v>
      </c>
      <c r="AB14" s="4" t="str">
        <v>Kitchen</v>
      </c>
      <c r="AC14" s="4" t="str">
        <v>Hamilton Group</v>
      </c>
      <c r="AD14" s="4" t="str">
        <v>298.86</v>
      </c>
      <c r="AE14" s="4" t="str">
        <v>308</v>
      </c>
    </row>
    <row r="15" spans="1:31" x14ac:dyDescent="0.25">
      <c r="A15" s="14" t="s">
        <v>74</v>
      </c>
      <c r="B15" s="4" t="s">
        <v>75</v>
      </c>
      <c r="C15" s="4" t="s">
        <v>28</v>
      </c>
      <c r="D15" s="4" t="s">
        <v>49</v>
      </c>
      <c r="E15" s="4" t="s">
        <v>76</v>
      </c>
      <c r="F15" s="4">
        <v>449.4</v>
      </c>
      <c r="G15" s="15"/>
      <c r="I15" s="4" t="str">
        <v>PROD11</v>
      </c>
      <c r="J15" s="4" t="str">
        <v>HD Smart TV Stick</v>
      </c>
      <c r="K15" s="4" t="str">
        <v>Electronics</v>
      </c>
      <c r="L15" s="4" t="str">
        <v>Accessories</v>
      </c>
      <c r="M15" s="4" t="str">
        <v>Gibson, Hobbs and Weaver</v>
      </c>
      <c r="N15" s="4" t="str">
        <v>449.4</v>
      </c>
      <c r="O15" s="4" t="str">
        <v/>
      </c>
      <c r="Q15" s="4" t="str">
        <v>PROD11</v>
      </c>
      <c r="R15" s="4" t="str">
        <v>HD SMART TV STICK</v>
      </c>
      <c r="S15" s="4" t="str">
        <v>ELECTRONICS</v>
      </c>
      <c r="T15" s="4" t="str">
        <v>ACCESSORIES</v>
      </c>
      <c r="U15" s="4" t="str">
        <v>GIBSON, HOBBS AND WEAVER</v>
      </c>
      <c r="V15" s="4" t="str">
        <v>449.4</v>
      </c>
      <c r="W15" s="4" t="str">
        <v/>
      </c>
      <c r="Y15" s="4" t="str">
        <v>Prod11</v>
      </c>
      <c r="Z15" s="4" t="str">
        <v>Hd Smart Tv Stick</v>
      </c>
      <c r="AA15" s="4" t="str">
        <v>Electronics</v>
      </c>
      <c r="AB15" s="4" t="str">
        <v>Accessories</v>
      </c>
      <c r="AC15" s="4" t="str">
        <v>Gibson, Hobbs And Weaver</v>
      </c>
      <c r="AD15" s="4" t="str">
        <v>449.4</v>
      </c>
      <c r="AE15" s="4" t="str">
        <v/>
      </c>
    </row>
    <row r="16" spans="1:31" x14ac:dyDescent="0.25">
      <c r="A16" s="14" t="s">
        <v>77</v>
      </c>
      <c r="B16" s="4" t="s">
        <v>78</v>
      </c>
      <c r="C16" s="4" t="s">
        <v>53</v>
      </c>
      <c r="D16" s="4" t="s">
        <v>79</v>
      </c>
      <c r="E16" s="4" t="s">
        <v>80</v>
      </c>
      <c r="F16" s="4">
        <v>115.82</v>
      </c>
      <c r="G16" s="15">
        <v>460</v>
      </c>
      <c r="I16" s="4" t="str">
        <v>PROD12</v>
      </c>
      <c r="J16" s="4" t="str">
        <v>Hair Strengthening Shampoo</v>
      </c>
      <c r="K16" s="4" t="str">
        <v>Beauty</v>
      </c>
      <c r="L16" s="4" t="str">
        <v>Haircare</v>
      </c>
      <c r="M16" s="4" t="str">
        <v>Rice LLC</v>
      </c>
      <c r="N16" s="4" t="str">
        <v>115.82</v>
      </c>
      <c r="O16" s="4" t="str">
        <v>460</v>
      </c>
      <c r="Q16" s="4" t="str">
        <v>PROD12</v>
      </c>
      <c r="R16" s="4" t="str">
        <v>HAIR STRENGTHENING SHAMPOO</v>
      </c>
      <c r="S16" s="4" t="str">
        <v>BEAUTY</v>
      </c>
      <c r="T16" s="4" t="str">
        <v>HAIRCARE</v>
      </c>
      <c r="U16" s="4" t="str">
        <v>RICE LLC</v>
      </c>
      <c r="V16" s="4" t="str">
        <v>115.82</v>
      </c>
      <c r="W16" s="4" t="str">
        <v>460</v>
      </c>
      <c r="Y16" s="4" t="str">
        <v>Prod12</v>
      </c>
      <c r="Z16" s="4" t="str">
        <v>Hair Strengthening Shampoo</v>
      </c>
      <c r="AA16" s="4" t="str">
        <v>Beauty</v>
      </c>
      <c r="AB16" s="4" t="str">
        <v>Haircare</v>
      </c>
      <c r="AC16" s="4" t="str">
        <v>Rice Llc</v>
      </c>
      <c r="AD16" s="4" t="str">
        <v>115.82</v>
      </c>
      <c r="AE16" s="4" t="str">
        <v>460</v>
      </c>
    </row>
    <row r="17" spans="1:31" x14ac:dyDescent="0.25">
      <c r="A17" s="14" t="s">
        <v>81</v>
      </c>
      <c r="B17" s="4" t="s">
        <v>82</v>
      </c>
      <c r="C17" s="4" t="s">
        <v>28</v>
      </c>
      <c r="D17" s="4" t="s">
        <v>49</v>
      </c>
      <c r="E17" s="4" t="s">
        <v>83</v>
      </c>
      <c r="F17" s="4">
        <v>242.23</v>
      </c>
      <c r="G17" s="15">
        <v>453</v>
      </c>
      <c r="I17" s="4" t="str">
        <v>PROD13</v>
      </c>
      <c r="J17" s="4" t="str">
        <v>USB-C Fast Charger</v>
      </c>
      <c r="K17" s="4" t="str">
        <v>Electronics</v>
      </c>
      <c r="L17" s="4" t="str">
        <v>Accessories</v>
      </c>
      <c r="M17" s="4" t="str">
        <v>Dawson-Perkins</v>
      </c>
      <c r="N17" s="4" t="str">
        <v>242.23</v>
      </c>
      <c r="O17" s="4" t="str">
        <v>453</v>
      </c>
      <c r="Q17" s="4" t="str">
        <v>PROD13</v>
      </c>
      <c r="R17" s="4" t="str">
        <v>USB-C FAST CHARGER</v>
      </c>
      <c r="S17" s="4" t="str">
        <v>ELECTRONICS</v>
      </c>
      <c r="T17" s="4" t="str">
        <v>ACCESSORIES</v>
      </c>
      <c r="U17" s="4" t="str">
        <v>DAWSON-PERKINS</v>
      </c>
      <c r="V17" s="4" t="str">
        <v>242.23</v>
      </c>
      <c r="W17" s="4" t="str">
        <v>453</v>
      </c>
      <c r="Y17" s="4" t="str">
        <v>Prod13</v>
      </c>
      <c r="Z17" s="4" t="str">
        <v>Usb-C Fast Charger</v>
      </c>
      <c r="AA17" s="4" t="str">
        <v>Electronics</v>
      </c>
      <c r="AB17" s="4" t="str">
        <v>Accessories</v>
      </c>
      <c r="AC17" s="4" t="str">
        <v>Dawson-Perkins</v>
      </c>
      <c r="AD17" s="4" t="str">
        <v>242.23</v>
      </c>
      <c r="AE17" s="4" t="str">
        <v>453</v>
      </c>
    </row>
    <row r="18" spans="1:31" x14ac:dyDescent="0.25">
      <c r="A18" s="14" t="s">
        <v>84</v>
      </c>
      <c r="B18" s="4" t="s">
        <v>85</v>
      </c>
      <c r="C18" s="4" t="s">
        <v>58</v>
      </c>
      <c r="D18" s="4" t="s">
        <v>86</v>
      </c>
      <c r="E18" s="4" t="s">
        <v>87</v>
      </c>
      <c r="F18" s="4">
        <v>48.01</v>
      </c>
      <c r="G18" s="15">
        <v>439</v>
      </c>
      <c r="I18" s="4" t="str">
        <v>PROD14</v>
      </c>
      <c r="J18" s="4" t="str">
        <v>Decorative Wall Mirror</v>
      </c>
      <c r="K18" s="4" t="str">
        <v>Home</v>
      </c>
      <c r="L18" s="4" t="str">
        <v>Decor</v>
      </c>
      <c r="M18" s="4" t="str">
        <v>Luna, Anderson and Bowman</v>
      </c>
      <c r="N18" s="4" t="str">
        <v>48.01</v>
      </c>
      <c r="O18" s="4" t="str">
        <v>439</v>
      </c>
      <c r="Q18" s="4" t="str">
        <v>PROD14</v>
      </c>
      <c r="R18" s="4" t="str">
        <v>DECORATIVE WALL MIRROR</v>
      </c>
      <c r="S18" s="4" t="str">
        <v>HOME</v>
      </c>
      <c r="T18" s="4" t="str">
        <v>DECOR</v>
      </c>
      <c r="U18" s="4" t="str">
        <v>LUNA, ANDERSON AND BOWMAN</v>
      </c>
      <c r="V18" s="4" t="str">
        <v>48.01</v>
      </c>
      <c r="W18" s="4" t="str">
        <v>439</v>
      </c>
      <c r="Y18" s="4" t="str">
        <v>Prod14</v>
      </c>
      <c r="Z18" s="4" t="str">
        <v>Decorative Wall Mirror</v>
      </c>
      <c r="AA18" s="4" t="str">
        <v>Home</v>
      </c>
      <c r="AB18" s="4" t="str">
        <v>Decor</v>
      </c>
      <c r="AC18" s="4" t="str">
        <v>Luna, Anderson And Bowman</v>
      </c>
      <c r="AD18" s="4" t="str">
        <v>48.01</v>
      </c>
      <c r="AE18" s="4" t="str">
        <v>439</v>
      </c>
    </row>
    <row r="19" spans="1:31" x14ac:dyDescent="0.25">
      <c r="A19" s="14" t="s">
        <v>88</v>
      </c>
      <c r="B19" s="4" t="s">
        <v>89</v>
      </c>
      <c r="C19" s="4" t="s">
        <v>28</v>
      </c>
      <c r="D19" s="4" t="s">
        <v>90</v>
      </c>
      <c r="E19" s="4" t="s">
        <v>91</v>
      </c>
      <c r="F19" s="4">
        <v>465.34</v>
      </c>
      <c r="G19" s="15">
        <v>301</v>
      </c>
      <c r="I19" s="4" t="str">
        <v>PROD15</v>
      </c>
      <c r="J19" s="4" t="str">
        <v>4K Home Projector</v>
      </c>
      <c r="K19" s="4" t="str">
        <v>Electronics</v>
      </c>
      <c r="L19" s="4" t="str">
        <v>Appliances</v>
      </c>
      <c r="M19" s="4" t="str">
        <v>Thomas LLC</v>
      </c>
      <c r="N19" s="4" t="str">
        <v>465.34</v>
      </c>
      <c r="O19" s="4" t="str">
        <v>301</v>
      </c>
      <c r="Q19" s="4" t="str">
        <v>PROD15</v>
      </c>
      <c r="R19" s="4" t="str">
        <v>4K HOME PROJECTOR</v>
      </c>
      <c r="S19" s="4" t="str">
        <v>ELECTRONICS</v>
      </c>
      <c r="T19" s="4" t="str">
        <v>APPLIANCES</v>
      </c>
      <c r="U19" s="4" t="str">
        <v>THOMAS LLC</v>
      </c>
      <c r="V19" s="4" t="str">
        <v>465.34</v>
      </c>
      <c r="W19" s="4" t="str">
        <v>301</v>
      </c>
      <c r="Y19" s="4" t="str">
        <v>Prod15</v>
      </c>
      <c r="Z19" s="4" t="str">
        <v>4K Home Projector</v>
      </c>
      <c r="AA19" s="4" t="str">
        <v>Electronics</v>
      </c>
      <c r="AB19" s="4" t="str">
        <v>Appliances</v>
      </c>
      <c r="AC19" s="4" t="str">
        <v>Thomas Llc</v>
      </c>
      <c r="AD19" s="4" t="str">
        <v>465.34</v>
      </c>
      <c r="AE19" s="4" t="str">
        <v>301</v>
      </c>
    </row>
    <row r="20" spans="1:31" x14ac:dyDescent="0.25">
      <c r="A20" s="14" t="s">
        <v>358</v>
      </c>
      <c r="B20" s="4" t="s">
        <v>93</v>
      </c>
      <c r="C20" s="4" t="s">
        <v>53</v>
      </c>
      <c r="D20" s="4" t="s">
        <v>94</v>
      </c>
      <c r="E20" s="4" t="s">
        <v>95</v>
      </c>
      <c r="F20" s="4">
        <v>337.42</v>
      </c>
      <c r="G20" s="15">
        <v>256</v>
      </c>
      <c r="I20" s="4" t="str">
        <v>PROD16</v>
      </c>
      <c r="J20" s="4" t="str">
        <v>Beard Grooming Kit</v>
      </c>
      <c r="K20" s="4" t="str">
        <v>Beauty</v>
      </c>
      <c r="L20" s="4" t="str">
        <v>Grooming</v>
      </c>
      <c r="M20" s="4" t="str">
        <v>Erickson-Green</v>
      </c>
      <c r="N20" s="4" t="str">
        <v>337.42</v>
      </c>
      <c r="O20" s="4" t="str">
        <v>256</v>
      </c>
      <c r="Q20" s="4" t="str">
        <v>PROD16</v>
      </c>
      <c r="R20" s="4" t="str">
        <v>BEARD GROOMING KIT</v>
      </c>
      <c r="S20" s="4" t="str">
        <v>BEAUTY</v>
      </c>
      <c r="T20" s="4" t="str">
        <v>GROOMING</v>
      </c>
      <c r="U20" s="4" t="str">
        <v>ERICKSON-GREEN</v>
      </c>
      <c r="V20" s="4" t="str">
        <v>337.42</v>
      </c>
      <c r="W20" s="4" t="str">
        <v>256</v>
      </c>
      <c r="Y20" s="4" t="str">
        <v>Prod16</v>
      </c>
      <c r="Z20" s="4" t="str">
        <v>Beard Grooming Kit</v>
      </c>
      <c r="AA20" s="4" t="str">
        <v>Beauty</v>
      </c>
      <c r="AB20" s="4" t="str">
        <v>Grooming</v>
      </c>
      <c r="AC20" s="4" t="str">
        <v>Erickson-Green</v>
      </c>
      <c r="AD20" s="4" t="str">
        <v>337.42</v>
      </c>
      <c r="AE20" s="4" t="str">
        <v>256</v>
      </c>
    </row>
    <row r="21" spans="1:31" x14ac:dyDescent="0.25">
      <c r="A21" s="14" t="s">
        <v>96</v>
      </c>
      <c r="B21" s="4" t="s">
        <v>97</v>
      </c>
      <c r="C21" s="4" t="s">
        <v>67</v>
      </c>
      <c r="D21" s="4" t="s">
        <v>49</v>
      </c>
      <c r="E21" s="4" t="s">
        <v>98</v>
      </c>
      <c r="F21" s="4">
        <v>144.53</v>
      </c>
      <c r="G21" s="15">
        <v>367</v>
      </c>
      <c r="I21" s="4" t="str">
        <v>PROD17</v>
      </c>
      <c r="J21" s="4" t="str">
        <v>Soccer Training Cone Set</v>
      </c>
      <c r="K21" s="4" t="str">
        <v>Sports</v>
      </c>
      <c r="L21" s="4" t="str">
        <v>Accessories</v>
      </c>
      <c r="M21" s="4" t="str">
        <v>Ford, Murphy and Wilson</v>
      </c>
      <c r="N21" s="4" t="str">
        <v>144.53</v>
      </c>
      <c r="O21" s="4" t="str">
        <v>367</v>
      </c>
      <c r="Q21" s="4" t="str">
        <v>PROD17</v>
      </c>
      <c r="R21" s="4" t="str">
        <v>SOCCER TRAINING CONE SET</v>
      </c>
      <c r="S21" s="4" t="str">
        <v>SPORTS</v>
      </c>
      <c r="T21" s="4" t="str">
        <v>ACCESSORIES</v>
      </c>
      <c r="U21" s="4" t="str">
        <v>FORD, MURPHY AND WILSON</v>
      </c>
      <c r="V21" s="4" t="str">
        <v>144.53</v>
      </c>
      <c r="W21" s="4" t="str">
        <v>367</v>
      </c>
      <c r="Y21" s="4" t="str">
        <v>Prod17</v>
      </c>
      <c r="Z21" s="4" t="str">
        <v>Soccer Training Cone Set</v>
      </c>
      <c r="AA21" s="4" t="str">
        <v>Sports</v>
      </c>
      <c r="AB21" s="4" t="str">
        <v>Accessories</v>
      </c>
      <c r="AC21" s="4" t="str">
        <v>Ford, Murphy And Wilson</v>
      </c>
      <c r="AD21" s="4" t="str">
        <v>144.53</v>
      </c>
      <c r="AE21" s="4" t="str">
        <v>367</v>
      </c>
    </row>
    <row r="22" spans="1:31" x14ac:dyDescent="0.25">
      <c r="A22" s="14" t="s">
        <v>99</v>
      </c>
      <c r="B22" s="4" t="s">
        <v>100</v>
      </c>
      <c r="C22" s="4" t="s">
        <v>33</v>
      </c>
      <c r="D22" s="4" t="s">
        <v>45</v>
      </c>
      <c r="E22" s="4" t="s">
        <v>101</v>
      </c>
      <c r="F22" s="4"/>
      <c r="G22" s="15">
        <v>343</v>
      </c>
      <c r="I22" s="4" t="str">
        <v>PROD18</v>
      </c>
      <c r="J22" s="4" t="str">
        <v>Women's Denim Jeans</v>
      </c>
      <c r="K22" s="4" t="str">
        <v>Clothing</v>
      </c>
      <c r="L22" s="4" t="str">
        <v>Bottoms</v>
      </c>
      <c r="M22" s="4" t="str">
        <v>Guerra-Hendrix</v>
      </c>
      <c r="N22" s="4" t="str">
        <v/>
      </c>
      <c r="O22" s="4" t="str">
        <v>343</v>
      </c>
      <c r="Q22" s="4" t="str">
        <v>PROD18</v>
      </c>
      <c r="R22" s="4" t="str">
        <v>WOMEN'S DENIM JEANS</v>
      </c>
      <c r="S22" s="4" t="str">
        <v>CLOTHING</v>
      </c>
      <c r="T22" s="4" t="str">
        <v>BOTTOMS</v>
      </c>
      <c r="U22" s="4" t="str">
        <v>GUERRA-HENDRIX</v>
      </c>
      <c r="V22" s="4" t="str">
        <v/>
      </c>
      <c r="W22" s="4" t="str">
        <v>343</v>
      </c>
      <c r="Y22" s="4" t="str">
        <v>Prod18</v>
      </c>
      <c r="Z22" s="4" t="str">
        <v>Women'S Denim Jeans</v>
      </c>
      <c r="AA22" s="4" t="str">
        <v>Clothing</v>
      </c>
      <c r="AB22" s="4" t="str">
        <v>Bottoms</v>
      </c>
      <c r="AC22" s="4" t="str">
        <v>Guerra-Hendrix</v>
      </c>
      <c r="AD22" s="4" t="str">
        <v/>
      </c>
      <c r="AE22" s="4" t="str">
        <v>343</v>
      </c>
    </row>
    <row r="23" spans="1:31" x14ac:dyDescent="0.25">
      <c r="A23" s="14" t="s">
        <v>102</v>
      </c>
      <c r="B23" s="4" t="s">
        <v>103</v>
      </c>
      <c r="C23" s="4" t="s">
        <v>67</v>
      </c>
      <c r="D23" s="4" t="s">
        <v>104</v>
      </c>
      <c r="E23" s="4" t="s">
        <v>105</v>
      </c>
      <c r="F23" s="4">
        <v>21.34</v>
      </c>
      <c r="G23" s="15">
        <v>65</v>
      </c>
      <c r="I23" s="4" t="str">
        <v>PROD19</v>
      </c>
      <c r="J23" s="4" t="str">
        <v>Knee Support Brace</v>
      </c>
      <c r="K23" s="4" t="str">
        <v>Sports</v>
      </c>
      <c r="L23" s="4" t="str">
        <v>Equipment</v>
      </c>
      <c r="M23" s="4" t="str">
        <v>May-Reese</v>
      </c>
      <c r="N23" s="4" t="str">
        <v>21.34</v>
      </c>
      <c r="O23" s="4" t="str">
        <v>65</v>
      </c>
      <c r="Q23" s="4" t="str">
        <v>PROD19</v>
      </c>
      <c r="R23" s="4" t="str">
        <v>KNEE SUPPORT BRACE</v>
      </c>
      <c r="S23" s="4" t="str">
        <v>SPORTS</v>
      </c>
      <c r="T23" s="4" t="str">
        <v>EQUIPMENT</v>
      </c>
      <c r="U23" s="4" t="str">
        <v>MAY-REESE</v>
      </c>
      <c r="V23" s="4" t="str">
        <v>21.34</v>
      </c>
      <c r="W23" s="4" t="str">
        <v>65</v>
      </c>
      <c r="Y23" s="4" t="str">
        <v>Prod19</v>
      </c>
      <c r="Z23" s="4" t="str">
        <v>Knee Support Brace</v>
      </c>
      <c r="AA23" s="4" t="str">
        <v>Sports</v>
      </c>
      <c r="AB23" s="4" t="str">
        <v>Equipment</v>
      </c>
      <c r="AC23" s="4" t="str">
        <v>May-Reese</v>
      </c>
      <c r="AD23" s="4" t="str">
        <v>21.34</v>
      </c>
      <c r="AE23" s="4" t="str">
        <v>65</v>
      </c>
    </row>
    <row r="24" spans="1:31" x14ac:dyDescent="0.25">
      <c r="A24" s="14" t="s">
        <v>106</v>
      </c>
      <c r="B24" s="4" t="s">
        <v>107</v>
      </c>
      <c r="C24" s="4" t="s">
        <v>67</v>
      </c>
      <c r="D24" s="4" t="s">
        <v>49</v>
      </c>
      <c r="E24" s="4" t="s">
        <v>108</v>
      </c>
      <c r="F24" s="4">
        <v>131.51</v>
      </c>
      <c r="G24" s="15"/>
      <c r="I24" s="4" t="str">
        <v>PROD20</v>
      </c>
      <c r="J24" s="4" t="str">
        <v>Outdoor Sports Water Bottle</v>
      </c>
      <c r="K24" s="4" t="str">
        <v>Sports</v>
      </c>
      <c r="L24" s="4" t="str">
        <v>Accessories</v>
      </c>
      <c r="M24" s="4" t="str">
        <v>Soto-Ellis</v>
      </c>
      <c r="N24" s="4" t="str">
        <v>131.51</v>
      </c>
      <c r="O24" s="4" t="str">
        <v/>
      </c>
      <c r="Q24" s="4" t="str">
        <v>PROD20</v>
      </c>
      <c r="R24" s="4" t="str">
        <v>OUTDOOR SPORTS WATER BOTTLE</v>
      </c>
      <c r="S24" s="4" t="str">
        <v>SPORTS</v>
      </c>
      <c r="T24" s="4" t="str">
        <v>ACCESSORIES</v>
      </c>
      <c r="U24" s="4" t="str">
        <v>SOTO-ELLIS</v>
      </c>
      <c r="V24" s="4" t="str">
        <v>131.51</v>
      </c>
      <c r="W24" s="4" t="str">
        <v/>
      </c>
      <c r="Y24" s="4" t="str">
        <v>Prod20</v>
      </c>
      <c r="Z24" s="4" t="str">
        <v>Outdoor Sports Water Bottle</v>
      </c>
      <c r="AA24" s="4" t="str">
        <v>Sports</v>
      </c>
      <c r="AB24" s="4" t="str">
        <v>Accessories</v>
      </c>
      <c r="AC24" s="4" t="str">
        <v>Soto-Ellis</v>
      </c>
      <c r="AD24" s="4" t="str">
        <v>131.51</v>
      </c>
      <c r="AE24" s="4" t="str">
        <v/>
      </c>
    </row>
    <row r="25" spans="1:31" x14ac:dyDescent="0.25">
      <c r="A25" s="14" t="s">
        <v>109</v>
      </c>
      <c r="B25" s="4" t="s">
        <v>110</v>
      </c>
      <c r="C25" s="4" t="s">
        <v>58</v>
      </c>
      <c r="D25" s="4" t="s">
        <v>111</v>
      </c>
      <c r="E25" s="4" t="s">
        <v>112</v>
      </c>
      <c r="F25" s="4">
        <v>123.46</v>
      </c>
      <c r="G25" s="15">
        <v>76</v>
      </c>
      <c r="I25" s="4" t="str">
        <v>PROD21</v>
      </c>
      <c r="J25" s="4" t="str">
        <v>Multi-Purpose Storage Box</v>
      </c>
      <c r="K25" s="4" t="str">
        <v>Home</v>
      </c>
      <c r="L25" s="4" t="str">
        <v>Storage</v>
      </c>
      <c r="M25" s="4" t="str">
        <v>Gardner-Montes</v>
      </c>
      <c r="N25" s="4" t="str">
        <v>123.46</v>
      </c>
      <c r="O25" s="4" t="str">
        <v>76</v>
      </c>
      <c r="Q25" s="4" t="str">
        <v>PROD21</v>
      </c>
      <c r="R25" s="4" t="str">
        <v>MULTI-PURPOSE STORAGE BOX</v>
      </c>
      <c r="S25" s="4" t="str">
        <v>HOME</v>
      </c>
      <c r="T25" s="4" t="str">
        <v>STORAGE</v>
      </c>
      <c r="U25" s="4" t="str">
        <v>GARDNER-MONTES</v>
      </c>
      <c r="V25" s="4" t="str">
        <v>123.46</v>
      </c>
      <c r="W25" s="4" t="str">
        <v>76</v>
      </c>
      <c r="Y25" s="4" t="str">
        <v>Prod21</v>
      </c>
      <c r="Z25" s="4" t="str">
        <v>Multi-Purpose Storage Box</v>
      </c>
      <c r="AA25" s="4" t="str">
        <v>Home</v>
      </c>
      <c r="AB25" s="4" t="str">
        <v>Storage</v>
      </c>
      <c r="AC25" s="4" t="str">
        <v>Gardner-Montes</v>
      </c>
      <c r="AD25" s="4" t="str">
        <v>123.46</v>
      </c>
      <c r="AE25" s="4" t="str">
        <v>76</v>
      </c>
    </row>
    <row r="26" spans="1:31" x14ac:dyDescent="0.25">
      <c r="A26" s="14" t="s">
        <v>113</v>
      </c>
      <c r="B26" s="4" t="s">
        <v>114</v>
      </c>
      <c r="C26" s="4" t="s">
        <v>67</v>
      </c>
      <c r="D26" s="4" t="s">
        <v>104</v>
      </c>
      <c r="E26" s="4" t="s">
        <v>115</v>
      </c>
      <c r="F26" s="4">
        <v>484.62</v>
      </c>
      <c r="G26" s="15">
        <v>432</v>
      </c>
      <c r="I26" s="4" t="str">
        <v>PROD22</v>
      </c>
      <c r="J26" s="4" t="str">
        <v>Carbon Fiber Tennis Racket</v>
      </c>
      <c r="K26" s="4" t="str">
        <v>Sports</v>
      </c>
      <c r="L26" s="4" t="str">
        <v>Equipment</v>
      </c>
      <c r="M26" s="4" t="str">
        <v>Flores, Pineda and Rodriguez</v>
      </c>
      <c r="N26" s="4" t="str">
        <v>484.62</v>
      </c>
      <c r="O26" s="4" t="str">
        <v>432</v>
      </c>
      <c r="Q26" s="4" t="str">
        <v>PROD22</v>
      </c>
      <c r="R26" s="4" t="str">
        <v>CARBON FIBER TENNIS RACKET</v>
      </c>
      <c r="S26" s="4" t="str">
        <v>SPORTS</v>
      </c>
      <c r="T26" s="4" t="str">
        <v>EQUIPMENT</v>
      </c>
      <c r="U26" s="4" t="str">
        <v>FLORES, PINEDA AND RODRIGUEZ</v>
      </c>
      <c r="V26" s="4" t="str">
        <v>484.62</v>
      </c>
      <c r="W26" s="4" t="str">
        <v>432</v>
      </c>
      <c r="Y26" s="4" t="str">
        <v>Prod22</v>
      </c>
      <c r="Z26" s="4" t="str">
        <v>Carbon Fiber Tennis Racket</v>
      </c>
      <c r="AA26" s="4" t="str">
        <v>Sports</v>
      </c>
      <c r="AB26" s="4" t="str">
        <v>Equipment</v>
      </c>
      <c r="AC26" s="4" t="str">
        <v>Flores, Pineda And Rodriguez</v>
      </c>
      <c r="AD26" s="4" t="str">
        <v>484.62</v>
      </c>
      <c r="AE26" s="4" t="str">
        <v>432</v>
      </c>
    </row>
    <row r="27" spans="1:31" x14ac:dyDescent="0.25">
      <c r="A27" s="14" t="s">
        <v>116</v>
      </c>
      <c r="B27" s="4" t="s">
        <v>117</v>
      </c>
      <c r="C27" s="4" t="s">
        <v>33</v>
      </c>
      <c r="D27" s="4" t="s">
        <v>34</v>
      </c>
      <c r="E27" s="4" t="s">
        <v>118</v>
      </c>
      <c r="F27" s="4"/>
      <c r="G27" s="15">
        <v>360</v>
      </c>
      <c r="I27" s="4" t="str">
        <v>PROD23</v>
      </c>
      <c r="J27" s="4" t="str">
        <v>Men's Formal Shirt</v>
      </c>
      <c r="K27" s="4" t="str">
        <v>Clothing</v>
      </c>
      <c r="L27" s="4" t="str">
        <v>Tops</v>
      </c>
      <c r="M27" s="4" t="str">
        <v>Moon, Mora and Santos</v>
      </c>
      <c r="N27" s="4" t="str">
        <v/>
      </c>
      <c r="O27" s="4" t="str">
        <v>360</v>
      </c>
      <c r="Q27" s="4" t="str">
        <v>PROD23</v>
      </c>
      <c r="R27" s="4" t="str">
        <v>MEN'S FORMAL SHIRT</v>
      </c>
      <c r="S27" s="4" t="str">
        <v>CLOTHING</v>
      </c>
      <c r="T27" s="4" t="str">
        <v>TOPS</v>
      </c>
      <c r="U27" s="4" t="str">
        <v>MOON, MORA AND SANTOS</v>
      </c>
      <c r="V27" s="4" t="str">
        <v/>
      </c>
      <c r="W27" s="4" t="str">
        <v>360</v>
      </c>
      <c r="Y27" s="4" t="str">
        <v>Prod23</v>
      </c>
      <c r="Z27" s="4" t="str">
        <v>Men'S Formal Shirt</v>
      </c>
      <c r="AA27" s="4" t="str">
        <v>Clothing</v>
      </c>
      <c r="AB27" s="4" t="str">
        <v>Tops</v>
      </c>
      <c r="AC27" s="4" t="str">
        <v>Moon, Mora And Santos</v>
      </c>
      <c r="AD27" s="4" t="str">
        <v/>
      </c>
      <c r="AE27" s="4" t="str">
        <v>360</v>
      </c>
    </row>
    <row r="28" spans="1:31" x14ac:dyDescent="0.25">
      <c r="A28" s="14" t="s">
        <v>119</v>
      </c>
      <c r="B28" s="4" t="s">
        <v>120</v>
      </c>
      <c r="C28" s="4" t="s">
        <v>67</v>
      </c>
      <c r="D28" s="4" t="s">
        <v>121</v>
      </c>
      <c r="E28" s="4" t="s">
        <v>122</v>
      </c>
      <c r="F28" s="4">
        <v>166.06</v>
      </c>
      <c r="G28" s="15">
        <v>340</v>
      </c>
      <c r="I28" s="4" t="str">
        <v>PROD24</v>
      </c>
      <c r="J28" s="4" t="str">
        <v>Foldable Camping Chair</v>
      </c>
      <c r="K28" s="4" t="str">
        <v>Sports</v>
      </c>
      <c r="L28" s="4" t="str">
        <v>Outdoor</v>
      </c>
      <c r="M28" s="4" t="str">
        <v>Cook Ltd</v>
      </c>
      <c r="N28" s="4" t="str">
        <v>166.06</v>
      </c>
      <c r="O28" s="4" t="str">
        <v>340</v>
      </c>
      <c r="Q28" s="4" t="str">
        <v>PROD24</v>
      </c>
      <c r="R28" s="4" t="str">
        <v>FOLDABLE CAMPING CHAIR</v>
      </c>
      <c r="S28" s="4" t="str">
        <v>SPORTS</v>
      </c>
      <c r="T28" s="4" t="str">
        <v>OUTDOOR</v>
      </c>
      <c r="U28" s="4" t="str">
        <v>COOK LTD</v>
      </c>
      <c r="V28" s="4" t="str">
        <v>166.06</v>
      </c>
      <c r="W28" s="4" t="str">
        <v>340</v>
      </c>
      <c r="Y28" s="4" t="str">
        <v>Prod24</v>
      </c>
      <c r="Z28" s="4" t="str">
        <v>Foldable Camping Chair</v>
      </c>
      <c r="AA28" s="4" t="str">
        <v>Sports</v>
      </c>
      <c r="AB28" s="4" t="str">
        <v>Outdoor</v>
      </c>
      <c r="AC28" s="4" t="str">
        <v>Cook Ltd</v>
      </c>
      <c r="AD28" s="4" t="str">
        <v>166.06</v>
      </c>
      <c r="AE28" s="4" t="str">
        <v>340</v>
      </c>
    </row>
    <row r="29" spans="1:31" x14ac:dyDescent="0.25">
      <c r="A29" s="14" t="s">
        <v>123</v>
      </c>
      <c r="B29" s="4" t="s">
        <v>124</v>
      </c>
      <c r="C29" s="4" t="s">
        <v>33</v>
      </c>
      <c r="D29" s="4" t="s">
        <v>49</v>
      </c>
      <c r="E29" s="4" t="s">
        <v>125</v>
      </c>
      <c r="F29" s="4">
        <v>174.02</v>
      </c>
      <c r="G29" s="15">
        <v>268</v>
      </c>
      <c r="I29" s="4" t="str">
        <v>PROD25</v>
      </c>
      <c r="J29" s="4" t="str">
        <v>Women's Scarf Set</v>
      </c>
      <c r="K29" s="4" t="str">
        <v>Clothing</v>
      </c>
      <c r="L29" s="4" t="str">
        <v>Accessories</v>
      </c>
      <c r="M29" s="4" t="str">
        <v>Brown and Sons</v>
      </c>
      <c r="N29" s="4" t="str">
        <v>174.02</v>
      </c>
      <c r="O29" s="4" t="str">
        <v>268</v>
      </c>
      <c r="Q29" s="4" t="str">
        <v>PROD25</v>
      </c>
      <c r="R29" s="4" t="str">
        <v>WOMEN'S SCARF SET</v>
      </c>
      <c r="S29" s="4" t="str">
        <v>CLOTHING</v>
      </c>
      <c r="T29" s="4" t="str">
        <v>ACCESSORIES</v>
      </c>
      <c r="U29" s="4" t="str">
        <v>BROWN AND SONS</v>
      </c>
      <c r="V29" s="4" t="str">
        <v>174.02</v>
      </c>
      <c r="W29" s="4" t="str">
        <v>268</v>
      </c>
      <c r="Y29" s="4" t="str">
        <v>Prod25</v>
      </c>
      <c r="Z29" s="4" t="str">
        <v>Women'S Scarf Set</v>
      </c>
      <c r="AA29" s="4" t="str">
        <v>Clothing</v>
      </c>
      <c r="AB29" s="4" t="str">
        <v>Accessories</v>
      </c>
      <c r="AC29" s="4" t="str">
        <v>Brown And Sons</v>
      </c>
      <c r="AD29" s="4" t="str">
        <v>174.02</v>
      </c>
      <c r="AE29" s="4" t="str">
        <v>268</v>
      </c>
    </row>
    <row r="30" spans="1:31" x14ac:dyDescent="0.25">
      <c r="A30" s="14" t="s">
        <v>126</v>
      </c>
      <c r="B30" s="4" t="s">
        <v>127</v>
      </c>
      <c r="C30" s="4" t="s">
        <v>28</v>
      </c>
      <c r="D30" s="4" t="s">
        <v>63</v>
      </c>
      <c r="E30" s="4" t="s">
        <v>128</v>
      </c>
      <c r="F30" s="4">
        <v>322.41000000000003</v>
      </c>
      <c r="G30" s="15">
        <v>213</v>
      </c>
      <c r="I30" s="4" t="str">
        <v>PROD26</v>
      </c>
      <c r="J30" s="4" t="str">
        <v>Wireless Bluetooth Speaker</v>
      </c>
      <c r="K30" s="4" t="str">
        <v>Electronics</v>
      </c>
      <c r="L30" s="4" t="str">
        <v>Audio</v>
      </c>
      <c r="M30" s="4" t="str">
        <v>Reed-Schmidt</v>
      </c>
      <c r="N30" s="4" t="str">
        <v>322.41</v>
      </c>
      <c r="O30" s="4" t="str">
        <v>213</v>
      </c>
      <c r="Q30" s="4" t="str">
        <v>PROD26</v>
      </c>
      <c r="R30" s="4" t="str">
        <v>WIRELESS BLUETOOTH SPEAKER</v>
      </c>
      <c r="S30" s="4" t="str">
        <v>ELECTRONICS</v>
      </c>
      <c r="T30" s="4" t="str">
        <v>AUDIO</v>
      </c>
      <c r="U30" s="4" t="str">
        <v>REED-SCHMIDT</v>
      </c>
      <c r="V30" s="4" t="str">
        <v>322.41</v>
      </c>
      <c r="W30" s="4" t="str">
        <v>213</v>
      </c>
      <c r="Y30" s="4" t="str">
        <v>Prod26</v>
      </c>
      <c r="Z30" s="4" t="str">
        <v>Wireless Bluetooth Speaker</v>
      </c>
      <c r="AA30" s="4" t="str">
        <v>Electronics</v>
      </c>
      <c r="AB30" s="4" t="str">
        <v>Audio</v>
      </c>
      <c r="AC30" s="4" t="str">
        <v>Reed-Schmidt</v>
      </c>
      <c r="AD30" s="4" t="str">
        <v>322.41</v>
      </c>
      <c r="AE30" s="4" t="str">
        <v>213</v>
      </c>
    </row>
    <row r="31" spans="1:31" x14ac:dyDescent="0.25">
      <c r="A31" s="14" t="s">
        <v>129</v>
      </c>
      <c r="B31" s="4" t="s">
        <v>130</v>
      </c>
      <c r="C31" s="4" t="s">
        <v>58</v>
      </c>
      <c r="D31" s="4" t="s">
        <v>86</v>
      </c>
      <c r="E31" s="4" t="s">
        <v>131</v>
      </c>
      <c r="F31" s="4"/>
      <c r="G31" s="15">
        <v>378</v>
      </c>
      <c r="I31" s="4" t="str">
        <v>PROD27</v>
      </c>
      <c r="J31" s="4" t="str">
        <v>Decorative Floor Vase</v>
      </c>
      <c r="K31" s="4" t="str">
        <v>Home</v>
      </c>
      <c r="L31" s="4" t="str">
        <v>Decor</v>
      </c>
      <c r="M31" s="4" t="str">
        <v>Khan, Jones and Paul</v>
      </c>
      <c r="N31" s="4" t="str">
        <v/>
      </c>
      <c r="O31" s="4" t="str">
        <v>378</v>
      </c>
      <c r="Q31" s="4" t="str">
        <v>PROD27</v>
      </c>
      <c r="R31" s="4" t="str">
        <v>DECORATIVE FLOOR VASE</v>
      </c>
      <c r="S31" s="4" t="str">
        <v>HOME</v>
      </c>
      <c r="T31" s="4" t="str">
        <v>DECOR</v>
      </c>
      <c r="U31" s="4" t="str">
        <v>KHAN, JONES AND PAUL</v>
      </c>
      <c r="V31" s="4" t="str">
        <v/>
      </c>
      <c r="W31" s="4" t="str">
        <v>378</v>
      </c>
      <c r="Y31" s="4" t="str">
        <v>Prod27</v>
      </c>
      <c r="Z31" s="4" t="str">
        <v>Decorative Floor Vase</v>
      </c>
      <c r="AA31" s="4" t="str">
        <v>Home</v>
      </c>
      <c r="AB31" s="4" t="str">
        <v>Decor</v>
      </c>
      <c r="AC31" s="4" t="str">
        <v>Khan, Jones And Paul</v>
      </c>
      <c r="AD31" s="4" t="str">
        <v/>
      </c>
      <c r="AE31" s="4" t="str">
        <v>378</v>
      </c>
    </row>
    <row r="32" spans="1:31" x14ac:dyDescent="0.25">
      <c r="A32" s="14" t="s">
        <v>132</v>
      </c>
      <c r="B32" s="4" t="s">
        <v>133</v>
      </c>
      <c r="C32" s="4" t="s">
        <v>67</v>
      </c>
      <c r="D32" s="4" t="s">
        <v>49</v>
      </c>
      <c r="E32" s="4" t="s">
        <v>134</v>
      </c>
      <c r="F32" s="4">
        <v>38.76</v>
      </c>
      <c r="G32" s="15">
        <v>137</v>
      </c>
      <c r="I32" s="4" t="str">
        <v>PROD28</v>
      </c>
      <c r="J32" s="4" t="str">
        <v>Sports Stopwatch Timer</v>
      </c>
      <c r="K32" s="4" t="str">
        <v>Sports</v>
      </c>
      <c r="L32" s="4" t="str">
        <v>Accessories</v>
      </c>
      <c r="M32" s="4" t="str">
        <v>Burns-Hansen</v>
      </c>
      <c r="N32" s="4" t="str">
        <v>38.76</v>
      </c>
      <c r="O32" s="4" t="str">
        <v>137</v>
      </c>
      <c r="Q32" s="4" t="str">
        <v>PROD28</v>
      </c>
      <c r="R32" s="4" t="str">
        <v>SPORTS STOPWATCH TIMER</v>
      </c>
      <c r="S32" s="4" t="str">
        <v>SPORTS</v>
      </c>
      <c r="T32" s="4" t="str">
        <v>ACCESSORIES</v>
      </c>
      <c r="U32" s="4" t="str">
        <v>BURNS-HANSEN</v>
      </c>
      <c r="V32" s="4" t="str">
        <v>38.76</v>
      </c>
      <c r="W32" s="4" t="str">
        <v>137</v>
      </c>
      <c r="Y32" s="4" t="str">
        <v>Prod28</v>
      </c>
      <c r="Z32" s="4" t="str">
        <v>Sports Stopwatch Timer</v>
      </c>
      <c r="AA32" s="4" t="str">
        <v>Sports</v>
      </c>
      <c r="AB32" s="4" t="str">
        <v>Accessories</v>
      </c>
      <c r="AC32" s="4" t="str">
        <v>Burns-Hansen</v>
      </c>
      <c r="AD32" s="4" t="str">
        <v>38.76</v>
      </c>
      <c r="AE32" s="4" t="str">
        <v>137</v>
      </c>
    </row>
    <row r="33" spans="1:31" x14ac:dyDescent="0.25">
      <c r="A33" s="14" t="s">
        <v>135</v>
      </c>
      <c r="B33" s="4" t="s">
        <v>136</v>
      </c>
      <c r="C33" s="4" t="s">
        <v>58</v>
      </c>
      <c r="D33" s="4" t="s">
        <v>86</v>
      </c>
      <c r="E33" s="4" t="s">
        <v>137</v>
      </c>
      <c r="F33" s="4">
        <v>218.48</v>
      </c>
      <c r="G33" s="15">
        <v>276</v>
      </c>
      <c r="I33" s="4" t="str">
        <v>PROD29</v>
      </c>
      <c r="J33" s="4" t="str">
        <v>Fabric Sofa Throw Blanket</v>
      </c>
      <c r="K33" s="4" t="str">
        <v>Home</v>
      </c>
      <c r="L33" s="4" t="str">
        <v>Decor</v>
      </c>
      <c r="M33" s="4" t="str">
        <v>Hoffman Group</v>
      </c>
      <c r="N33" s="4" t="str">
        <v>218.48</v>
      </c>
      <c r="O33" s="4" t="str">
        <v>276</v>
      </c>
      <c r="Q33" s="4" t="str">
        <v>PROD29</v>
      </c>
      <c r="R33" s="4" t="str">
        <v>FABRIC SOFA THROW BLANKET</v>
      </c>
      <c r="S33" s="4" t="str">
        <v>HOME</v>
      </c>
      <c r="T33" s="4" t="str">
        <v>DECOR</v>
      </c>
      <c r="U33" s="4" t="str">
        <v>HOFFMAN GROUP</v>
      </c>
      <c r="V33" s="4" t="str">
        <v>218.48</v>
      </c>
      <c r="W33" s="4" t="str">
        <v>276</v>
      </c>
      <c r="Y33" s="4" t="str">
        <v>Prod29</v>
      </c>
      <c r="Z33" s="4" t="str">
        <v>Fabric Sofa Throw Blanket</v>
      </c>
      <c r="AA33" s="4" t="str">
        <v>Home</v>
      </c>
      <c r="AB33" s="4" t="str">
        <v>Decor</v>
      </c>
      <c r="AC33" s="4" t="str">
        <v>Hoffman Group</v>
      </c>
      <c r="AD33" s="4" t="str">
        <v>218.48</v>
      </c>
      <c r="AE33" s="4" t="str">
        <v>276</v>
      </c>
    </row>
    <row r="34" spans="1:31" x14ac:dyDescent="0.25">
      <c r="A34" s="14" t="s">
        <v>138</v>
      </c>
      <c r="B34" s="4" t="s">
        <v>139</v>
      </c>
      <c r="C34" s="4" t="s">
        <v>58</v>
      </c>
      <c r="D34" s="4" t="s">
        <v>72</v>
      </c>
      <c r="E34" s="4" t="s">
        <v>140</v>
      </c>
      <c r="F34" s="4">
        <v>19.52</v>
      </c>
      <c r="G34" s="15">
        <v>57</v>
      </c>
      <c r="I34" s="4" t="str">
        <v>PROD30</v>
      </c>
      <c r="J34" s="4" t="str">
        <v>Stainless Steel Cutlery Set</v>
      </c>
      <c r="K34" s="4" t="str">
        <v>Home</v>
      </c>
      <c r="L34" s="4" t="str">
        <v>Kitchen</v>
      </c>
      <c r="M34" s="4" t="str">
        <v>Stevens, Fernandez and Martin</v>
      </c>
      <c r="N34" s="4" t="str">
        <v>19.52</v>
      </c>
      <c r="O34" s="4" t="str">
        <v>57</v>
      </c>
      <c r="Q34" s="4" t="str">
        <v>PROD30</v>
      </c>
      <c r="R34" s="4" t="str">
        <v>STAINLESS STEEL CUTLERY SET</v>
      </c>
      <c r="S34" s="4" t="str">
        <v>HOME</v>
      </c>
      <c r="T34" s="4" t="str">
        <v>KITCHEN</v>
      </c>
      <c r="U34" s="4" t="str">
        <v>STEVENS, FERNANDEZ AND MARTIN</v>
      </c>
      <c r="V34" s="4" t="str">
        <v>19.52</v>
      </c>
      <c r="W34" s="4" t="str">
        <v>57</v>
      </c>
      <c r="Y34" s="4" t="str">
        <v>Prod30</v>
      </c>
      <c r="Z34" s="4" t="str">
        <v>Stainless Steel Cutlery Set</v>
      </c>
      <c r="AA34" s="4" t="str">
        <v>Home</v>
      </c>
      <c r="AB34" s="4" t="str">
        <v>Kitchen</v>
      </c>
      <c r="AC34" s="4" t="str">
        <v>Stevens, Fernandez And Martin</v>
      </c>
      <c r="AD34" s="4" t="str">
        <v>19.52</v>
      </c>
      <c r="AE34" s="4" t="str">
        <v>57</v>
      </c>
    </row>
    <row r="35" spans="1:31" x14ac:dyDescent="0.25">
      <c r="A35" s="14" t="s">
        <v>141</v>
      </c>
      <c r="B35" s="4" t="s">
        <v>142</v>
      </c>
      <c r="C35" s="4" t="s">
        <v>67</v>
      </c>
      <c r="D35" s="4" t="s">
        <v>143</v>
      </c>
      <c r="E35" s="4" t="s">
        <v>144</v>
      </c>
      <c r="F35" s="4">
        <v>204.39</v>
      </c>
      <c r="G35" s="15">
        <v>281</v>
      </c>
      <c r="I35" s="4" t="str">
        <v>PROD31</v>
      </c>
      <c r="J35" s="4" t="str">
        <v>Basketball</v>
      </c>
      <c r="K35" s="4" t="str">
        <v>Sports</v>
      </c>
      <c r="L35" s="4" t="str">
        <v>Team Sports</v>
      </c>
      <c r="M35" s="4" t="str">
        <v>Nolan-Snow</v>
      </c>
      <c r="N35" s="4" t="str">
        <v>204.39</v>
      </c>
      <c r="O35" s="4" t="str">
        <v>281</v>
      </c>
      <c r="Q35" s="4" t="str">
        <v>PROD31</v>
      </c>
      <c r="R35" s="4" t="str">
        <v>BASKETBALL</v>
      </c>
      <c r="S35" s="4" t="str">
        <v>SPORTS</v>
      </c>
      <c r="T35" s="4" t="str">
        <v>TEAM SPORTS</v>
      </c>
      <c r="U35" s="4" t="str">
        <v>NOLAN-SNOW</v>
      </c>
      <c r="V35" s="4" t="str">
        <v>204.39</v>
      </c>
      <c r="W35" s="4" t="str">
        <v>281</v>
      </c>
      <c r="Y35" s="4" t="str">
        <v>Prod31</v>
      </c>
      <c r="Z35" s="4" t="str">
        <v>Basketball</v>
      </c>
      <c r="AA35" s="4" t="str">
        <v>Sports</v>
      </c>
      <c r="AB35" s="4" t="str">
        <v>Team Sports</v>
      </c>
      <c r="AC35" s="4" t="str">
        <v>Nolan-Snow</v>
      </c>
      <c r="AD35" s="4" t="str">
        <v>204.39</v>
      </c>
      <c r="AE35" s="4" t="str">
        <v>281</v>
      </c>
    </row>
    <row r="36" spans="1:31" x14ac:dyDescent="0.25">
      <c r="A36" s="14" t="s">
        <v>145</v>
      </c>
      <c r="B36" s="4" t="s">
        <v>146</v>
      </c>
      <c r="C36" s="4" t="s">
        <v>53</v>
      </c>
      <c r="D36" s="4" t="s">
        <v>54</v>
      </c>
      <c r="E36" s="4" t="s">
        <v>147</v>
      </c>
      <c r="F36" s="4">
        <v>283.83</v>
      </c>
      <c r="G36" s="15">
        <v>244</v>
      </c>
      <c r="I36" s="4" t="str">
        <v>PROD32</v>
      </c>
      <c r="J36" s="4" t="str">
        <v>Vitamin C Face Serum</v>
      </c>
      <c r="K36" s="4" t="str">
        <v>Beauty</v>
      </c>
      <c r="L36" s="4" t="str">
        <v>Skincare</v>
      </c>
      <c r="M36" s="4" t="str">
        <v>Griffin Ltd</v>
      </c>
      <c r="N36" s="4" t="str">
        <v>283.83</v>
      </c>
      <c r="O36" s="4" t="str">
        <v>244</v>
      </c>
      <c r="Q36" s="4" t="str">
        <v>PROD32</v>
      </c>
      <c r="R36" s="4" t="str">
        <v>VITAMIN C FACE SERUM</v>
      </c>
      <c r="S36" s="4" t="str">
        <v>BEAUTY</v>
      </c>
      <c r="T36" s="4" t="str">
        <v>SKINCARE</v>
      </c>
      <c r="U36" s="4" t="str">
        <v>GRIFFIN LTD</v>
      </c>
      <c r="V36" s="4" t="str">
        <v>283.83</v>
      </c>
      <c r="W36" s="4" t="str">
        <v>244</v>
      </c>
      <c r="Y36" s="4" t="str">
        <v>Prod32</v>
      </c>
      <c r="Z36" s="4" t="str">
        <v>Vitamin C Face Serum</v>
      </c>
      <c r="AA36" s="4" t="str">
        <v>Beauty</v>
      </c>
      <c r="AB36" s="4" t="str">
        <v>Skincare</v>
      </c>
      <c r="AC36" s="4" t="str">
        <v>Griffin Ltd</v>
      </c>
      <c r="AD36" s="4" t="str">
        <v>283.83</v>
      </c>
      <c r="AE36" s="4" t="str">
        <v>244</v>
      </c>
    </row>
    <row r="37" spans="1:31" x14ac:dyDescent="0.25">
      <c r="A37" s="14" t="s">
        <v>148</v>
      </c>
      <c r="B37" s="4" t="s">
        <v>149</v>
      </c>
      <c r="C37" s="4" t="s">
        <v>58</v>
      </c>
      <c r="D37" s="4" t="s">
        <v>86</v>
      </c>
      <c r="E37" s="4" t="s">
        <v>150</v>
      </c>
      <c r="F37" s="4">
        <v>179.77</v>
      </c>
      <c r="G37" s="15">
        <v>305</v>
      </c>
      <c r="I37" s="4" t="str">
        <v>PROD33</v>
      </c>
      <c r="J37" s="4" t="str">
        <v>Modern Wall Clock</v>
      </c>
      <c r="K37" s="4" t="str">
        <v>Home</v>
      </c>
      <c r="L37" s="4" t="str">
        <v>Decor</v>
      </c>
      <c r="M37" s="4" t="str">
        <v>Weiss-Watson</v>
      </c>
      <c r="N37" s="4" t="str">
        <v>179.77</v>
      </c>
      <c r="O37" s="4" t="str">
        <v>305</v>
      </c>
      <c r="Q37" s="4" t="str">
        <v>PROD33</v>
      </c>
      <c r="R37" s="4" t="str">
        <v>MODERN WALL CLOCK</v>
      </c>
      <c r="S37" s="4" t="str">
        <v>HOME</v>
      </c>
      <c r="T37" s="4" t="str">
        <v>DECOR</v>
      </c>
      <c r="U37" s="4" t="str">
        <v>WEISS-WATSON</v>
      </c>
      <c r="V37" s="4" t="str">
        <v>179.77</v>
      </c>
      <c r="W37" s="4" t="str">
        <v>305</v>
      </c>
      <c r="Y37" s="4" t="str">
        <v>Prod33</v>
      </c>
      <c r="Z37" s="4" t="str">
        <v>Modern Wall Clock</v>
      </c>
      <c r="AA37" s="4" t="str">
        <v>Home</v>
      </c>
      <c r="AB37" s="4" t="str">
        <v>Decor</v>
      </c>
      <c r="AC37" s="4" t="str">
        <v>Weiss-Watson</v>
      </c>
      <c r="AD37" s="4" t="str">
        <v>179.77</v>
      </c>
      <c r="AE37" s="4" t="str">
        <v>305</v>
      </c>
    </row>
    <row r="38" spans="1:31" x14ac:dyDescent="0.25">
      <c r="A38" s="14" t="s">
        <v>151</v>
      </c>
      <c r="B38" s="4" t="s">
        <v>152</v>
      </c>
      <c r="C38" s="4" t="s">
        <v>28</v>
      </c>
      <c r="D38" s="4" t="s">
        <v>29</v>
      </c>
      <c r="E38" s="4" t="s">
        <v>153</v>
      </c>
      <c r="F38" s="4">
        <v>419.28</v>
      </c>
      <c r="G38" s="15">
        <v>86</v>
      </c>
      <c r="I38" s="4" t="str">
        <v>PROD34</v>
      </c>
      <c r="J38" s="4" t="str">
        <v>Gaming Mechanical Keyboard</v>
      </c>
      <c r="K38" s="4" t="str">
        <v>Electronics</v>
      </c>
      <c r="L38" s="4" t="str">
        <v>Computer</v>
      </c>
      <c r="M38" s="4" t="str">
        <v>Lucero LLC</v>
      </c>
      <c r="N38" s="4" t="str">
        <v>419.28</v>
      </c>
      <c r="O38" s="4" t="str">
        <v>86</v>
      </c>
      <c r="Q38" s="4" t="str">
        <v>PROD34</v>
      </c>
      <c r="R38" s="4" t="str">
        <v>GAMING MECHANICAL KEYBOARD</v>
      </c>
      <c r="S38" s="4" t="str">
        <v>ELECTRONICS</v>
      </c>
      <c r="T38" s="4" t="str">
        <v>COMPUTER</v>
      </c>
      <c r="U38" s="4" t="str">
        <v>LUCERO LLC</v>
      </c>
      <c r="V38" s="4" t="str">
        <v>419.28</v>
      </c>
      <c r="W38" s="4" t="str">
        <v>86</v>
      </c>
      <c r="Y38" s="4" t="str">
        <v>Prod34</v>
      </c>
      <c r="Z38" s="4" t="str">
        <v>Gaming Mechanical Keyboard</v>
      </c>
      <c r="AA38" s="4" t="str">
        <v>Electronics</v>
      </c>
      <c r="AB38" s="4" t="str">
        <v>Computer</v>
      </c>
      <c r="AC38" s="4" t="str">
        <v>Lucero Llc</v>
      </c>
      <c r="AD38" s="4" t="str">
        <v>419.28</v>
      </c>
      <c r="AE38" s="4" t="str">
        <v>86</v>
      </c>
    </row>
    <row r="39" spans="1:31" x14ac:dyDescent="0.25">
      <c r="A39" s="14" t="s">
        <v>154</v>
      </c>
      <c r="B39" s="4" t="s">
        <v>155</v>
      </c>
      <c r="C39" s="4" t="s">
        <v>58</v>
      </c>
      <c r="D39" s="4" t="s">
        <v>59</v>
      </c>
      <c r="E39" s="4" t="s">
        <v>156</v>
      </c>
      <c r="F39" s="4">
        <v>382.22</v>
      </c>
      <c r="G39" s="15">
        <v>329</v>
      </c>
      <c r="I39" s="4" t="str">
        <v>PROD35</v>
      </c>
      <c r="J39" s="4" t="str">
        <v>Bedroom Table Lamp</v>
      </c>
      <c r="K39" s="4" t="str">
        <v>Home</v>
      </c>
      <c r="L39" s="4" t="str">
        <v>Lighting</v>
      </c>
      <c r="M39" s="4" t="str">
        <v>Jones LLC</v>
      </c>
      <c r="N39" s="4" t="str">
        <v>382.22</v>
      </c>
      <c r="O39" s="4" t="str">
        <v>329</v>
      </c>
      <c r="Q39" s="4" t="str">
        <v>PROD35</v>
      </c>
      <c r="R39" s="4" t="str">
        <v>BEDROOM TABLE LAMP</v>
      </c>
      <c r="S39" s="4" t="str">
        <v>HOME</v>
      </c>
      <c r="T39" s="4" t="str">
        <v>LIGHTING</v>
      </c>
      <c r="U39" s="4" t="str">
        <v>JONES LLC</v>
      </c>
      <c r="V39" s="4" t="str">
        <v>382.22</v>
      </c>
      <c r="W39" s="4" t="str">
        <v>329</v>
      </c>
      <c r="Y39" s="4" t="str">
        <v>Prod35</v>
      </c>
      <c r="Z39" s="4" t="str">
        <v>Bedroom Table Lamp</v>
      </c>
      <c r="AA39" s="4" t="str">
        <v>Home</v>
      </c>
      <c r="AB39" s="4" t="str">
        <v>Lighting</v>
      </c>
      <c r="AC39" s="4" t="str">
        <v>Jones Llc</v>
      </c>
      <c r="AD39" s="4" t="str">
        <v>382.22</v>
      </c>
      <c r="AE39" s="4" t="str">
        <v>329</v>
      </c>
    </row>
    <row r="40" spans="1:31" x14ac:dyDescent="0.25">
      <c r="A40" s="14" t="s">
        <v>157</v>
      </c>
      <c r="B40" s="4" t="s">
        <v>158</v>
      </c>
      <c r="C40" s="4" t="s">
        <v>33</v>
      </c>
      <c r="D40" s="4" t="s">
        <v>34</v>
      </c>
      <c r="E40" s="4" t="s">
        <v>159</v>
      </c>
      <c r="F40" s="4">
        <v>223.43</v>
      </c>
      <c r="G40" s="15">
        <v>154</v>
      </c>
      <c r="I40" s="4" t="str">
        <v>PROD36</v>
      </c>
      <c r="J40" s="4" t="str">
        <v>Women's Summer Dress</v>
      </c>
      <c r="K40" s="4" t="str">
        <v>Clothing</v>
      </c>
      <c r="L40" s="4" t="str">
        <v>Tops</v>
      </c>
      <c r="M40" s="4" t="str">
        <v>Smith-Mills</v>
      </c>
      <c r="N40" s="4" t="str">
        <v>223.43</v>
      </c>
      <c r="O40" s="4" t="str">
        <v>154</v>
      </c>
      <c r="Q40" s="4" t="str">
        <v>PROD36</v>
      </c>
      <c r="R40" s="4" t="str">
        <v>WOMEN'S SUMMER DRESS</v>
      </c>
      <c r="S40" s="4" t="str">
        <v>CLOTHING</v>
      </c>
      <c r="T40" s="4" t="str">
        <v>TOPS</v>
      </c>
      <c r="U40" s="4" t="str">
        <v>SMITH-MILLS</v>
      </c>
      <c r="V40" s="4" t="str">
        <v>223.43</v>
      </c>
      <c r="W40" s="4" t="str">
        <v>154</v>
      </c>
      <c r="Y40" s="4" t="str">
        <v>Prod36</v>
      </c>
      <c r="Z40" s="4" t="str">
        <v>Women'S Summer Dress</v>
      </c>
      <c r="AA40" s="4" t="str">
        <v>Clothing</v>
      </c>
      <c r="AB40" s="4" t="str">
        <v>Tops</v>
      </c>
      <c r="AC40" s="4" t="str">
        <v>Smith-Mills</v>
      </c>
      <c r="AD40" s="4" t="str">
        <v>223.43</v>
      </c>
      <c r="AE40" s="4" t="str">
        <v>154</v>
      </c>
    </row>
    <row r="41" spans="1:31" x14ac:dyDescent="0.25">
      <c r="A41" s="14" t="s">
        <v>160</v>
      </c>
      <c r="B41" s="4" t="s">
        <v>161</v>
      </c>
      <c r="C41" s="4" t="s">
        <v>33</v>
      </c>
      <c r="D41" s="4" t="s">
        <v>162</v>
      </c>
      <c r="E41" s="4" t="s">
        <v>163</v>
      </c>
      <c r="F41" s="4">
        <v>353.47</v>
      </c>
      <c r="G41" s="15">
        <v>214</v>
      </c>
      <c r="I41" s="4" t="str">
        <v>PROD37</v>
      </c>
      <c r="J41" s="4" t="str">
        <v>Men's Casual Sneakers</v>
      </c>
      <c r="K41" s="4" t="str">
        <v>Clothing</v>
      </c>
      <c r="L41" s="4" t="str">
        <v>Footwear</v>
      </c>
      <c r="M41" s="4" t="str">
        <v>Hogan-Lee</v>
      </c>
      <c r="N41" s="4" t="str">
        <v>353.47</v>
      </c>
      <c r="O41" s="4" t="str">
        <v>214</v>
      </c>
      <c r="Q41" s="4" t="str">
        <v>PROD37</v>
      </c>
      <c r="R41" s="4" t="str">
        <v>MEN'S CASUAL SNEAKERS</v>
      </c>
      <c r="S41" s="4" t="str">
        <v>CLOTHING</v>
      </c>
      <c r="T41" s="4" t="str">
        <v>FOOTWEAR</v>
      </c>
      <c r="U41" s="4" t="str">
        <v>HOGAN-LEE</v>
      </c>
      <c r="V41" s="4" t="str">
        <v>353.47</v>
      </c>
      <c r="W41" s="4" t="str">
        <v>214</v>
      </c>
      <c r="Y41" s="4" t="str">
        <v>Prod37</v>
      </c>
      <c r="Z41" s="4" t="str">
        <v>Men'S Casual Sneakers</v>
      </c>
      <c r="AA41" s="4" t="str">
        <v>Clothing</v>
      </c>
      <c r="AB41" s="4" t="str">
        <v>Footwear</v>
      </c>
      <c r="AC41" s="4" t="str">
        <v>Hogan-Lee</v>
      </c>
      <c r="AD41" s="4" t="str">
        <v>353.47</v>
      </c>
      <c r="AE41" s="4" t="str">
        <v>214</v>
      </c>
    </row>
    <row r="42" spans="1:31" x14ac:dyDescent="0.25">
      <c r="A42" s="14" t="s">
        <v>164</v>
      </c>
      <c r="B42" s="4" t="s">
        <v>165</v>
      </c>
      <c r="C42" s="4" t="s">
        <v>67</v>
      </c>
      <c r="D42" s="4" t="s">
        <v>121</v>
      </c>
      <c r="E42" s="4" t="s">
        <v>166</v>
      </c>
      <c r="F42" s="4">
        <v>135.61000000000001</v>
      </c>
      <c r="G42" s="15">
        <v>394</v>
      </c>
      <c r="I42" s="4" t="str">
        <v>PROD38</v>
      </c>
      <c r="J42" s="4" t="str">
        <v>Sports Water Hydration Pack</v>
      </c>
      <c r="K42" s="4" t="str">
        <v>Sports</v>
      </c>
      <c r="L42" s="4" t="str">
        <v>Outdoor</v>
      </c>
      <c r="M42" s="4" t="str">
        <v>Sims-Smith</v>
      </c>
      <c r="N42" s="4" t="str">
        <v>135.61</v>
      </c>
      <c r="O42" s="4" t="str">
        <v>394</v>
      </c>
      <c r="Q42" s="4" t="str">
        <v>PROD38</v>
      </c>
      <c r="R42" s="4" t="str">
        <v>SPORTS WATER HYDRATION PACK</v>
      </c>
      <c r="S42" s="4" t="str">
        <v>SPORTS</v>
      </c>
      <c r="T42" s="4" t="str">
        <v>OUTDOOR</v>
      </c>
      <c r="U42" s="4" t="str">
        <v>SIMS-SMITH</v>
      </c>
      <c r="V42" s="4" t="str">
        <v>135.61</v>
      </c>
      <c r="W42" s="4" t="str">
        <v>394</v>
      </c>
      <c r="Y42" s="4" t="str">
        <v>Prod38</v>
      </c>
      <c r="Z42" s="4" t="str">
        <v>Sports Water Hydration Pack</v>
      </c>
      <c r="AA42" s="4" t="str">
        <v>Sports</v>
      </c>
      <c r="AB42" s="4" t="str">
        <v>Outdoor</v>
      </c>
      <c r="AC42" s="4" t="str">
        <v>Sims-Smith</v>
      </c>
      <c r="AD42" s="4" t="str">
        <v>135.61</v>
      </c>
      <c r="AE42" s="4" t="str">
        <v>394</v>
      </c>
    </row>
    <row r="43" spans="1:31" x14ac:dyDescent="0.25">
      <c r="A43" s="14" t="s">
        <v>167</v>
      </c>
      <c r="B43" s="4" t="s">
        <v>168</v>
      </c>
      <c r="C43" s="4" t="s">
        <v>28</v>
      </c>
      <c r="D43" s="4" t="s">
        <v>169</v>
      </c>
      <c r="E43" s="4" t="s">
        <v>170</v>
      </c>
      <c r="F43" s="4">
        <v>326.06</v>
      </c>
      <c r="G43" s="15">
        <v>301</v>
      </c>
      <c r="I43" s="4" t="str">
        <v>PROD39</v>
      </c>
      <c r="J43" s="4" t="str">
        <v>Portable Power Bank</v>
      </c>
      <c r="K43" s="4" t="str">
        <v>Electronics</v>
      </c>
      <c r="L43" s="4" t="str">
        <v>Mobile</v>
      </c>
      <c r="M43" s="4" t="str">
        <v>Cummings and Sons</v>
      </c>
      <c r="N43" s="4" t="str">
        <v>326.06</v>
      </c>
      <c r="O43" s="4" t="str">
        <v>301</v>
      </c>
      <c r="Q43" s="4" t="str">
        <v>PROD39</v>
      </c>
      <c r="R43" s="4" t="str">
        <v>PORTABLE POWER BANK</v>
      </c>
      <c r="S43" s="4" t="str">
        <v>ELECTRONICS</v>
      </c>
      <c r="T43" s="4" t="str">
        <v>MOBILE</v>
      </c>
      <c r="U43" s="4" t="str">
        <v>CUMMINGS AND SONS</v>
      </c>
      <c r="V43" s="4" t="str">
        <v>326.06</v>
      </c>
      <c r="W43" s="4" t="str">
        <v>301</v>
      </c>
      <c r="Y43" s="4" t="str">
        <v>Prod39</v>
      </c>
      <c r="Z43" s="4" t="str">
        <v>Portable Power Bank</v>
      </c>
      <c r="AA43" s="4" t="str">
        <v>Electronics</v>
      </c>
      <c r="AB43" s="4" t="str">
        <v>Mobile</v>
      </c>
      <c r="AC43" s="4" t="str">
        <v>Cummings And Sons</v>
      </c>
      <c r="AD43" s="4" t="str">
        <v>326.06</v>
      </c>
      <c r="AE43" s="4" t="str">
        <v>301</v>
      </c>
    </row>
    <row r="44" spans="1:31" x14ac:dyDescent="0.25">
      <c r="A44" s="14" t="s">
        <v>171</v>
      </c>
      <c r="B44" s="4" t="s">
        <v>172</v>
      </c>
      <c r="C44" s="4" t="s">
        <v>28</v>
      </c>
      <c r="D44" s="4" t="s">
        <v>63</v>
      </c>
      <c r="E44" s="4" t="s">
        <v>173</v>
      </c>
      <c r="F44" s="4">
        <v>38.520000000000003</v>
      </c>
      <c r="G44" s="15">
        <v>378</v>
      </c>
      <c r="I44" s="4" t="str">
        <v>PROD40</v>
      </c>
      <c r="J44" s="4" t="str">
        <v>Noise-Canceling Headphones</v>
      </c>
      <c r="K44" s="4" t="str">
        <v>Electronics</v>
      </c>
      <c r="L44" s="4" t="str">
        <v>Audio</v>
      </c>
      <c r="M44" s="4" t="str">
        <v>Taylor-Hart</v>
      </c>
      <c r="N44" s="4" t="str">
        <v>38.52</v>
      </c>
      <c r="O44" s="4" t="str">
        <v>378</v>
      </c>
      <c r="Q44" s="4" t="str">
        <v>PROD40</v>
      </c>
      <c r="R44" s="4" t="str">
        <v>NOISE-CANCELING HEADPHONES</v>
      </c>
      <c r="S44" s="4" t="str">
        <v>ELECTRONICS</v>
      </c>
      <c r="T44" s="4" t="str">
        <v>AUDIO</v>
      </c>
      <c r="U44" s="4" t="str">
        <v>TAYLOR-HART</v>
      </c>
      <c r="V44" s="4" t="str">
        <v>38.52</v>
      </c>
      <c r="W44" s="4" t="str">
        <v>378</v>
      </c>
      <c r="Y44" s="4" t="str">
        <v>Prod40</v>
      </c>
      <c r="Z44" s="4" t="str">
        <v>Noise-Canceling Headphones</v>
      </c>
      <c r="AA44" s="4" t="str">
        <v>Electronics</v>
      </c>
      <c r="AB44" s="4" t="str">
        <v>Audio</v>
      </c>
      <c r="AC44" s="4" t="str">
        <v>Taylor-Hart</v>
      </c>
      <c r="AD44" s="4" t="str">
        <v>38.52</v>
      </c>
      <c r="AE44" s="4" t="str">
        <v>378</v>
      </c>
    </row>
    <row r="45" spans="1:31" x14ac:dyDescent="0.25">
      <c r="A45" s="14" t="s">
        <v>174</v>
      </c>
      <c r="B45" s="4" t="s">
        <v>175</v>
      </c>
      <c r="C45" s="4" t="s">
        <v>67</v>
      </c>
      <c r="D45" s="4" t="s">
        <v>68</v>
      </c>
      <c r="E45" s="4" t="s">
        <v>176</v>
      </c>
      <c r="F45" s="4">
        <v>313.26</v>
      </c>
      <c r="G45" s="15">
        <v>369</v>
      </c>
      <c r="I45" s="4" t="str">
        <v>PROD41</v>
      </c>
      <c r="J45" s="4" t="str">
        <v>Yoga Exercise Mat</v>
      </c>
      <c r="K45" s="4" t="str">
        <v>Sports</v>
      </c>
      <c r="L45" s="4" t="str">
        <v>Fitness</v>
      </c>
      <c r="M45" s="4" t="str">
        <v>Carroll, Long and Mendoza</v>
      </c>
      <c r="N45" s="4" t="str">
        <v>313.26</v>
      </c>
      <c r="O45" s="4" t="str">
        <v>369</v>
      </c>
      <c r="Q45" s="4" t="str">
        <v>PROD41</v>
      </c>
      <c r="R45" s="4" t="str">
        <v>YOGA EXERCISE MAT</v>
      </c>
      <c r="S45" s="4" t="str">
        <v>SPORTS</v>
      </c>
      <c r="T45" s="4" t="str">
        <v>FITNESS</v>
      </c>
      <c r="U45" s="4" t="str">
        <v>CARROLL, LONG AND MENDOZA</v>
      </c>
      <c r="V45" s="4" t="str">
        <v>313.26</v>
      </c>
      <c r="W45" s="4" t="str">
        <v>369</v>
      </c>
      <c r="Y45" s="4" t="str">
        <v>Prod41</v>
      </c>
      <c r="Z45" s="4" t="str">
        <v>Yoga Exercise Mat</v>
      </c>
      <c r="AA45" s="4" t="str">
        <v>Sports</v>
      </c>
      <c r="AB45" s="4" t="str">
        <v>Fitness</v>
      </c>
      <c r="AC45" s="4" t="str">
        <v>Carroll, Long And Mendoza</v>
      </c>
      <c r="AD45" s="4" t="str">
        <v>313.26</v>
      </c>
      <c r="AE45" s="4" t="str">
        <v>369</v>
      </c>
    </row>
    <row r="46" spans="1:31" x14ac:dyDescent="0.25">
      <c r="A46" s="14" t="s">
        <v>177</v>
      </c>
      <c r="B46" s="4" t="s">
        <v>178</v>
      </c>
      <c r="C46" s="4" t="s">
        <v>28</v>
      </c>
      <c r="D46" s="4" t="s">
        <v>49</v>
      </c>
      <c r="E46" s="4" t="s">
        <v>179</v>
      </c>
      <c r="F46" s="4">
        <v>450.71</v>
      </c>
      <c r="G46" s="15">
        <v>389</v>
      </c>
      <c r="I46" s="4" t="str">
        <v>PROD42</v>
      </c>
      <c r="J46" s="4" t="str">
        <v>Smart Home WiFi Camera</v>
      </c>
      <c r="K46" s="4" t="str">
        <v>Electronics</v>
      </c>
      <c r="L46" s="4" t="str">
        <v>Accessories</v>
      </c>
      <c r="M46" s="4" t="str">
        <v>Holmes LLC</v>
      </c>
      <c r="N46" s="4" t="str">
        <v>450.71</v>
      </c>
      <c r="O46" s="4" t="str">
        <v>389</v>
      </c>
      <c r="Q46" s="4" t="str">
        <v>PROD42</v>
      </c>
      <c r="R46" s="4" t="str">
        <v>SMART HOME WIFI CAMERA</v>
      </c>
      <c r="S46" s="4" t="str">
        <v>ELECTRONICS</v>
      </c>
      <c r="T46" s="4" t="str">
        <v>ACCESSORIES</v>
      </c>
      <c r="U46" s="4" t="str">
        <v>HOLMES LLC</v>
      </c>
      <c r="V46" s="4" t="str">
        <v>450.71</v>
      </c>
      <c r="W46" s="4" t="str">
        <v>389</v>
      </c>
      <c r="Y46" s="4" t="str">
        <v>Prod42</v>
      </c>
      <c r="Z46" s="4" t="str">
        <v>Smart Home Wifi Camera</v>
      </c>
      <c r="AA46" s="4" t="str">
        <v>Electronics</v>
      </c>
      <c r="AB46" s="4" t="str">
        <v>Accessories</v>
      </c>
      <c r="AC46" s="4" t="str">
        <v>Holmes Llc</v>
      </c>
      <c r="AD46" s="4" t="str">
        <v>450.71</v>
      </c>
      <c r="AE46" s="4" t="str">
        <v>389</v>
      </c>
    </row>
    <row r="47" spans="1:31" x14ac:dyDescent="0.25">
      <c r="A47" s="14" t="s">
        <v>180</v>
      </c>
      <c r="B47" s="4" t="s">
        <v>181</v>
      </c>
      <c r="C47" s="4" t="s">
        <v>28</v>
      </c>
      <c r="D47" s="4" t="s">
        <v>29</v>
      </c>
      <c r="E47" s="4" t="s">
        <v>182</v>
      </c>
      <c r="F47" s="4">
        <v>253.33</v>
      </c>
      <c r="G47" s="15">
        <v>266</v>
      </c>
      <c r="I47" s="4" t="str">
        <v>PROD43</v>
      </c>
      <c r="J47" s="4" t="str">
        <v>USB External Hard Drive</v>
      </c>
      <c r="K47" s="4" t="str">
        <v>Electronics</v>
      </c>
      <c r="L47" s="4" t="str">
        <v>Computer</v>
      </c>
      <c r="M47" s="4" t="str">
        <v>Robinson Inc</v>
      </c>
      <c r="N47" s="4" t="str">
        <v>253.33</v>
      </c>
      <c r="O47" s="4" t="str">
        <v>266</v>
      </c>
      <c r="Q47" s="4" t="str">
        <v>PROD43</v>
      </c>
      <c r="R47" s="4" t="str">
        <v>USB EXTERNAL HARD DRIVE</v>
      </c>
      <c r="S47" s="4" t="str">
        <v>ELECTRONICS</v>
      </c>
      <c r="T47" s="4" t="str">
        <v>COMPUTER</v>
      </c>
      <c r="U47" s="4" t="str">
        <v>ROBINSON INC</v>
      </c>
      <c r="V47" s="4" t="str">
        <v>253.33</v>
      </c>
      <c r="W47" s="4" t="str">
        <v>266</v>
      </c>
      <c r="Y47" s="4" t="str">
        <v>Prod43</v>
      </c>
      <c r="Z47" s="4" t="str">
        <v>Usb External Hard Drive</v>
      </c>
      <c r="AA47" s="4" t="str">
        <v>Electronics</v>
      </c>
      <c r="AB47" s="4" t="str">
        <v>Computer</v>
      </c>
      <c r="AC47" s="4" t="str">
        <v>Robinson Inc</v>
      </c>
      <c r="AD47" s="4" t="str">
        <v>253.33</v>
      </c>
      <c r="AE47" s="4" t="str">
        <v>266</v>
      </c>
    </row>
    <row r="48" spans="1:31" x14ac:dyDescent="0.25">
      <c r="A48" s="14" t="s">
        <v>183</v>
      </c>
      <c r="B48" s="4" t="s">
        <v>184</v>
      </c>
      <c r="C48" s="4" t="s">
        <v>67</v>
      </c>
      <c r="D48" s="4" t="s">
        <v>68</v>
      </c>
      <c r="E48" s="4" t="s">
        <v>185</v>
      </c>
      <c r="F48" s="4">
        <v>167.12</v>
      </c>
      <c r="G48" s="15">
        <v>316</v>
      </c>
      <c r="I48" s="4" t="str">
        <v>PROD44</v>
      </c>
      <c r="J48" s="4" t="str">
        <v>Adjustable Jump Rope</v>
      </c>
      <c r="K48" s="4" t="str">
        <v>Sports</v>
      </c>
      <c r="L48" s="4" t="str">
        <v>Fitness</v>
      </c>
      <c r="M48" s="4" t="str">
        <v>Cox Inc</v>
      </c>
      <c r="N48" s="4" t="str">
        <v>167.12</v>
      </c>
      <c r="O48" s="4" t="str">
        <v>316</v>
      </c>
      <c r="Q48" s="4" t="str">
        <v>PROD44</v>
      </c>
      <c r="R48" s="4" t="str">
        <v>ADJUSTABLE JUMP ROPE</v>
      </c>
      <c r="S48" s="4" t="str">
        <v>SPORTS</v>
      </c>
      <c r="T48" s="4" t="str">
        <v>FITNESS</v>
      </c>
      <c r="U48" s="4" t="str">
        <v>COX INC</v>
      </c>
      <c r="V48" s="4" t="str">
        <v>167.12</v>
      </c>
      <c r="W48" s="4" t="str">
        <v>316</v>
      </c>
      <c r="Y48" s="4" t="str">
        <v>Prod44</v>
      </c>
      <c r="Z48" s="4" t="str">
        <v>Adjustable Jump Rope</v>
      </c>
      <c r="AA48" s="4" t="str">
        <v>Sports</v>
      </c>
      <c r="AB48" s="4" t="str">
        <v>Fitness</v>
      </c>
      <c r="AC48" s="4" t="str">
        <v>Cox Inc</v>
      </c>
      <c r="AD48" s="4" t="str">
        <v>167.12</v>
      </c>
      <c r="AE48" s="4" t="str">
        <v>316</v>
      </c>
    </row>
    <row r="49" spans="1:31" x14ac:dyDescent="0.25">
      <c r="A49" s="14" t="s">
        <v>186</v>
      </c>
      <c r="B49" s="4" t="s">
        <v>187</v>
      </c>
      <c r="C49" s="4" t="s">
        <v>67</v>
      </c>
      <c r="D49" s="4" t="s">
        <v>143</v>
      </c>
      <c r="E49" s="4" t="s">
        <v>188</v>
      </c>
      <c r="F49" s="4">
        <v>318.91000000000003</v>
      </c>
      <c r="G49" s="15">
        <v>114</v>
      </c>
      <c r="I49" s="4" t="str">
        <v>PROD45</v>
      </c>
      <c r="J49" s="4" t="str">
        <v>High-Grip Football</v>
      </c>
      <c r="K49" s="4" t="str">
        <v>Sports</v>
      </c>
      <c r="L49" s="4" t="str">
        <v>Team Sports</v>
      </c>
      <c r="M49" s="4" t="str">
        <v>Bridges, Banks and Cummings</v>
      </c>
      <c r="N49" s="4" t="str">
        <v>318.91</v>
      </c>
      <c r="O49" s="4" t="str">
        <v>114</v>
      </c>
      <c r="Q49" s="4" t="str">
        <v>PROD45</v>
      </c>
      <c r="R49" s="4" t="str">
        <v>HIGH-GRIP FOOTBALL</v>
      </c>
      <c r="S49" s="4" t="str">
        <v>SPORTS</v>
      </c>
      <c r="T49" s="4" t="str">
        <v>TEAM SPORTS</v>
      </c>
      <c r="U49" s="4" t="str">
        <v>BRIDGES, BANKS AND CUMMINGS</v>
      </c>
      <c r="V49" s="4" t="str">
        <v>318.91</v>
      </c>
      <c r="W49" s="4" t="str">
        <v>114</v>
      </c>
      <c r="Y49" s="4" t="str">
        <v>Prod45</v>
      </c>
      <c r="Z49" s="4" t="str">
        <v>High-Grip Football</v>
      </c>
      <c r="AA49" s="4" t="str">
        <v>Sports</v>
      </c>
      <c r="AB49" s="4" t="str">
        <v>Team Sports</v>
      </c>
      <c r="AC49" s="4" t="str">
        <v>Bridges, Banks And Cummings</v>
      </c>
      <c r="AD49" s="4" t="str">
        <v>318.91</v>
      </c>
      <c r="AE49" s="4" t="str">
        <v>114</v>
      </c>
    </row>
    <row r="50" spans="1:31" x14ac:dyDescent="0.25">
      <c r="A50" s="14" t="s">
        <v>189</v>
      </c>
      <c r="B50" s="4" t="s">
        <v>190</v>
      </c>
      <c r="C50" s="4" t="s">
        <v>33</v>
      </c>
      <c r="D50" s="4" t="s">
        <v>38</v>
      </c>
      <c r="E50" s="4" t="s">
        <v>191</v>
      </c>
      <c r="F50" s="4">
        <v>167.34</v>
      </c>
      <c r="G50" s="15">
        <v>296</v>
      </c>
      <c r="I50" s="4" t="str">
        <v>PROD46</v>
      </c>
      <c r="J50" s="4" t="str">
        <v>Men's Winter Jacket</v>
      </c>
      <c r="K50" s="4" t="str">
        <v>Clothing</v>
      </c>
      <c r="L50" s="4" t="str">
        <v>Outerwear</v>
      </c>
      <c r="M50" s="4" t="str">
        <v>Kelly, Smith and Perez</v>
      </c>
      <c r="N50" s="4" t="str">
        <v>167.34</v>
      </c>
      <c r="O50" s="4" t="str">
        <v>296</v>
      </c>
      <c r="Q50" s="4" t="str">
        <v>PROD46</v>
      </c>
      <c r="R50" s="4" t="str">
        <v>MEN'S WINTER JACKET</v>
      </c>
      <c r="S50" s="4" t="str">
        <v>CLOTHING</v>
      </c>
      <c r="T50" s="4" t="str">
        <v>OUTERWEAR</v>
      </c>
      <c r="U50" s="4" t="str">
        <v>KELLY, SMITH AND PEREZ</v>
      </c>
      <c r="V50" s="4" t="str">
        <v>167.34</v>
      </c>
      <c r="W50" s="4" t="str">
        <v>296</v>
      </c>
      <c r="Y50" s="4" t="str">
        <v>Prod46</v>
      </c>
      <c r="Z50" s="4" t="str">
        <v>Men'S Winter Jacket</v>
      </c>
      <c r="AA50" s="4" t="str">
        <v>Clothing</v>
      </c>
      <c r="AB50" s="4" t="str">
        <v>Outerwear</v>
      </c>
      <c r="AC50" s="4" t="str">
        <v>Kelly, Smith And Perez</v>
      </c>
      <c r="AD50" s="4" t="str">
        <v>167.34</v>
      </c>
      <c r="AE50" s="4" t="str">
        <v>296</v>
      </c>
    </row>
    <row r="51" spans="1:31" x14ac:dyDescent="0.25">
      <c r="A51" s="14" t="s">
        <v>192</v>
      </c>
      <c r="B51" s="4" t="s">
        <v>193</v>
      </c>
      <c r="C51" s="4" t="s">
        <v>53</v>
      </c>
      <c r="D51" s="4" t="s">
        <v>194</v>
      </c>
      <c r="E51" s="4" t="s">
        <v>195</v>
      </c>
      <c r="F51" s="4"/>
      <c r="G51" s="15">
        <v>431</v>
      </c>
      <c r="I51" s="4" t="str">
        <v>PROD47</v>
      </c>
      <c r="J51" s="4" t="str">
        <v>Makeup Brush Set</v>
      </c>
      <c r="K51" s="4" t="str">
        <v>Beauty</v>
      </c>
      <c r="L51" s="4" t="str">
        <v>Makeup</v>
      </c>
      <c r="M51" s="4" t="str">
        <v>Cook Inc</v>
      </c>
      <c r="N51" s="4" t="str">
        <v/>
      </c>
      <c r="O51" s="4" t="str">
        <v>431</v>
      </c>
      <c r="Q51" s="4" t="str">
        <v>PROD47</v>
      </c>
      <c r="R51" s="4" t="str">
        <v>MAKEUP BRUSH SET</v>
      </c>
      <c r="S51" s="4" t="str">
        <v>BEAUTY</v>
      </c>
      <c r="T51" s="4" t="str">
        <v>MAKEUP</v>
      </c>
      <c r="U51" s="4" t="str">
        <v>COOK INC</v>
      </c>
      <c r="V51" s="4" t="str">
        <v/>
      </c>
      <c r="W51" s="4" t="str">
        <v>431</v>
      </c>
      <c r="Y51" s="4" t="str">
        <v>Prod47</v>
      </c>
      <c r="Z51" s="4" t="str">
        <v>Makeup Brush Set</v>
      </c>
      <c r="AA51" s="4" t="str">
        <v>Beauty</v>
      </c>
      <c r="AB51" s="4" t="str">
        <v>Makeup</v>
      </c>
      <c r="AC51" s="4" t="str">
        <v>Cook Inc</v>
      </c>
      <c r="AD51" s="4" t="str">
        <v/>
      </c>
      <c r="AE51" s="4" t="str">
        <v>431</v>
      </c>
    </row>
    <row r="52" spans="1:31" x14ac:dyDescent="0.25">
      <c r="A52" s="14" t="s">
        <v>196</v>
      </c>
      <c r="B52" s="4" t="s">
        <v>197</v>
      </c>
      <c r="C52" s="4" t="s">
        <v>28</v>
      </c>
      <c r="D52" s="4" t="s">
        <v>49</v>
      </c>
      <c r="E52" s="4" t="s">
        <v>198</v>
      </c>
      <c r="F52" s="4">
        <v>177.98</v>
      </c>
      <c r="G52" s="15">
        <v>103</v>
      </c>
      <c r="I52" s="4" t="str">
        <v>PROD48</v>
      </c>
      <c r="J52" s="4" t="str">
        <v>Car Dashboard Phone Holder</v>
      </c>
      <c r="K52" s="4" t="str">
        <v>Electronics</v>
      </c>
      <c r="L52" s="4" t="str">
        <v>Accessories</v>
      </c>
      <c r="M52" s="4" t="str">
        <v>Byrd, Stewart and Valdez</v>
      </c>
      <c r="N52" s="4" t="str">
        <v>177.98</v>
      </c>
      <c r="O52" s="4" t="str">
        <v>103</v>
      </c>
      <c r="Q52" s="4" t="str">
        <v>PROD48</v>
      </c>
      <c r="R52" s="4" t="str">
        <v>CAR DASHBOARD PHONE HOLDER</v>
      </c>
      <c r="S52" s="4" t="str">
        <v>ELECTRONICS</v>
      </c>
      <c r="T52" s="4" t="str">
        <v>ACCESSORIES</v>
      </c>
      <c r="U52" s="4" t="str">
        <v>BYRD, STEWART AND VALDEZ</v>
      </c>
      <c r="V52" s="4" t="str">
        <v>177.98</v>
      </c>
      <c r="W52" s="4" t="str">
        <v>103</v>
      </c>
      <c r="Y52" s="4" t="str">
        <v>Prod48</v>
      </c>
      <c r="Z52" s="4" t="str">
        <v>Car Dashboard Phone Holder</v>
      </c>
      <c r="AA52" s="4" t="str">
        <v>Electronics</v>
      </c>
      <c r="AB52" s="4" t="str">
        <v>Accessories</v>
      </c>
      <c r="AC52" s="4" t="str">
        <v>Byrd, Stewart And Valdez</v>
      </c>
      <c r="AD52" s="4" t="str">
        <v>177.98</v>
      </c>
      <c r="AE52" s="4" t="str">
        <v>103</v>
      </c>
    </row>
    <row r="53" spans="1:31" x14ac:dyDescent="0.25">
      <c r="A53" s="14" t="s">
        <v>199</v>
      </c>
      <c r="B53" s="4" t="s">
        <v>200</v>
      </c>
      <c r="C53" s="4" t="s">
        <v>53</v>
      </c>
      <c r="D53" s="4" t="s">
        <v>201</v>
      </c>
      <c r="E53" s="4" t="s">
        <v>202</v>
      </c>
      <c r="F53" s="4">
        <v>43.29</v>
      </c>
      <c r="G53" s="15">
        <v>267</v>
      </c>
      <c r="I53" s="4" t="str">
        <v>PROD49</v>
      </c>
      <c r="J53" s="4" t="str">
        <v>Men's Roll-On Perfume</v>
      </c>
      <c r="K53" s="4" t="str">
        <v>Beauty</v>
      </c>
      <c r="L53" s="4" t="str">
        <v>Fragrance</v>
      </c>
      <c r="M53" s="4" t="str">
        <v>Sullivan and Sons</v>
      </c>
      <c r="N53" s="4" t="str">
        <v>43.29</v>
      </c>
      <c r="O53" s="4" t="str">
        <v>267</v>
      </c>
      <c r="Q53" s="4" t="str">
        <v>PROD49</v>
      </c>
      <c r="R53" s="4" t="str">
        <v>MEN'S ROLL-ON PERFUME</v>
      </c>
      <c r="S53" s="4" t="str">
        <v>BEAUTY</v>
      </c>
      <c r="T53" s="4" t="str">
        <v>FRAGRANCE</v>
      </c>
      <c r="U53" s="4" t="str">
        <v>SULLIVAN AND SONS</v>
      </c>
      <c r="V53" s="4" t="str">
        <v>43.29</v>
      </c>
      <c r="W53" s="4" t="str">
        <v>267</v>
      </c>
      <c r="Y53" s="4" t="str">
        <v>Prod49</v>
      </c>
      <c r="Z53" s="4" t="str">
        <v>Men'S Roll-On Perfume</v>
      </c>
      <c r="AA53" s="4" t="str">
        <v>Beauty</v>
      </c>
      <c r="AB53" s="4" t="str">
        <v>Fragrance</v>
      </c>
      <c r="AC53" s="4" t="str">
        <v>Sullivan And Sons</v>
      </c>
      <c r="AD53" s="4" t="str">
        <v>43.29</v>
      </c>
      <c r="AE53" s="4" t="str">
        <v>267</v>
      </c>
    </row>
    <row r="54" spans="1:31" x14ac:dyDescent="0.25">
      <c r="A54" s="14" t="s">
        <v>203</v>
      </c>
      <c r="B54" s="4" t="s">
        <v>204</v>
      </c>
      <c r="C54" s="4" t="s">
        <v>67</v>
      </c>
      <c r="D54" s="4" t="s">
        <v>68</v>
      </c>
      <c r="E54" s="4" t="s">
        <v>205</v>
      </c>
      <c r="F54" s="4">
        <v>190.29</v>
      </c>
      <c r="G54" s="15">
        <v>260</v>
      </c>
      <c r="I54" s="4" t="str">
        <v>PROD50</v>
      </c>
      <c r="J54" s="4" t="str">
        <v>Boxing Hand Wraps</v>
      </c>
      <c r="K54" s="4" t="str">
        <v>Sports</v>
      </c>
      <c r="L54" s="4" t="str">
        <v>Fitness</v>
      </c>
      <c r="M54" s="4" t="str">
        <v>Smith-King</v>
      </c>
      <c r="N54" s="4" t="str">
        <v>190.29</v>
      </c>
      <c r="O54" s="4" t="str">
        <v>260</v>
      </c>
      <c r="Q54" s="4" t="str">
        <v>PROD50</v>
      </c>
      <c r="R54" s="4" t="str">
        <v>BOXING HAND WRAPS</v>
      </c>
      <c r="S54" s="4" t="str">
        <v>SPORTS</v>
      </c>
      <c r="T54" s="4" t="str">
        <v>FITNESS</v>
      </c>
      <c r="U54" s="4" t="str">
        <v>SMITH-KING</v>
      </c>
      <c r="V54" s="4" t="str">
        <v>190.29</v>
      </c>
      <c r="W54" s="4" t="str">
        <v>260</v>
      </c>
      <c r="Y54" s="4" t="str">
        <v>Prod50</v>
      </c>
      <c r="Z54" s="4" t="str">
        <v>Boxing Hand Wraps</v>
      </c>
      <c r="AA54" s="4" t="str">
        <v>Sports</v>
      </c>
      <c r="AB54" s="4" t="str">
        <v>Fitness</v>
      </c>
      <c r="AC54" s="4" t="str">
        <v>Smith-King</v>
      </c>
      <c r="AD54" s="4" t="str">
        <v>190.29</v>
      </c>
      <c r="AE54" s="4" t="str">
        <v>260</v>
      </c>
    </row>
    <row r="55" spans="1:31" x14ac:dyDescent="0.25">
      <c r="A55" s="14" t="s">
        <v>206</v>
      </c>
      <c r="B55" s="4" t="s">
        <v>207</v>
      </c>
      <c r="C55" s="4" t="s">
        <v>28</v>
      </c>
      <c r="D55" s="4" t="s">
        <v>49</v>
      </c>
      <c r="E55" s="4" t="s">
        <v>208</v>
      </c>
      <c r="F55" s="4">
        <v>88.49</v>
      </c>
      <c r="G55" s="15">
        <v>246</v>
      </c>
      <c r="I55" s="4" t="str">
        <v>PROD51</v>
      </c>
      <c r="J55" s="4" t="str">
        <v>HDMI Cable – 2m</v>
      </c>
      <c r="K55" s="4" t="str">
        <v>Electronics</v>
      </c>
      <c r="L55" s="4" t="str">
        <v>Accessories</v>
      </c>
      <c r="M55" s="4" t="str">
        <v>Bautista, Green and Hale</v>
      </c>
      <c r="N55" s="4" t="str">
        <v>88.49</v>
      </c>
      <c r="O55" s="4" t="str">
        <v>246</v>
      </c>
      <c r="Q55" s="4" t="str">
        <v>PROD51</v>
      </c>
      <c r="R55" s="4" t="str">
        <v>HDMI CABLE – 2M</v>
      </c>
      <c r="S55" s="4" t="str">
        <v>ELECTRONICS</v>
      </c>
      <c r="T55" s="4" t="str">
        <v>ACCESSORIES</v>
      </c>
      <c r="U55" s="4" t="str">
        <v>BAUTISTA, GREEN AND HALE</v>
      </c>
      <c r="V55" s="4" t="str">
        <v>88.49</v>
      </c>
      <c r="W55" s="4" t="str">
        <v>246</v>
      </c>
      <c r="Y55" s="4" t="str">
        <v>Prod51</v>
      </c>
      <c r="Z55" s="4" t="str">
        <v>Hdmi Cable – 2M</v>
      </c>
      <c r="AA55" s="4" t="str">
        <v>Electronics</v>
      </c>
      <c r="AB55" s="4" t="str">
        <v>Accessories</v>
      </c>
      <c r="AC55" s="4" t="str">
        <v>Bautista, Green And Hale</v>
      </c>
      <c r="AD55" s="4" t="str">
        <v>88.49</v>
      </c>
      <c r="AE55" s="4" t="str">
        <v>246</v>
      </c>
    </row>
    <row r="56" spans="1:31" x14ac:dyDescent="0.25">
      <c r="A56" s="14" t="s">
        <v>209</v>
      </c>
      <c r="B56" s="4" t="s">
        <v>210</v>
      </c>
      <c r="C56" s="4" t="s">
        <v>67</v>
      </c>
      <c r="D56" s="4" t="s">
        <v>143</v>
      </c>
      <c r="E56" s="4" t="s">
        <v>211</v>
      </c>
      <c r="F56" s="4">
        <v>212.26</v>
      </c>
      <c r="G56" s="15">
        <v>82</v>
      </c>
      <c r="I56" s="4" t="str">
        <v>PROD52</v>
      </c>
      <c r="J56" s="4" t="str">
        <v>Rugby Ball</v>
      </c>
      <c r="K56" s="4" t="str">
        <v>Sports</v>
      </c>
      <c r="L56" s="4" t="str">
        <v>Team Sports</v>
      </c>
      <c r="M56" s="4" t="str">
        <v>Harris Inc</v>
      </c>
      <c r="N56" s="4" t="str">
        <v>212.26</v>
      </c>
      <c r="O56" s="4" t="str">
        <v>82</v>
      </c>
      <c r="Q56" s="4" t="str">
        <v>PROD52</v>
      </c>
      <c r="R56" s="4" t="str">
        <v>RUGBY BALL</v>
      </c>
      <c r="S56" s="4" t="str">
        <v>SPORTS</v>
      </c>
      <c r="T56" s="4" t="str">
        <v>TEAM SPORTS</v>
      </c>
      <c r="U56" s="4" t="str">
        <v>HARRIS INC</v>
      </c>
      <c r="V56" s="4" t="str">
        <v>212.26</v>
      </c>
      <c r="W56" s="4" t="str">
        <v>82</v>
      </c>
      <c r="Y56" s="4" t="str">
        <v>Prod52</v>
      </c>
      <c r="Z56" s="4" t="str">
        <v>Rugby Ball</v>
      </c>
      <c r="AA56" s="4" t="str">
        <v>Sports</v>
      </c>
      <c r="AB56" s="4" t="str">
        <v>Team Sports</v>
      </c>
      <c r="AC56" s="4" t="str">
        <v>Harris Inc</v>
      </c>
      <c r="AD56" s="4" t="str">
        <v>212.26</v>
      </c>
      <c r="AE56" s="4" t="str">
        <v>82</v>
      </c>
    </row>
    <row r="57" spans="1:31" x14ac:dyDescent="0.25">
      <c r="A57" s="14" t="s">
        <v>212</v>
      </c>
      <c r="B57" s="4" t="s">
        <v>213</v>
      </c>
      <c r="C57" s="4" t="s">
        <v>33</v>
      </c>
      <c r="D57" s="4" t="s">
        <v>45</v>
      </c>
      <c r="E57" s="4" t="s">
        <v>214</v>
      </c>
      <c r="F57" s="4">
        <v>386.56</v>
      </c>
      <c r="G57" s="15">
        <v>125</v>
      </c>
      <c r="I57" s="4" t="str">
        <v>PROD53</v>
      </c>
      <c r="J57" s="4" t="str">
        <v>Men's Track Pants</v>
      </c>
      <c r="K57" s="4" t="str">
        <v>Clothing</v>
      </c>
      <c r="L57" s="4" t="str">
        <v>Bottoms</v>
      </c>
      <c r="M57" s="4" t="str">
        <v>Hamilton, Woods and Walker</v>
      </c>
      <c r="N57" s="4" t="str">
        <v>386.56</v>
      </c>
      <c r="O57" s="4" t="str">
        <v>125</v>
      </c>
      <c r="Q57" s="4" t="str">
        <v>PROD53</v>
      </c>
      <c r="R57" s="4" t="str">
        <v>MEN'S TRACK PANTS</v>
      </c>
      <c r="S57" s="4" t="str">
        <v>CLOTHING</v>
      </c>
      <c r="T57" s="4" t="str">
        <v>BOTTOMS</v>
      </c>
      <c r="U57" s="4" t="str">
        <v>HAMILTON, WOODS AND WALKER</v>
      </c>
      <c r="V57" s="4" t="str">
        <v>386.56</v>
      </c>
      <c r="W57" s="4" t="str">
        <v>125</v>
      </c>
      <c r="Y57" s="4" t="str">
        <v>Prod53</v>
      </c>
      <c r="Z57" s="4" t="str">
        <v>Men'S Track Pants</v>
      </c>
      <c r="AA57" s="4" t="str">
        <v>Clothing</v>
      </c>
      <c r="AB57" s="4" t="str">
        <v>Bottoms</v>
      </c>
      <c r="AC57" s="4" t="str">
        <v>Hamilton, Woods And Walker</v>
      </c>
      <c r="AD57" s="4" t="str">
        <v>386.56</v>
      </c>
      <c r="AE57" s="4" t="str">
        <v>125</v>
      </c>
    </row>
    <row r="58" spans="1:31" x14ac:dyDescent="0.25">
      <c r="A58" s="14" t="s">
        <v>215</v>
      </c>
      <c r="B58" s="4" t="s">
        <v>216</v>
      </c>
      <c r="C58" s="4" t="s">
        <v>67</v>
      </c>
      <c r="D58" s="4" t="s">
        <v>49</v>
      </c>
      <c r="E58" s="4" t="s">
        <v>217</v>
      </c>
      <c r="F58" s="4">
        <v>434.84</v>
      </c>
      <c r="G58" s="15">
        <v>185</v>
      </c>
      <c r="I58" s="4" t="str">
        <v>PROD54</v>
      </c>
      <c r="J58" s="4" t="str">
        <v>Sports Stopwatch Pro</v>
      </c>
      <c r="K58" s="4" t="str">
        <v>Sports</v>
      </c>
      <c r="L58" s="4" t="str">
        <v>Accessories</v>
      </c>
      <c r="M58" s="4" t="str">
        <v>Thompson-French</v>
      </c>
      <c r="N58" s="4" t="str">
        <v>434.84</v>
      </c>
      <c r="O58" s="4" t="str">
        <v>185</v>
      </c>
      <c r="Q58" s="4" t="str">
        <v>PROD54</v>
      </c>
      <c r="R58" s="4" t="str">
        <v>SPORTS STOPWATCH PRO</v>
      </c>
      <c r="S58" s="4" t="str">
        <v>SPORTS</v>
      </c>
      <c r="T58" s="4" t="str">
        <v>ACCESSORIES</v>
      </c>
      <c r="U58" s="4" t="str">
        <v>THOMPSON-FRENCH</v>
      </c>
      <c r="V58" s="4" t="str">
        <v>434.84</v>
      </c>
      <c r="W58" s="4" t="str">
        <v>185</v>
      </c>
      <c r="Y58" s="4" t="str">
        <v>Prod54</v>
      </c>
      <c r="Z58" s="4" t="str">
        <v>Sports Stopwatch Pro</v>
      </c>
      <c r="AA58" s="4" t="str">
        <v>Sports</v>
      </c>
      <c r="AB58" s="4" t="str">
        <v>Accessories</v>
      </c>
      <c r="AC58" s="4" t="str">
        <v>Thompson-French</v>
      </c>
      <c r="AD58" s="4" t="str">
        <v>434.84</v>
      </c>
      <c r="AE58" s="4" t="str">
        <v>185</v>
      </c>
    </row>
    <row r="59" spans="1:31" x14ac:dyDescent="0.25">
      <c r="A59" s="14" t="s">
        <v>218</v>
      </c>
      <c r="B59" s="4" t="s">
        <v>219</v>
      </c>
      <c r="C59" s="4" t="s">
        <v>58</v>
      </c>
      <c r="D59" s="4" t="s">
        <v>86</v>
      </c>
      <c r="E59" s="4" t="s">
        <v>220</v>
      </c>
      <c r="F59" s="4">
        <v>81.75</v>
      </c>
      <c r="G59" s="15"/>
      <c r="I59" s="4" t="str">
        <v>PROD55</v>
      </c>
      <c r="J59" s="4" t="str">
        <v>Ceramic Plant Pot</v>
      </c>
      <c r="K59" s="4" t="str">
        <v>Home</v>
      </c>
      <c r="L59" s="4" t="str">
        <v>Decor</v>
      </c>
      <c r="M59" s="4" t="str">
        <v>Hatfield, Baird and Torres</v>
      </c>
      <c r="N59" s="4" t="str">
        <v>81.75</v>
      </c>
      <c r="O59" s="4" t="str">
        <v/>
      </c>
      <c r="Q59" s="4" t="str">
        <v>PROD55</v>
      </c>
      <c r="R59" s="4" t="str">
        <v>CERAMIC PLANT POT</v>
      </c>
      <c r="S59" s="4" t="str">
        <v>HOME</v>
      </c>
      <c r="T59" s="4" t="str">
        <v>DECOR</v>
      </c>
      <c r="U59" s="4" t="str">
        <v>HATFIELD, BAIRD AND TORRES</v>
      </c>
      <c r="V59" s="4" t="str">
        <v>81.75</v>
      </c>
      <c r="W59" s="4" t="str">
        <v/>
      </c>
      <c r="Y59" s="4" t="str">
        <v>Prod55</v>
      </c>
      <c r="Z59" s="4" t="str">
        <v>Ceramic Plant Pot</v>
      </c>
      <c r="AA59" s="4" t="str">
        <v>Home</v>
      </c>
      <c r="AB59" s="4" t="str">
        <v>Decor</v>
      </c>
      <c r="AC59" s="4" t="str">
        <v>Hatfield, Baird And Torres</v>
      </c>
      <c r="AD59" s="4" t="str">
        <v>81.75</v>
      </c>
      <c r="AE59" s="4" t="str">
        <v/>
      </c>
    </row>
    <row r="60" spans="1:31" x14ac:dyDescent="0.25">
      <c r="A60" s="14" t="s">
        <v>221</v>
      </c>
      <c r="B60" s="4" t="s">
        <v>222</v>
      </c>
      <c r="C60" s="4" t="s">
        <v>58</v>
      </c>
      <c r="D60" s="4" t="s">
        <v>86</v>
      </c>
      <c r="E60" s="4" t="s">
        <v>223</v>
      </c>
      <c r="F60" s="4">
        <v>461.47</v>
      </c>
      <c r="G60" s="15">
        <v>190</v>
      </c>
      <c r="I60" s="4" t="str">
        <v>PROD56</v>
      </c>
      <c r="J60" s="4" t="str">
        <v>Premium Blanket Throw</v>
      </c>
      <c r="K60" s="4" t="str">
        <v>Home</v>
      </c>
      <c r="L60" s="4" t="str">
        <v>Decor</v>
      </c>
      <c r="M60" s="4" t="str">
        <v>Hernandez, Kennedy and Porter</v>
      </c>
      <c r="N60" s="4" t="str">
        <v>461.47</v>
      </c>
      <c r="O60" s="4" t="str">
        <v>190</v>
      </c>
      <c r="Q60" s="4" t="str">
        <v>PROD56</v>
      </c>
      <c r="R60" s="4" t="str">
        <v>PREMIUM BLANKET THROW</v>
      </c>
      <c r="S60" s="4" t="str">
        <v>HOME</v>
      </c>
      <c r="T60" s="4" t="str">
        <v>DECOR</v>
      </c>
      <c r="U60" s="4" t="str">
        <v>HERNANDEZ, KENNEDY AND PORTER</v>
      </c>
      <c r="V60" s="4" t="str">
        <v>461.47</v>
      </c>
      <c r="W60" s="4" t="str">
        <v>190</v>
      </c>
      <c r="Y60" s="4" t="str">
        <v>Prod56</v>
      </c>
      <c r="Z60" s="4" t="str">
        <v>Premium Blanket Throw</v>
      </c>
      <c r="AA60" s="4" t="str">
        <v>Home</v>
      </c>
      <c r="AB60" s="4" t="str">
        <v>Decor</v>
      </c>
      <c r="AC60" s="4" t="str">
        <v>Hernandez, Kennedy And Porter</v>
      </c>
      <c r="AD60" s="4" t="str">
        <v>461.47</v>
      </c>
      <c r="AE60" s="4" t="str">
        <v>190</v>
      </c>
    </row>
    <row r="61" spans="1:31" x14ac:dyDescent="0.25">
      <c r="A61" s="14" t="s">
        <v>224</v>
      </c>
      <c r="B61" s="4" t="s">
        <v>225</v>
      </c>
      <c r="C61" s="4" t="s">
        <v>67</v>
      </c>
      <c r="D61" s="4" t="s">
        <v>68</v>
      </c>
      <c r="E61" s="4" t="s">
        <v>226</v>
      </c>
      <c r="F61" s="4">
        <v>30.62</v>
      </c>
      <c r="G61" s="15">
        <v>138</v>
      </c>
      <c r="I61" s="4" t="str">
        <v>PROD57</v>
      </c>
      <c r="J61" s="4" t="str">
        <v>Foam Roller</v>
      </c>
      <c r="K61" s="4" t="str">
        <v>Sports</v>
      </c>
      <c r="L61" s="4" t="str">
        <v>Fitness</v>
      </c>
      <c r="M61" s="4" t="str">
        <v>Atkinson, Camacho and Oliver</v>
      </c>
      <c r="N61" s="4" t="str">
        <v>30.62</v>
      </c>
      <c r="O61" s="4" t="str">
        <v>138</v>
      </c>
      <c r="Q61" s="4" t="str">
        <v>PROD57</v>
      </c>
      <c r="R61" s="4" t="str">
        <v>FOAM ROLLER</v>
      </c>
      <c r="S61" s="4" t="str">
        <v>SPORTS</v>
      </c>
      <c r="T61" s="4" t="str">
        <v>FITNESS</v>
      </c>
      <c r="U61" s="4" t="str">
        <v>ATKINSON, CAMACHO AND OLIVER</v>
      </c>
      <c r="V61" s="4" t="str">
        <v>30.62</v>
      </c>
      <c r="W61" s="4" t="str">
        <v>138</v>
      </c>
      <c r="Y61" s="4" t="str">
        <v>Prod57</v>
      </c>
      <c r="Z61" s="4" t="str">
        <v>Foam Roller</v>
      </c>
      <c r="AA61" s="4" t="str">
        <v>Sports</v>
      </c>
      <c r="AB61" s="4" t="str">
        <v>Fitness</v>
      </c>
      <c r="AC61" s="4" t="str">
        <v>Atkinson, Camacho And Oliver</v>
      </c>
      <c r="AD61" s="4" t="str">
        <v>30.62</v>
      </c>
      <c r="AE61" s="4" t="str">
        <v>138</v>
      </c>
    </row>
    <row r="62" spans="1:31" x14ac:dyDescent="0.25">
      <c r="A62" s="14" t="s">
        <v>227</v>
      </c>
      <c r="B62" s="4" t="s">
        <v>228</v>
      </c>
      <c r="C62" s="4" t="s">
        <v>33</v>
      </c>
      <c r="D62" s="4" t="s">
        <v>49</v>
      </c>
      <c r="E62" s="4" t="s">
        <v>229</v>
      </c>
      <c r="F62" s="4">
        <v>113.83</v>
      </c>
      <c r="G62" s="15">
        <v>485</v>
      </c>
      <c r="I62" s="4" t="str">
        <v>PROD58</v>
      </c>
      <c r="J62" s="4" t="str">
        <v>Womens Cotton Scarf</v>
      </c>
      <c r="K62" s="4" t="str">
        <v>Clothing</v>
      </c>
      <c r="L62" s="4" t="str">
        <v>Accessories</v>
      </c>
      <c r="M62" s="4" t="str">
        <v>Shepherd-Gould</v>
      </c>
      <c r="N62" s="4" t="str">
        <v>113.83</v>
      </c>
      <c r="O62" s="4" t="str">
        <v>485</v>
      </c>
      <c r="Q62" s="4" t="str">
        <v>PROD58</v>
      </c>
      <c r="R62" s="4" t="str">
        <v>WOMENS COTTON SCARF</v>
      </c>
      <c r="S62" s="4" t="str">
        <v>CLOTHING</v>
      </c>
      <c r="T62" s="4" t="str">
        <v>ACCESSORIES</v>
      </c>
      <c r="U62" s="4" t="str">
        <v>SHEPHERD-GOULD</v>
      </c>
      <c r="V62" s="4" t="str">
        <v>113.83</v>
      </c>
      <c r="W62" s="4" t="str">
        <v>485</v>
      </c>
      <c r="Y62" s="4" t="str">
        <v>Prod58</v>
      </c>
      <c r="Z62" s="4" t="str">
        <v>Womens Cotton Scarf</v>
      </c>
      <c r="AA62" s="4" t="str">
        <v>Clothing</v>
      </c>
      <c r="AB62" s="4" t="str">
        <v>Accessories</v>
      </c>
      <c r="AC62" s="4" t="str">
        <v>Shepherd-Gould</v>
      </c>
      <c r="AD62" s="4" t="str">
        <v>113.83</v>
      </c>
      <c r="AE62" s="4" t="str">
        <v>485</v>
      </c>
    </row>
    <row r="63" spans="1:31" x14ac:dyDescent="0.25">
      <c r="A63" s="14" t="s">
        <v>230</v>
      </c>
      <c r="B63" s="4" t="s">
        <v>231</v>
      </c>
      <c r="C63" s="4" t="s">
        <v>53</v>
      </c>
      <c r="D63" s="4" t="s">
        <v>79</v>
      </c>
      <c r="E63" s="4" t="s">
        <v>232</v>
      </c>
      <c r="F63" s="4">
        <v>17.309999999999999</v>
      </c>
      <c r="G63" s="15">
        <v>399</v>
      </c>
      <c r="I63" s="4" t="str">
        <v>PROD59</v>
      </c>
      <c r="J63" s="4" t="str">
        <v>Men's Hair Styling Gel</v>
      </c>
      <c r="K63" s="4" t="str">
        <v>Beauty</v>
      </c>
      <c r="L63" s="4" t="str">
        <v>Haircare</v>
      </c>
      <c r="M63" s="4" t="str">
        <v>Cline-Mccarthy</v>
      </c>
      <c r="N63" s="4" t="str">
        <v>17.31</v>
      </c>
      <c r="O63" s="4" t="str">
        <v>399</v>
      </c>
      <c r="Q63" s="4" t="str">
        <v>PROD59</v>
      </c>
      <c r="R63" s="4" t="str">
        <v>MEN'S HAIR STYLING GEL</v>
      </c>
      <c r="S63" s="4" t="str">
        <v>BEAUTY</v>
      </c>
      <c r="T63" s="4" t="str">
        <v>HAIRCARE</v>
      </c>
      <c r="U63" s="4" t="str">
        <v>CLINE-MCCARTHY</v>
      </c>
      <c r="V63" s="4" t="str">
        <v>17.31</v>
      </c>
      <c r="W63" s="4" t="str">
        <v>399</v>
      </c>
      <c r="Y63" s="4" t="str">
        <v>Prod59</v>
      </c>
      <c r="Z63" s="4" t="str">
        <v>Men'S Hair Styling Gel</v>
      </c>
      <c r="AA63" s="4" t="str">
        <v>Beauty</v>
      </c>
      <c r="AB63" s="4" t="str">
        <v>Haircare</v>
      </c>
      <c r="AC63" s="4" t="str">
        <v>Cline-Mccarthy</v>
      </c>
      <c r="AD63" s="4" t="str">
        <v>17.31</v>
      </c>
      <c r="AE63" s="4" t="str">
        <v>399</v>
      </c>
    </row>
    <row r="64" spans="1:31" x14ac:dyDescent="0.25">
      <c r="A64" s="14" t="s">
        <v>233</v>
      </c>
      <c r="B64" s="4" t="s">
        <v>234</v>
      </c>
      <c r="C64" s="4" t="s">
        <v>53</v>
      </c>
      <c r="D64" s="4" t="s">
        <v>201</v>
      </c>
      <c r="E64" s="4" t="s">
        <v>235</v>
      </c>
      <c r="F64" s="4">
        <v>482.75</v>
      </c>
      <c r="G64" s="15">
        <v>444</v>
      </c>
      <c r="I64" s="4" t="str">
        <v>PROD60</v>
      </c>
      <c r="J64" s="4" t="str">
        <v>Luxury Perfume Spray</v>
      </c>
      <c r="K64" s="4" t="str">
        <v>Beauty</v>
      </c>
      <c r="L64" s="4" t="str">
        <v>Fragrance</v>
      </c>
      <c r="M64" s="4" t="str">
        <v>Gibson, Green and Lopez</v>
      </c>
      <c r="N64" s="4" t="str">
        <v>482.75</v>
      </c>
      <c r="O64" s="4" t="str">
        <v>444</v>
      </c>
      <c r="Q64" s="4" t="str">
        <v>PROD60</v>
      </c>
      <c r="R64" s="4" t="str">
        <v>LUXURY PERFUME SPRAY</v>
      </c>
      <c r="S64" s="4" t="str">
        <v>BEAUTY</v>
      </c>
      <c r="T64" s="4" t="str">
        <v>FRAGRANCE</v>
      </c>
      <c r="U64" s="4" t="str">
        <v>GIBSON, GREEN AND LOPEZ</v>
      </c>
      <c r="V64" s="4" t="str">
        <v>482.75</v>
      </c>
      <c r="W64" s="4" t="str">
        <v>444</v>
      </c>
      <c r="Y64" s="4" t="str">
        <v>Prod60</v>
      </c>
      <c r="Z64" s="4" t="str">
        <v>Luxury Perfume Spray</v>
      </c>
      <c r="AA64" s="4" t="str">
        <v>Beauty</v>
      </c>
      <c r="AB64" s="4" t="str">
        <v>Fragrance</v>
      </c>
      <c r="AC64" s="4" t="str">
        <v>Gibson, Green And Lopez</v>
      </c>
      <c r="AD64" s="4" t="str">
        <v>482.75</v>
      </c>
      <c r="AE64" s="4" t="str">
        <v>444</v>
      </c>
    </row>
    <row r="65" spans="1:31" x14ac:dyDescent="0.25">
      <c r="A65" s="14" t="s">
        <v>236</v>
      </c>
      <c r="B65" s="4" t="s">
        <v>237</v>
      </c>
      <c r="C65" s="4" t="s">
        <v>67</v>
      </c>
      <c r="D65" s="4" t="s">
        <v>104</v>
      </c>
      <c r="E65" s="4" t="s">
        <v>238</v>
      </c>
      <c r="F65" s="4">
        <v>103.45</v>
      </c>
      <c r="G65" s="15">
        <v>465</v>
      </c>
      <c r="I65" s="4" t="str">
        <v>PROD61</v>
      </c>
      <c r="J65" s="4" t="str">
        <v>Tennis Ball 3-Pack</v>
      </c>
      <c r="K65" s="4" t="str">
        <v>Sports</v>
      </c>
      <c r="L65" s="4" t="str">
        <v>Equipment</v>
      </c>
      <c r="M65" s="4" t="str">
        <v>Lopez LLC</v>
      </c>
      <c r="N65" s="4" t="str">
        <v>103.45</v>
      </c>
      <c r="O65" s="4" t="str">
        <v>465</v>
      </c>
      <c r="Q65" s="4" t="str">
        <v>PROD61</v>
      </c>
      <c r="R65" s="4" t="str">
        <v>TENNIS BALL 3-PACK</v>
      </c>
      <c r="S65" s="4" t="str">
        <v>SPORTS</v>
      </c>
      <c r="T65" s="4" t="str">
        <v>EQUIPMENT</v>
      </c>
      <c r="U65" s="4" t="str">
        <v>LOPEZ LLC</v>
      </c>
      <c r="V65" s="4" t="str">
        <v>103.45</v>
      </c>
      <c r="W65" s="4" t="str">
        <v>465</v>
      </c>
      <c r="Y65" s="4" t="str">
        <v>Prod61</v>
      </c>
      <c r="Z65" s="4" t="str">
        <v>Tennis Ball 3-Pack</v>
      </c>
      <c r="AA65" s="4" t="str">
        <v>Sports</v>
      </c>
      <c r="AB65" s="4" t="str">
        <v>Equipment</v>
      </c>
      <c r="AC65" s="4" t="str">
        <v>Lopez Llc</v>
      </c>
      <c r="AD65" s="4" t="str">
        <v>103.45</v>
      </c>
      <c r="AE65" s="4" t="str">
        <v>465</v>
      </c>
    </row>
    <row r="66" spans="1:31" x14ac:dyDescent="0.25">
      <c r="A66" s="14" t="s">
        <v>239</v>
      </c>
      <c r="B66" s="4" t="s">
        <v>240</v>
      </c>
      <c r="C66" s="4" t="s">
        <v>28</v>
      </c>
      <c r="D66" s="4" t="s">
        <v>29</v>
      </c>
      <c r="E66" s="4" t="s">
        <v>241</v>
      </c>
      <c r="F66" s="4">
        <v>86.42</v>
      </c>
      <c r="G66" s="15">
        <v>222</v>
      </c>
      <c r="I66" s="4" t="str">
        <v>PROD62</v>
      </c>
      <c r="J66" s="4" t="str">
        <v>Laptop Cooling Pad</v>
      </c>
      <c r="K66" s="4" t="str">
        <v>Electronics</v>
      </c>
      <c r="L66" s="4" t="str">
        <v>Computer</v>
      </c>
      <c r="M66" s="4" t="str">
        <v>Murray, Gould and Ware</v>
      </c>
      <c r="N66" s="4" t="str">
        <v>86.42</v>
      </c>
      <c r="O66" s="4" t="str">
        <v>222</v>
      </c>
      <c r="Q66" s="4" t="str">
        <v>PROD62</v>
      </c>
      <c r="R66" s="4" t="str">
        <v>LAPTOP COOLING PAD</v>
      </c>
      <c r="S66" s="4" t="str">
        <v>ELECTRONICS</v>
      </c>
      <c r="T66" s="4" t="str">
        <v>COMPUTER</v>
      </c>
      <c r="U66" s="4" t="str">
        <v>MURRAY, GOULD AND WARE</v>
      </c>
      <c r="V66" s="4" t="str">
        <v>86.42</v>
      </c>
      <c r="W66" s="4" t="str">
        <v>222</v>
      </c>
      <c r="Y66" s="4" t="str">
        <v>Prod62</v>
      </c>
      <c r="Z66" s="4" t="str">
        <v>Laptop Cooling Pad</v>
      </c>
      <c r="AA66" s="4" t="str">
        <v>Electronics</v>
      </c>
      <c r="AB66" s="4" t="str">
        <v>Computer</v>
      </c>
      <c r="AC66" s="4" t="str">
        <v>Murray, Gould And Ware</v>
      </c>
      <c r="AD66" s="4" t="str">
        <v>86.42</v>
      </c>
      <c r="AE66" s="4" t="str">
        <v>222</v>
      </c>
    </row>
    <row r="67" spans="1:31" x14ac:dyDescent="0.25">
      <c r="A67" s="14" t="s">
        <v>242</v>
      </c>
      <c r="B67" s="4" t="s">
        <v>243</v>
      </c>
      <c r="C67" s="4" t="s">
        <v>53</v>
      </c>
      <c r="D67" s="4" t="s">
        <v>54</v>
      </c>
      <c r="E67" s="4" t="s">
        <v>244</v>
      </c>
      <c r="F67" s="4">
        <v>266.86</v>
      </c>
      <c r="G67" s="15">
        <v>458</v>
      </c>
      <c r="I67" s="4" t="str">
        <v>PROD63</v>
      </c>
      <c r="J67" s="4" t="str">
        <v>Organic Sunscreen Lotion</v>
      </c>
      <c r="K67" s="4" t="str">
        <v>Beauty</v>
      </c>
      <c r="L67" s="4" t="str">
        <v>Skincare</v>
      </c>
      <c r="M67" s="4" t="str">
        <v>Anderson-Riley</v>
      </c>
      <c r="N67" s="4" t="str">
        <v>266.86</v>
      </c>
      <c r="O67" s="4" t="str">
        <v>458</v>
      </c>
      <c r="Q67" s="4" t="str">
        <v>PROD63</v>
      </c>
      <c r="R67" s="4" t="str">
        <v>ORGANIC SUNSCREEN LOTION</v>
      </c>
      <c r="S67" s="4" t="str">
        <v>BEAUTY</v>
      </c>
      <c r="T67" s="4" t="str">
        <v>SKINCARE</v>
      </c>
      <c r="U67" s="4" t="str">
        <v>ANDERSON-RILEY</v>
      </c>
      <c r="V67" s="4" t="str">
        <v>266.86</v>
      </c>
      <c r="W67" s="4" t="str">
        <v>458</v>
      </c>
      <c r="Y67" s="4" t="str">
        <v>Prod63</v>
      </c>
      <c r="Z67" s="4" t="str">
        <v>Organic Sunscreen Lotion</v>
      </c>
      <c r="AA67" s="4" t="str">
        <v>Beauty</v>
      </c>
      <c r="AB67" s="4" t="str">
        <v>Skincare</v>
      </c>
      <c r="AC67" s="4" t="str">
        <v>Anderson-Riley</v>
      </c>
      <c r="AD67" s="4" t="str">
        <v>266.86</v>
      </c>
      <c r="AE67" s="4" t="str">
        <v>458</v>
      </c>
    </row>
    <row r="68" spans="1:31" x14ac:dyDescent="0.25">
      <c r="A68" s="14" t="s">
        <v>245</v>
      </c>
      <c r="B68" s="4" t="s">
        <v>246</v>
      </c>
      <c r="C68" s="4" t="s">
        <v>53</v>
      </c>
      <c r="D68" s="4" t="s">
        <v>194</v>
      </c>
      <c r="E68" s="4" t="s">
        <v>247</v>
      </c>
      <c r="F68" s="4">
        <v>299.11</v>
      </c>
      <c r="G68" s="15">
        <v>118</v>
      </c>
      <c r="I68" s="4" t="str">
        <v>PROD64</v>
      </c>
      <c r="J68" s="4" t="str">
        <v>Matte Lipstick Set</v>
      </c>
      <c r="K68" s="4" t="str">
        <v>Beauty</v>
      </c>
      <c r="L68" s="4" t="str">
        <v>Makeup</v>
      </c>
      <c r="M68" s="4" t="str">
        <v>Zhang Inc</v>
      </c>
      <c r="N68" s="4" t="str">
        <v>299.11</v>
      </c>
      <c r="O68" s="4" t="str">
        <v>118</v>
      </c>
      <c r="Q68" s="4" t="str">
        <v>PROD64</v>
      </c>
      <c r="R68" s="4" t="str">
        <v>MATTE LIPSTICK SET</v>
      </c>
      <c r="S68" s="4" t="str">
        <v>BEAUTY</v>
      </c>
      <c r="T68" s="4" t="str">
        <v>MAKEUP</v>
      </c>
      <c r="U68" s="4" t="str">
        <v>ZHANG INC</v>
      </c>
      <c r="V68" s="4" t="str">
        <v>299.11</v>
      </c>
      <c r="W68" s="4" t="str">
        <v>118</v>
      </c>
      <c r="Y68" s="4" t="str">
        <v>Prod64</v>
      </c>
      <c r="Z68" s="4" t="str">
        <v>Matte Lipstick Set</v>
      </c>
      <c r="AA68" s="4" t="str">
        <v>Beauty</v>
      </c>
      <c r="AB68" s="4" t="str">
        <v>Makeup</v>
      </c>
      <c r="AC68" s="4" t="str">
        <v>Zhang Inc</v>
      </c>
      <c r="AD68" s="4" t="str">
        <v>299.11</v>
      </c>
      <c r="AE68" s="4" t="str">
        <v>118</v>
      </c>
    </row>
    <row r="69" spans="1:31" x14ac:dyDescent="0.25">
      <c r="A69" s="14" t="s">
        <v>248</v>
      </c>
      <c r="B69" s="4" t="s">
        <v>249</v>
      </c>
      <c r="C69" s="4" t="s">
        <v>67</v>
      </c>
      <c r="D69" s="4" t="s">
        <v>68</v>
      </c>
      <c r="E69" s="4" t="s">
        <v>250</v>
      </c>
      <c r="F69" s="4">
        <v>240.63</v>
      </c>
      <c r="G69" s="15">
        <v>423</v>
      </c>
      <c r="I69" s="4" t="str">
        <v>PROD65</v>
      </c>
      <c r="J69" s="4" t="str">
        <v>Adjustable Dumbbells 20kg</v>
      </c>
      <c r="K69" s="4" t="str">
        <v>Sports</v>
      </c>
      <c r="L69" s="4" t="str">
        <v>Fitness</v>
      </c>
      <c r="M69" s="4" t="str">
        <v>Montgomery, Benton and Miller</v>
      </c>
      <c r="N69" s="4" t="str">
        <v>240.63</v>
      </c>
      <c r="O69" s="4" t="str">
        <v>423</v>
      </c>
      <c r="Q69" s="4" t="str">
        <v>PROD65</v>
      </c>
      <c r="R69" s="4" t="str">
        <v>ADJUSTABLE DUMBBELLS 20KG</v>
      </c>
      <c r="S69" s="4" t="str">
        <v>SPORTS</v>
      </c>
      <c r="T69" s="4" t="str">
        <v>FITNESS</v>
      </c>
      <c r="U69" s="4" t="str">
        <v>MONTGOMERY, BENTON AND MILLER</v>
      </c>
      <c r="V69" s="4" t="str">
        <v>240.63</v>
      </c>
      <c r="W69" s="4" t="str">
        <v>423</v>
      </c>
      <c r="Y69" s="4" t="str">
        <v>Prod65</v>
      </c>
      <c r="Z69" s="4" t="str">
        <v>Adjustable Dumbbells 20Kg</v>
      </c>
      <c r="AA69" s="4" t="str">
        <v>Sports</v>
      </c>
      <c r="AB69" s="4" t="str">
        <v>Fitness</v>
      </c>
      <c r="AC69" s="4" t="str">
        <v>Montgomery, Benton And Miller</v>
      </c>
      <c r="AD69" s="4" t="str">
        <v>240.63</v>
      </c>
      <c r="AE69" s="4" t="str">
        <v>423</v>
      </c>
    </row>
    <row r="70" spans="1:31" x14ac:dyDescent="0.25">
      <c r="A70" s="14" t="s">
        <v>251</v>
      </c>
      <c r="B70" s="4" t="s">
        <v>252</v>
      </c>
      <c r="C70" s="4" t="s">
        <v>53</v>
      </c>
      <c r="D70" s="4" t="s">
        <v>79</v>
      </c>
      <c r="E70" s="4" t="s">
        <v>253</v>
      </c>
      <c r="F70" s="4">
        <v>340.39</v>
      </c>
      <c r="G70" s="15">
        <v>177</v>
      </c>
      <c r="I70" s="4" t="str">
        <v>PROD66</v>
      </c>
      <c r="J70" s="4" t="str">
        <v>Women's Hair Dryer Brush</v>
      </c>
      <c r="K70" s="4" t="str">
        <v>Beauty</v>
      </c>
      <c r="L70" s="4" t="str">
        <v>Haircare</v>
      </c>
      <c r="M70" s="4" t="str">
        <v>Torres, Spencer and Potter</v>
      </c>
      <c r="N70" s="4" t="str">
        <v>340.39</v>
      </c>
      <c r="O70" s="4" t="str">
        <v>177</v>
      </c>
      <c r="Q70" s="4" t="str">
        <v>PROD66</v>
      </c>
      <c r="R70" s="4" t="str">
        <v>WOMEN'S HAIR DRYER BRUSH</v>
      </c>
      <c r="S70" s="4" t="str">
        <v>BEAUTY</v>
      </c>
      <c r="T70" s="4" t="str">
        <v>HAIRCARE</v>
      </c>
      <c r="U70" s="4" t="str">
        <v>TORRES, SPENCER AND POTTER</v>
      </c>
      <c r="V70" s="4" t="str">
        <v>340.39</v>
      </c>
      <c r="W70" s="4" t="str">
        <v>177</v>
      </c>
      <c r="Y70" s="4" t="str">
        <v>Prod66</v>
      </c>
      <c r="Z70" s="4" t="str">
        <v>Women'S Hair Dryer Brush</v>
      </c>
      <c r="AA70" s="4" t="str">
        <v>Beauty</v>
      </c>
      <c r="AB70" s="4" t="str">
        <v>Haircare</v>
      </c>
      <c r="AC70" s="4" t="str">
        <v>Torres, Spencer And Potter</v>
      </c>
      <c r="AD70" s="4" t="str">
        <v>340.39</v>
      </c>
      <c r="AE70" s="4" t="str">
        <v>177</v>
      </c>
    </row>
    <row r="71" spans="1:31" x14ac:dyDescent="0.25">
      <c r="A71" s="14" t="s">
        <v>254</v>
      </c>
      <c r="B71" s="4" t="s">
        <v>255</v>
      </c>
      <c r="C71" s="4" t="s">
        <v>28</v>
      </c>
      <c r="D71" s="4" t="s">
        <v>49</v>
      </c>
      <c r="E71" s="4" t="s">
        <v>256</v>
      </c>
      <c r="F71" s="4">
        <v>349.17</v>
      </c>
      <c r="G71" s="15">
        <v>476</v>
      </c>
      <c r="I71" s="4" t="str">
        <v>PROD67</v>
      </c>
      <c r="J71" s="4" t="str">
        <v>Smart LED Light Strip</v>
      </c>
      <c r="K71" s="4" t="str">
        <v>Electronics</v>
      </c>
      <c r="L71" s="4" t="str">
        <v>Accessories</v>
      </c>
      <c r="M71" s="4" t="str">
        <v>Flores-Davis</v>
      </c>
      <c r="N71" s="4" t="str">
        <v>349.17</v>
      </c>
      <c r="O71" s="4" t="str">
        <v>476</v>
      </c>
      <c r="Q71" s="4" t="str">
        <v>PROD67</v>
      </c>
      <c r="R71" s="4" t="str">
        <v>SMART LED LIGHT STRIP</v>
      </c>
      <c r="S71" s="4" t="str">
        <v>ELECTRONICS</v>
      </c>
      <c r="T71" s="4" t="str">
        <v>ACCESSORIES</v>
      </c>
      <c r="U71" s="4" t="str">
        <v>FLORES-DAVIS</v>
      </c>
      <c r="V71" s="4" t="str">
        <v>349.17</v>
      </c>
      <c r="W71" s="4" t="str">
        <v>476</v>
      </c>
      <c r="Y71" s="4" t="str">
        <v>Prod67</v>
      </c>
      <c r="Z71" s="4" t="str">
        <v>Smart Led Light Strip</v>
      </c>
      <c r="AA71" s="4" t="str">
        <v>Electronics</v>
      </c>
      <c r="AB71" s="4" t="str">
        <v>Accessories</v>
      </c>
      <c r="AC71" s="4" t="str">
        <v>Flores-Davis</v>
      </c>
      <c r="AD71" s="4" t="str">
        <v>349.17</v>
      </c>
      <c r="AE71" s="4" t="str">
        <v>476</v>
      </c>
    </row>
    <row r="72" spans="1:31" x14ac:dyDescent="0.25">
      <c r="A72" s="14" t="s">
        <v>257</v>
      </c>
      <c r="B72" s="4" t="s">
        <v>258</v>
      </c>
      <c r="C72" s="4" t="s">
        <v>58</v>
      </c>
      <c r="D72" s="4" t="s">
        <v>259</v>
      </c>
      <c r="E72" s="4" t="s">
        <v>260</v>
      </c>
      <c r="F72" s="4">
        <v>243.7</v>
      </c>
      <c r="G72" s="15">
        <v>130</v>
      </c>
      <c r="I72" s="4" t="str">
        <v>PROD68</v>
      </c>
      <c r="J72" s="4" t="str">
        <v>Wooden Nightstand</v>
      </c>
      <c r="K72" s="4" t="str">
        <v>Home</v>
      </c>
      <c r="L72" s="4" t="str">
        <v>Furniture</v>
      </c>
      <c r="M72" s="4" t="str">
        <v>Wolfe, Ross and Hester</v>
      </c>
      <c r="N72" s="4" t="str">
        <v>243.7</v>
      </c>
      <c r="O72" s="4" t="str">
        <v>130</v>
      </c>
      <c r="Q72" s="4" t="str">
        <v>PROD68</v>
      </c>
      <c r="R72" s="4" t="str">
        <v>WOODEN NIGHTSTAND</v>
      </c>
      <c r="S72" s="4" t="str">
        <v>HOME</v>
      </c>
      <c r="T72" s="4" t="str">
        <v>FURNITURE</v>
      </c>
      <c r="U72" s="4" t="str">
        <v>WOLFE, ROSS AND HESTER</v>
      </c>
      <c r="V72" s="4" t="str">
        <v>243.7</v>
      </c>
      <c r="W72" s="4" t="str">
        <v>130</v>
      </c>
      <c r="Y72" s="4" t="str">
        <v>Prod68</v>
      </c>
      <c r="Z72" s="4" t="str">
        <v>Wooden Nightstand</v>
      </c>
      <c r="AA72" s="4" t="str">
        <v>Home</v>
      </c>
      <c r="AB72" s="4" t="str">
        <v>Furniture</v>
      </c>
      <c r="AC72" s="4" t="str">
        <v>Wolfe, Ross And Hester</v>
      </c>
      <c r="AD72" s="4" t="str">
        <v>243.7</v>
      </c>
      <c r="AE72" s="4" t="str">
        <v>130</v>
      </c>
    </row>
    <row r="73" spans="1:31" x14ac:dyDescent="0.25">
      <c r="A73" s="14" t="s">
        <v>261</v>
      </c>
      <c r="B73" s="4" t="s">
        <v>262</v>
      </c>
      <c r="C73" s="4" t="s">
        <v>33</v>
      </c>
      <c r="D73" s="4" t="s">
        <v>45</v>
      </c>
      <c r="E73" s="4" t="s">
        <v>263</v>
      </c>
      <c r="F73" s="4">
        <v>218.22</v>
      </c>
      <c r="G73" s="15">
        <v>224</v>
      </c>
      <c r="I73" s="4" t="str">
        <v>PROD69</v>
      </c>
      <c r="J73" s="4" t="str">
        <v>Men's Sports Shorts</v>
      </c>
      <c r="K73" s="4" t="str">
        <v>Clothing</v>
      </c>
      <c r="L73" s="4" t="str">
        <v>Bottoms</v>
      </c>
      <c r="M73" s="4" t="str">
        <v>Fitzpatrick Ltd</v>
      </c>
      <c r="N73" s="4" t="str">
        <v>218.22</v>
      </c>
      <c r="O73" s="4" t="str">
        <v>224</v>
      </c>
      <c r="Q73" s="4" t="str">
        <v>PROD69</v>
      </c>
      <c r="R73" s="4" t="str">
        <v>MEN'S SPORTS SHORTS</v>
      </c>
      <c r="S73" s="4" t="str">
        <v>CLOTHING</v>
      </c>
      <c r="T73" s="4" t="str">
        <v>BOTTOMS</v>
      </c>
      <c r="U73" s="4" t="str">
        <v>FITZPATRICK LTD</v>
      </c>
      <c r="V73" s="4" t="str">
        <v>218.22</v>
      </c>
      <c r="W73" s="4" t="str">
        <v>224</v>
      </c>
      <c r="Y73" s="4" t="str">
        <v>Prod69</v>
      </c>
      <c r="Z73" s="4" t="str">
        <v>Men'S Sports Shorts</v>
      </c>
      <c r="AA73" s="4" t="str">
        <v>Clothing</v>
      </c>
      <c r="AB73" s="4" t="str">
        <v>Bottoms</v>
      </c>
      <c r="AC73" s="4" t="str">
        <v>Fitzpatrick Ltd</v>
      </c>
      <c r="AD73" s="4" t="str">
        <v>218.22</v>
      </c>
      <c r="AE73" s="4" t="str">
        <v>224</v>
      </c>
    </row>
    <row r="74" spans="1:31" x14ac:dyDescent="0.25">
      <c r="A74" s="14" t="s">
        <v>264</v>
      </c>
      <c r="B74" s="4" t="s">
        <v>265</v>
      </c>
      <c r="C74" s="4" t="s">
        <v>58</v>
      </c>
      <c r="D74" s="4" t="s">
        <v>111</v>
      </c>
      <c r="E74" s="4" t="s">
        <v>266</v>
      </c>
      <c r="F74" s="4">
        <v>138.05000000000001</v>
      </c>
      <c r="G74" s="15">
        <v>89</v>
      </c>
      <c r="I74" s="4" t="str">
        <v>PROD70</v>
      </c>
      <c r="J74" s="4" t="str">
        <v>Kitchen Storage Rack</v>
      </c>
      <c r="K74" s="4" t="str">
        <v>Home</v>
      </c>
      <c r="L74" s="4" t="str">
        <v>Storage</v>
      </c>
      <c r="M74" s="4" t="str">
        <v>Duran Group</v>
      </c>
      <c r="N74" s="4" t="str">
        <v>138.05</v>
      </c>
      <c r="O74" s="4" t="str">
        <v>89</v>
      </c>
      <c r="Q74" s="4" t="str">
        <v>PROD70</v>
      </c>
      <c r="R74" s="4" t="str">
        <v>KITCHEN STORAGE RACK</v>
      </c>
      <c r="S74" s="4" t="str">
        <v>HOME</v>
      </c>
      <c r="T74" s="4" t="str">
        <v>STORAGE</v>
      </c>
      <c r="U74" s="4" t="str">
        <v>DURAN GROUP</v>
      </c>
      <c r="V74" s="4" t="str">
        <v>138.05</v>
      </c>
      <c r="W74" s="4" t="str">
        <v>89</v>
      </c>
      <c r="Y74" s="4" t="str">
        <v>Prod70</v>
      </c>
      <c r="Z74" s="4" t="str">
        <v>Kitchen Storage Rack</v>
      </c>
      <c r="AA74" s="4" t="str">
        <v>Home</v>
      </c>
      <c r="AB74" s="4" t="str">
        <v>Storage</v>
      </c>
      <c r="AC74" s="4" t="str">
        <v>Duran Group</v>
      </c>
      <c r="AD74" s="4" t="str">
        <v>138.05</v>
      </c>
      <c r="AE74" s="4" t="str">
        <v>89</v>
      </c>
    </row>
    <row r="75" spans="1:31" x14ac:dyDescent="0.25">
      <c r="A75" s="14" t="s">
        <v>267</v>
      </c>
      <c r="B75" s="4" t="s">
        <v>268</v>
      </c>
      <c r="C75" s="4" t="s">
        <v>53</v>
      </c>
      <c r="D75" s="4" t="s">
        <v>79</v>
      </c>
      <c r="E75" s="4" t="s">
        <v>269</v>
      </c>
      <c r="F75" s="4">
        <v>214.32</v>
      </c>
      <c r="G75" s="15">
        <v>383</v>
      </c>
      <c r="I75" s="4" t="str">
        <v>PROD71</v>
      </c>
      <c r="J75" s="4" t="str">
        <v>Hair Repair Oil Treatment</v>
      </c>
      <c r="K75" s="4" t="str">
        <v>Beauty</v>
      </c>
      <c r="L75" s="4" t="str">
        <v>Haircare</v>
      </c>
      <c r="M75" s="4" t="str">
        <v>Hopkins Ltd</v>
      </c>
      <c r="N75" s="4" t="str">
        <v>214.32</v>
      </c>
      <c r="O75" s="4" t="str">
        <v>383</v>
      </c>
      <c r="Q75" s="4" t="str">
        <v>PROD71</v>
      </c>
      <c r="R75" s="4" t="str">
        <v>HAIR REPAIR OIL TREATMENT</v>
      </c>
      <c r="S75" s="4" t="str">
        <v>BEAUTY</v>
      </c>
      <c r="T75" s="4" t="str">
        <v>HAIRCARE</v>
      </c>
      <c r="U75" s="4" t="str">
        <v>HOPKINS LTD</v>
      </c>
      <c r="V75" s="4" t="str">
        <v>214.32</v>
      </c>
      <c r="W75" s="4" t="str">
        <v>383</v>
      </c>
      <c r="Y75" s="4" t="str">
        <v>Prod71</v>
      </c>
      <c r="Z75" s="4" t="str">
        <v>Hair Repair Oil Treatment</v>
      </c>
      <c r="AA75" s="4" t="str">
        <v>Beauty</v>
      </c>
      <c r="AB75" s="4" t="str">
        <v>Haircare</v>
      </c>
      <c r="AC75" s="4" t="str">
        <v>Hopkins Ltd</v>
      </c>
      <c r="AD75" s="4" t="str">
        <v>214.32</v>
      </c>
      <c r="AE75" s="4" t="str">
        <v>383</v>
      </c>
    </row>
    <row r="76" spans="1:31" x14ac:dyDescent="0.25">
      <c r="A76" s="14" t="s">
        <v>270</v>
      </c>
      <c r="B76" s="4" t="s">
        <v>271</v>
      </c>
      <c r="C76" s="4" t="s">
        <v>67</v>
      </c>
      <c r="D76" s="4" t="s">
        <v>68</v>
      </c>
      <c r="E76" s="4" t="s">
        <v>272</v>
      </c>
      <c r="F76" s="4">
        <v>477.61</v>
      </c>
      <c r="G76" s="15">
        <v>300</v>
      </c>
      <c r="I76" s="4" t="str">
        <v>PROD72</v>
      </c>
      <c r="J76" s="4" t="str">
        <v>Professional Jump Rope</v>
      </c>
      <c r="K76" s="4" t="str">
        <v>Sports</v>
      </c>
      <c r="L76" s="4" t="str">
        <v>Fitness</v>
      </c>
      <c r="M76" s="4" t="str">
        <v>Davis PLC</v>
      </c>
      <c r="N76" s="4" t="str">
        <v>477.61</v>
      </c>
      <c r="O76" s="4" t="str">
        <v>300</v>
      </c>
      <c r="Q76" s="4" t="str">
        <v>PROD72</v>
      </c>
      <c r="R76" s="4" t="str">
        <v>PROFESSIONAL JUMP ROPE</v>
      </c>
      <c r="S76" s="4" t="str">
        <v>SPORTS</v>
      </c>
      <c r="T76" s="4" t="str">
        <v>FITNESS</v>
      </c>
      <c r="U76" s="4" t="str">
        <v>DAVIS PLC</v>
      </c>
      <c r="V76" s="4" t="str">
        <v>477.61</v>
      </c>
      <c r="W76" s="4" t="str">
        <v>300</v>
      </c>
      <c r="Y76" s="4" t="str">
        <v>Prod72</v>
      </c>
      <c r="Z76" s="4" t="str">
        <v>Professional Jump Rope</v>
      </c>
      <c r="AA76" s="4" t="str">
        <v>Sports</v>
      </c>
      <c r="AB76" s="4" t="str">
        <v>Fitness</v>
      </c>
      <c r="AC76" s="4" t="str">
        <v>Davis Plc</v>
      </c>
      <c r="AD76" s="4" t="str">
        <v>477.61</v>
      </c>
      <c r="AE76" s="4" t="str">
        <v>300</v>
      </c>
    </row>
    <row r="77" spans="1:31" x14ac:dyDescent="0.25">
      <c r="A77" s="14" t="s">
        <v>273</v>
      </c>
      <c r="B77" s="4" t="s">
        <v>274</v>
      </c>
      <c r="C77" s="4" t="s">
        <v>67</v>
      </c>
      <c r="D77" s="4" t="s">
        <v>143</v>
      </c>
      <c r="E77" s="4" t="s">
        <v>275</v>
      </c>
      <c r="F77" s="4">
        <v>107.06</v>
      </c>
      <c r="G77" s="15">
        <v>359</v>
      </c>
      <c r="I77" s="4" t="str">
        <v>PROD73</v>
      </c>
      <c r="J77" s="4" t="str">
        <v>Shin Guards – Adult</v>
      </c>
      <c r="K77" s="4" t="str">
        <v>Sports</v>
      </c>
      <c r="L77" s="4" t="str">
        <v>Team Sports</v>
      </c>
      <c r="M77" s="4" t="str">
        <v>French Ltd</v>
      </c>
      <c r="N77" s="4" t="str">
        <v>107.06</v>
      </c>
      <c r="O77" s="4" t="str">
        <v>359</v>
      </c>
      <c r="Q77" s="4" t="str">
        <v>PROD73</v>
      </c>
      <c r="R77" s="4" t="str">
        <v>SHIN GUARDS – ADULT</v>
      </c>
      <c r="S77" s="4" t="str">
        <v>SPORTS</v>
      </c>
      <c r="T77" s="4" t="str">
        <v>TEAM SPORTS</v>
      </c>
      <c r="U77" s="4" t="str">
        <v>FRENCH LTD</v>
      </c>
      <c r="V77" s="4" t="str">
        <v>107.06</v>
      </c>
      <c r="W77" s="4" t="str">
        <v>359</v>
      </c>
      <c r="Y77" s="4" t="str">
        <v>Prod73</v>
      </c>
      <c r="Z77" s="4" t="str">
        <v>Shin Guards – Adult</v>
      </c>
      <c r="AA77" s="4" t="str">
        <v>Sports</v>
      </c>
      <c r="AB77" s="4" t="str">
        <v>Team Sports</v>
      </c>
      <c r="AC77" s="4" t="str">
        <v>French Ltd</v>
      </c>
      <c r="AD77" s="4" t="str">
        <v>107.06</v>
      </c>
      <c r="AE77" s="4" t="str">
        <v>359</v>
      </c>
    </row>
    <row r="78" spans="1:31" x14ac:dyDescent="0.25">
      <c r="A78" s="14" t="s">
        <v>276</v>
      </c>
      <c r="B78" s="4" t="s">
        <v>277</v>
      </c>
      <c r="C78" s="4" t="s">
        <v>28</v>
      </c>
      <c r="D78" s="4" t="s">
        <v>63</v>
      </c>
      <c r="E78" s="4" t="s">
        <v>278</v>
      </c>
      <c r="F78" s="4">
        <v>403.71</v>
      </c>
      <c r="G78" s="15">
        <v>159</v>
      </c>
      <c r="I78" s="4" t="str">
        <v>PROD74</v>
      </c>
      <c r="J78" s="4" t="str">
        <v>Bluetooth Car Audio System</v>
      </c>
      <c r="K78" s="4" t="str">
        <v>Electronics</v>
      </c>
      <c r="L78" s="4" t="str">
        <v>Audio</v>
      </c>
      <c r="M78" s="4" t="str">
        <v>Bruce-Bowen</v>
      </c>
      <c r="N78" s="4" t="str">
        <v>403.71</v>
      </c>
      <c r="O78" s="4" t="str">
        <v>159</v>
      </c>
      <c r="Q78" s="4" t="str">
        <v>PROD74</v>
      </c>
      <c r="R78" s="4" t="str">
        <v>BLUETOOTH CAR AUDIO SYSTEM</v>
      </c>
      <c r="S78" s="4" t="str">
        <v>ELECTRONICS</v>
      </c>
      <c r="T78" s="4" t="str">
        <v>AUDIO</v>
      </c>
      <c r="U78" s="4" t="str">
        <v>BRUCE-BOWEN</v>
      </c>
      <c r="V78" s="4" t="str">
        <v>403.71</v>
      </c>
      <c r="W78" s="4" t="str">
        <v>159</v>
      </c>
      <c r="Y78" s="4" t="str">
        <v>Prod74</v>
      </c>
      <c r="Z78" s="4" t="str">
        <v>Bluetooth Car Audio System</v>
      </c>
      <c r="AA78" s="4" t="str">
        <v>Electronics</v>
      </c>
      <c r="AB78" s="4" t="str">
        <v>Audio</v>
      </c>
      <c r="AC78" s="4" t="str">
        <v>Bruce-Bowen</v>
      </c>
      <c r="AD78" s="4" t="str">
        <v>403.71</v>
      </c>
      <c r="AE78" s="4" t="str">
        <v>159</v>
      </c>
    </row>
    <row r="79" spans="1:31" x14ac:dyDescent="0.25">
      <c r="A79" s="14" t="s">
        <v>279</v>
      </c>
      <c r="B79" s="4" t="s">
        <v>280</v>
      </c>
      <c r="C79" s="4" t="s">
        <v>33</v>
      </c>
      <c r="D79" s="4" t="s">
        <v>162</v>
      </c>
      <c r="E79" s="4" t="s">
        <v>281</v>
      </c>
      <c r="F79" s="4">
        <v>158.13999999999999</v>
      </c>
      <c r="G79" s="15">
        <v>82</v>
      </c>
      <c r="I79" s="4" t="str">
        <v>PROD75</v>
      </c>
      <c r="J79" s="4" t="str">
        <v>Women's Ankle Boots</v>
      </c>
      <c r="K79" s="4" t="str">
        <v>Clothing</v>
      </c>
      <c r="L79" s="4" t="str">
        <v>Footwear</v>
      </c>
      <c r="M79" s="4" t="str">
        <v>Poole PLC</v>
      </c>
      <c r="N79" s="4" t="str">
        <v>158.14</v>
      </c>
      <c r="O79" s="4" t="str">
        <v>82</v>
      </c>
      <c r="Q79" s="4" t="str">
        <v>PROD75</v>
      </c>
      <c r="R79" s="4" t="str">
        <v>WOMEN'S ANKLE BOOTS</v>
      </c>
      <c r="S79" s="4" t="str">
        <v>CLOTHING</v>
      </c>
      <c r="T79" s="4" t="str">
        <v>FOOTWEAR</v>
      </c>
      <c r="U79" s="4" t="str">
        <v>POOLE PLC</v>
      </c>
      <c r="V79" s="4" t="str">
        <v>158.14</v>
      </c>
      <c r="W79" s="4" t="str">
        <v>82</v>
      </c>
      <c r="Y79" s="4" t="str">
        <v>Prod75</v>
      </c>
      <c r="Z79" s="4" t="str">
        <v>Women'S Ankle Boots</v>
      </c>
      <c r="AA79" s="4" t="str">
        <v>Clothing</v>
      </c>
      <c r="AB79" s="4" t="str">
        <v>Footwear</v>
      </c>
      <c r="AC79" s="4" t="str">
        <v>Poole Plc</v>
      </c>
      <c r="AD79" s="4" t="str">
        <v>158.14</v>
      </c>
      <c r="AE79" s="4" t="str">
        <v>82</v>
      </c>
    </row>
    <row r="80" spans="1:31" x14ac:dyDescent="0.25">
      <c r="A80" s="14" t="s">
        <v>282</v>
      </c>
      <c r="B80" s="4" t="s">
        <v>283</v>
      </c>
      <c r="C80" s="4" t="s">
        <v>28</v>
      </c>
      <c r="D80" s="4" t="s">
        <v>29</v>
      </c>
      <c r="E80" s="4" t="s">
        <v>284</v>
      </c>
      <c r="F80" s="4">
        <v>392.89</v>
      </c>
      <c r="G80" s="15">
        <v>320</v>
      </c>
      <c r="I80" s="4" t="str">
        <v>PROD76</v>
      </c>
      <c r="J80" s="4" t="str">
        <v>Wireless Mouse</v>
      </c>
      <c r="K80" s="4" t="str">
        <v>Electronics</v>
      </c>
      <c r="L80" s="4" t="str">
        <v>Computer</v>
      </c>
      <c r="M80" s="4" t="str">
        <v>Larson Ltd</v>
      </c>
      <c r="N80" s="4" t="str">
        <v>392.89</v>
      </c>
      <c r="O80" s="4" t="str">
        <v>320</v>
      </c>
      <c r="Q80" s="4" t="str">
        <v>PROD76</v>
      </c>
      <c r="R80" s="4" t="str">
        <v>WIRELESS MOUSE</v>
      </c>
      <c r="S80" s="4" t="str">
        <v>ELECTRONICS</v>
      </c>
      <c r="T80" s="4" t="str">
        <v>COMPUTER</v>
      </c>
      <c r="U80" s="4" t="str">
        <v>LARSON LTD</v>
      </c>
      <c r="V80" s="4" t="str">
        <v>392.89</v>
      </c>
      <c r="W80" s="4" t="str">
        <v>320</v>
      </c>
      <c r="Y80" s="4" t="str">
        <v>Prod76</v>
      </c>
      <c r="Z80" s="4" t="str">
        <v>Wireless Mouse</v>
      </c>
      <c r="AA80" s="4" t="str">
        <v>Electronics</v>
      </c>
      <c r="AB80" s="4" t="str">
        <v>Computer</v>
      </c>
      <c r="AC80" s="4" t="str">
        <v>Larson Ltd</v>
      </c>
      <c r="AD80" s="4" t="str">
        <v>392.89</v>
      </c>
      <c r="AE80" s="4" t="str">
        <v>320</v>
      </c>
    </row>
    <row r="81" spans="1:31" x14ac:dyDescent="0.25">
      <c r="A81" s="14" t="s">
        <v>285</v>
      </c>
      <c r="B81" s="4" t="s">
        <v>286</v>
      </c>
      <c r="C81" s="4" t="s">
        <v>28</v>
      </c>
      <c r="D81" s="4" t="s">
        <v>90</v>
      </c>
      <c r="E81" s="4" t="s">
        <v>287</v>
      </c>
      <c r="F81" s="4">
        <v>480.9</v>
      </c>
      <c r="G81" s="15">
        <v>104</v>
      </c>
      <c r="I81" s="4" t="str">
        <v>PROD77</v>
      </c>
      <c r="J81" s="4" t="str">
        <v>WiFi Mesh Router</v>
      </c>
      <c r="K81" s="4" t="str">
        <v>Electronics</v>
      </c>
      <c r="L81" s="4" t="str">
        <v>Appliances</v>
      </c>
      <c r="M81" s="4" t="str">
        <v>White, Reeves and Woods</v>
      </c>
      <c r="N81" s="4" t="str">
        <v>480.9</v>
      </c>
      <c r="O81" s="4" t="str">
        <v>104</v>
      </c>
      <c r="Q81" s="4" t="str">
        <v>PROD77</v>
      </c>
      <c r="R81" s="4" t="str">
        <v>WIFI MESH ROUTER</v>
      </c>
      <c r="S81" s="4" t="str">
        <v>ELECTRONICS</v>
      </c>
      <c r="T81" s="4" t="str">
        <v>APPLIANCES</v>
      </c>
      <c r="U81" s="4" t="str">
        <v>WHITE, REEVES AND WOODS</v>
      </c>
      <c r="V81" s="4" t="str">
        <v>480.9</v>
      </c>
      <c r="W81" s="4" t="str">
        <v>104</v>
      </c>
      <c r="Y81" s="4" t="str">
        <v>Prod77</v>
      </c>
      <c r="Z81" s="4" t="str">
        <v>Wifi Mesh Router</v>
      </c>
      <c r="AA81" s="4" t="str">
        <v>Electronics</v>
      </c>
      <c r="AB81" s="4" t="str">
        <v>Appliances</v>
      </c>
      <c r="AC81" s="4" t="str">
        <v>White, Reeves And Woods</v>
      </c>
      <c r="AD81" s="4" t="str">
        <v>480.9</v>
      </c>
      <c r="AE81" s="4" t="str">
        <v>104</v>
      </c>
    </row>
    <row r="82" spans="1:31" x14ac:dyDescent="0.25">
      <c r="A82" s="14" t="s">
        <v>288</v>
      </c>
      <c r="B82" s="4" t="s">
        <v>289</v>
      </c>
      <c r="C82" s="4" t="s">
        <v>58</v>
      </c>
      <c r="D82" s="4" t="s">
        <v>86</v>
      </c>
      <c r="E82" s="4" t="s">
        <v>290</v>
      </c>
      <c r="F82" s="4">
        <v>325.26</v>
      </c>
      <c r="G82" s="15">
        <v>400</v>
      </c>
      <c r="I82" s="4" t="str">
        <v>PROD78</v>
      </c>
      <c r="J82" s="4" t="str">
        <v>Essential Oil Diffuser</v>
      </c>
      <c r="K82" s="4" t="str">
        <v>Home</v>
      </c>
      <c r="L82" s="4" t="str">
        <v>Decor</v>
      </c>
      <c r="M82" s="4" t="str">
        <v>Hernandez Inc</v>
      </c>
      <c r="N82" s="4" t="str">
        <v>325.26</v>
      </c>
      <c r="O82" s="4" t="str">
        <v>400</v>
      </c>
      <c r="Q82" s="4" t="str">
        <v>PROD78</v>
      </c>
      <c r="R82" s="4" t="str">
        <v>ESSENTIAL OIL DIFFUSER</v>
      </c>
      <c r="S82" s="4" t="str">
        <v>HOME</v>
      </c>
      <c r="T82" s="4" t="str">
        <v>DECOR</v>
      </c>
      <c r="U82" s="4" t="str">
        <v>HERNANDEZ INC</v>
      </c>
      <c r="V82" s="4" t="str">
        <v>325.26</v>
      </c>
      <c r="W82" s="4" t="str">
        <v>400</v>
      </c>
      <c r="Y82" s="4" t="str">
        <v>Prod78</v>
      </c>
      <c r="Z82" s="4" t="str">
        <v>Essential Oil Diffuser</v>
      </c>
      <c r="AA82" s="4" t="str">
        <v>Home</v>
      </c>
      <c r="AB82" s="4" t="str">
        <v>Decor</v>
      </c>
      <c r="AC82" s="4" t="str">
        <v>Hernandez Inc</v>
      </c>
      <c r="AD82" s="4" t="str">
        <v>325.26</v>
      </c>
      <c r="AE82" s="4" t="str">
        <v>400</v>
      </c>
    </row>
    <row r="83" spans="1:31" x14ac:dyDescent="0.25">
      <c r="A83" s="14" t="s">
        <v>291</v>
      </c>
      <c r="B83" s="4" t="s">
        <v>292</v>
      </c>
      <c r="C83" s="4" t="s">
        <v>58</v>
      </c>
      <c r="D83" s="4" t="s">
        <v>59</v>
      </c>
      <c r="E83" s="4" t="s">
        <v>293</v>
      </c>
      <c r="F83" s="4">
        <v>228.53</v>
      </c>
      <c r="G83" s="15">
        <v>469</v>
      </c>
      <c r="I83" s="4" t="str">
        <v>PROD79</v>
      </c>
      <c r="J83" s="4" t="str">
        <v>Decorative Lamp Shade</v>
      </c>
      <c r="K83" s="4" t="str">
        <v>Home</v>
      </c>
      <c r="L83" s="4" t="str">
        <v>Lighting</v>
      </c>
      <c r="M83" s="4" t="str">
        <v>Ramirez-Hanson</v>
      </c>
      <c r="N83" s="4" t="str">
        <v>228.53</v>
      </c>
      <c r="O83" s="4" t="str">
        <v>469</v>
      </c>
      <c r="Q83" s="4" t="str">
        <v>PROD79</v>
      </c>
      <c r="R83" s="4" t="str">
        <v>DECORATIVE LAMP SHADE</v>
      </c>
      <c r="S83" s="4" t="str">
        <v>HOME</v>
      </c>
      <c r="T83" s="4" t="str">
        <v>LIGHTING</v>
      </c>
      <c r="U83" s="4" t="str">
        <v>RAMIREZ-HANSON</v>
      </c>
      <c r="V83" s="4" t="str">
        <v>228.53</v>
      </c>
      <c r="W83" s="4" t="str">
        <v>469</v>
      </c>
      <c r="Y83" s="4" t="str">
        <v>Prod79</v>
      </c>
      <c r="Z83" s="4" t="str">
        <v>Decorative Lamp Shade</v>
      </c>
      <c r="AA83" s="4" t="str">
        <v>Home</v>
      </c>
      <c r="AB83" s="4" t="str">
        <v>Lighting</v>
      </c>
      <c r="AC83" s="4" t="str">
        <v>Ramirez-Hanson</v>
      </c>
      <c r="AD83" s="4" t="str">
        <v>228.53</v>
      </c>
      <c r="AE83" s="4" t="str">
        <v>469</v>
      </c>
    </row>
    <row r="84" spans="1:31" x14ac:dyDescent="0.25">
      <c r="A84" s="14" t="s">
        <v>294</v>
      </c>
      <c r="B84" s="4" t="s">
        <v>295</v>
      </c>
      <c r="C84" s="4" t="s">
        <v>58</v>
      </c>
      <c r="D84" s="4" t="s">
        <v>72</v>
      </c>
      <c r="E84" s="4" t="s">
        <v>296</v>
      </c>
      <c r="F84" s="4">
        <v>143.43</v>
      </c>
      <c r="G84" s="15">
        <v>58</v>
      </c>
      <c r="I84" s="4" t="str">
        <v>PROD80</v>
      </c>
      <c r="J84" s="4" t="str">
        <v>Wall-Mounted Spice Rack</v>
      </c>
      <c r="K84" s="4" t="str">
        <v>Home</v>
      </c>
      <c r="L84" s="4" t="str">
        <v>Kitchen</v>
      </c>
      <c r="M84" s="4" t="str">
        <v>Allison Ltd</v>
      </c>
      <c r="N84" s="4" t="str">
        <v>143.43</v>
      </c>
      <c r="O84" s="4" t="str">
        <v>58</v>
      </c>
      <c r="Q84" s="4" t="str">
        <v>PROD80</v>
      </c>
      <c r="R84" s="4" t="str">
        <v>WALL-MOUNTED SPICE RACK</v>
      </c>
      <c r="S84" s="4" t="str">
        <v>HOME</v>
      </c>
      <c r="T84" s="4" t="str">
        <v>KITCHEN</v>
      </c>
      <c r="U84" s="4" t="str">
        <v>ALLISON LTD</v>
      </c>
      <c r="V84" s="4" t="str">
        <v>143.43</v>
      </c>
      <c r="W84" s="4" t="str">
        <v>58</v>
      </c>
      <c r="Y84" s="4" t="str">
        <v>Prod80</v>
      </c>
      <c r="Z84" s="4" t="str">
        <v>Wall-Mounted Spice Rack</v>
      </c>
      <c r="AA84" s="4" t="str">
        <v>Home</v>
      </c>
      <c r="AB84" s="4" t="str">
        <v>Kitchen</v>
      </c>
      <c r="AC84" s="4" t="str">
        <v>Allison Ltd</v>
      </c>
      <c r="AD84" s="4" t="str">
        <v>143.43</v>
      </c>
      <c r="AE84" s="4" t="str">
        <v>58</v>
      </c>
    </row>
    <row r="85" spans="1:31" x14ac:dyDescent="0.25">
      <c r="A85" s="14" t="s">
        <v>297</v>
      </c>
      <c r="B85" s="4" t="s">
        <v>298</v>
      </c>
      <c r="C85" s="4" t="s">
        <v>67</v>
      </c>
      <c r="D85" s="4" t="s">
        <v>104</v>
      </c>
      <c r="E85" s="4" t="s">
        <v>299</v>
      </c>
      <c r="F85" s="4">
        <v>285.54000000000002</v>
      </c>
      <c r="G85" s="15">
        <v>358</v>
      </c>
      <c r="I85" s="4" t="str">
        <v>PROD81</v>
      </c>
      <c r="J85" s="4" t="str">
        <v>Badminton Racket Set</v>
      </c>
      <c r="K85" s="4" t="str">
        <v>Sports</v>
      </c>
      <c r="L85" s="4" t="str">
        <v>Equipment</v>
      </c>
      <c r="M85" s="4" t="str">
        <v>Robinson-Brown</v>
      </c>
      <c r="N85" s="4" t="str">
        <v>285.54</v>
      </c>
      <c r="O85" s="4" t="str">
        <v>358</v>
      </c>
      <c r="Q85" s="4" t="str">
        <v>PROD81</v>
      </c>
      <c r="R85" s="4" t="str">
        <v>BADMINTON RACKET SET</v>
      </c>
      <c r="S85" s="4" t="str">
        <v>SPORTS</v>
      </c>
      <c r="T85" s="4" t="str">
        <v>EQUIPMENT</v>
      </c>
      <c r="U85" s="4" t="str">
        <v>ROBINSON-BROWN</v>
      </c>
      <c r="V85" s="4" t="str">
        <v>285.54</v>
      </c>
      <c r="W85" s="4" t="str">
        <v>358</v>
      </c>
      <c r="Y85" s="4" t="str">
        <v>Prod81</v>
      </c>
      <c r="Z85" s="4" t="str">
        <v>Badminton Racket Set</v>
      </c>
      <c r="AA85" s="4" t="str">
        <v>Sports</v>
      </c>
      <c r="AB85" s="4" t="str">
        <v>Equipment</v>
      </c>
      <c r="AC85" s="4" t="str">
        <v>Robinson-Brown</v>
      </c>
      <c r="AD85" s="4" t="str">
        <v>285.54</v>
      </c>
      <c r="AE85" s="4" t="str">
        <v>358</v>
      </c>
    </row>
    <row r="86" spans="1:31" x14ac:dyDescent="0.25">
      <c r="A86" s="14" t="s">
        <v>300</v>
      </c>
      <c r="B86" s="4" t="s">
        <v>301</v>
      </c>
      <c r="C86" s="4" t="s">
        <v>67</v>
      </c>
      <c r="D86" s="4" t="s">
        <v>68</v>
      </c>
      <c r="E86" s="4" t="s">
        <v>302</v>
      </c>
      <c r="F86" s="4">
        <v>152.91999999999999</v>
      </c>
      <c r="G86" s="15">
        <v>281</v>
      </c>
      <c r="I86" s="4" t="str">
        <v>PROD82</v>
      </c>
      <c r="J86" s="4" t="str">
        <v>Fitness Resistance Bands</v>
      </c>
      <c r="K86" s="4" t="str">
        <v>Sports</v>
      </c>
      <c r="L86" s="4" t="str">
        <v>Fitness</v>
      </c>
      <c r="M86" s="4" t="str">
        <v>Reese-Watson</v>
      </c>
      <c r="N86" s="4" t="str">
        <v>152.92</v>
      </c>
      <c r="O86" s="4" t="str">
        <v>281</v>
      </c>
      <c r="Q86" s="4" t="str">
        <v>PROD82</v>
      </c>
      <c r="R86" s="4" t="str">
        <v>FITNESS RESISTANCE BANDS</v>
      </c>
      <c r="S86" s="4" t="str">
        <v>SPORTS</v>
      </c>
      <c r="T86" s="4" t="str">
        <v>FITNESS</v>
      </c>
      <c r="U86" s="4" t="str">
        <v>REESE-WATSON</v>
      </c>
      <c r="V86" s="4" t="str">
        <v>152.92</v>
      </c>
      <c r="W86" s="4" t="str">
        <v>281</v>
      </c>
      <c r="Y86" s="4" t="str">
        <v>Prod82</v>
      </c>
      <c r="Z86" s="4" t="str">
        <v>Fitness Resistance Bands</v>
      </c>
      <c r="AA86" s="4" t="str">
        <v>Sports</v>
      </c>
      <c r="AB86" s="4" t="str">
        <v>Fitness</v>
      </c>
      <c r="AC86" s="4" t="str">
        <v>Reese-Watson</v>
      </c>
      <c r="AD86" s="4" t="str">
        <v>152.92</v>
      </c>
      <c r="AE86" s="4" t="str">
        <v>281</v>
      </c>
    </row>
    <row r="87" spans="1:31" x14ac:dyDescent="0.25">
      <c r="A87" s="14" t="s">
        <v>303</v>
      </c>
      <c r="B87" s="4" t="s">
        <v>304</v>
      </c>
      <c r="C87" s="4" t="s">
        <v>53</v>
      </c>
      <c r="D87" s="4" t="s">
        <v>54</v>
      </c>
      <c r="E87" s="4" t="s">
        <v>305</v>
      </c>
      <c r="F87" s="4"/>
      <c r="G87" s="15">
        <v>159</v>
      </c>
      <c r="I87" s="4" t="str">
        <v>PROD83</v>
      </c>
      <c r="J87" s="4" t="str">
        <v>Hydrating Face Cleanser</v>
      </c>
      <c r="K87" s="4" t="str">
        <v>Beauty</v>
      </c>
      <c r="L87" s="4" t="str">
        <v>Skincare</v>
      </c>
      <c r="M87" s="4" t="str">
        <v>Butler Group</v>
      </c>
      <c r="N87" s="4" t="str">
        <v/>
      </c>
      <c r="O87" s="4" t="str">
        <v>159</v>
      </c>
      <c r="Q87" s="4" t="str">
        <v>PROD83</v>
      </c>
      <c r="R87" s="4" t="str">
        <v>HYDRATING FACE CLEANSER</v>
      </c>
      <c r="S87" s="4" t="str">
        <v>BEAUTY</v>
      </c>
      <c r="T87" s="4" t="str">
        <v>SKINCARE</v>
      </c>
      <c r="U87" s="4" t="str">
        <v>BUTLER GROUP</v>
      </c>
      <c r="V87" s="4" t="str">
        <v/>
      </c>
      <c r="W87" s="4" t="str">
        <v>159</v>
      </c>
      <c r="Y87" s="4" t="str">
        <v>Prod83</v>
      </c>
      <c r="Z87" s="4" t="str">
        <v>Hydrating Face Cleanser</v>
      </c>
      <c r="AA87" s="4" t="str">
        <v>Beauty</v>
      </c>
      <c r="AB87" s="4" t="str">
        <v>Skincare</v>
      </c>
      <c r="AC87" s="4" t="str">
        <v>Butler Group</v>
      </c>
      <c r="AD87" s="4" t="str">
        <v/>
      </c>
      <c r="AE87" s="4" t="str">
        <v>159</v>
      </c>
    </row>
    <row r="88" spans="1:31" x14ac:dyDescent="0.25">
      <c r="A88" s="14" t="s">
        <v>306</v>
      </c>
      <c r="B88" s="4" t="s">
        <v>307</v>
      </c>
      <c r="C88" s="4" t="s">
        <v>58</v>
      </c>
      <c r="D88" s="4" t="s">
        <v>259</v>
      </c>
      <c r="E88" s="4" t="s">
        <v>308</v>
      </c>
      <c r="F88" s="4">
        <v>388.46</v>
      </c>
      <c r="G88" s="15">
        <v>208</v>
      </c>
      <c r="I88" s="4" t="str">
        <v>PROD84</v>
      </c>
      <c r="J88" s="4" t="str">
        <v>Wooden Bookshelf</v>
      </c>
      <c r="K88" s="4" t="str">
        <v>Home</v>
      </c>
      <c r="L88" s="4" t="str">
        <v>Furniture</v>
      </c>
      <c r="M88" s="4" t="str">
        <v>Collins-Stephenson</v>
      </c>
      <c r="N88" s="4" t="str">
        <v>388.46</v>
      </c>
      <c r="O88" s="4" t="str">
        <v>208</v>
      </c>
      <c r="Q88" s="4" t="str">
        <v>PROD84</v>
      </c>
      <c r="R88" s="4" t="str">
        <v>WOODEN BOOKSHELF</v>
      </c>
      <c r="S88" s="4" t="str">
        <v>HOME</v>
      </c>
      <c r="T88" s="4" t="str">
        <v>FURNITURE</v>
      </c>
      <c r="U88" s="4" t="str">
        <v>COLLINS-STEPHENSON</v>
      </c>
      <c r="V88" s="4" t="str">
        <v>388.46</v>
      </c>
      <c r="W88" s="4" t="str">
        <v>208</v>
      </c>
      <c r="Y88" s="4" t="str">
        <v>Prod84</v>
      </c>
      <c r="Z88" s="4" t="str">
        <v>Wooden Bookshelf</v>
      </c>
      <c r="AA88" s="4" t="str">
        <v>Home</v>
      </c>
      <c r="AB88" s="4" t="str">
        <v>Furniture</v>
      </c>
      <c r="AC88" s="4" t="str">
        <v>Collins-Stephenson</v>
      </c>
      <c r="AD88" s="4" t="str">
        <v>388.46</v>
      </c>
      <c r="AE88" s="4" t="str">
        <v>208</v>
      </c>
    </row>
    <row r="89" spans="1:31" x14ac:dyDescent="0.25">
      <c r="A89" s="14" t="s">
        <v>309</v>
      </c>
      <c r="B89" s="4" t="s">
        <v>310</v>
      </c>
      <c r="C89" s="4" t="s">
        <v>33</v>
      </c>
      <c r="D89" s="4" t="s">
        <v>49</v>
      </c>
      <c r="E89" s="4" t="s">
        <v>311</v>
      </c>
      <c r="F89" s="4">
        <v>119.57</v>
      </c>
      <c r="G89" s="15">
        <v>210</v>
      </c>
      <c r="I89" s="4" t="str">
        <v>PROD85</v>
      </c>
      <c r="J89" s="4" t="str">
        <v>Women's Beanie Hat</v>
      </c>
      <c r="K89" s="4" t="str">
        <v>Clothing</v>
      </c>
      <c r="L89" s="4" t="str">
        <v>Accessories</v>
      </c>
      <c r="M89" s="4" t="str">
        <v>Richardson-Carrillo</v>
      </c>
      <c r="N89" s="4" t="str">
        <v>119.57</v>
      </c>
      <c r="O89" s="4" t="str">
        <v>210</v>
      </c>
      <c r="Q89" s="4" t="str">
        <v>PROD85</v>
      </c>
      <c r="R89" s="4" t="str">
        <v>WOMEN'S BEANIE HAT</v>
      </c>
      <c r="S89" s="4" t="str">
        <v>CLOTHING</v>
      </c>
      <c r="T89" s="4" t="str">
        <v>ACCESSORIES</v>
      </c>
      <c r="U89" s="4" t="str">
        <v>RICHARDSON-CARRILLO</v>
      </c>
      <c r="V89" s="4" t="str">
        <v>119.57</v>
      </c>
      <c r="W89" s="4" t="str">
        <v>210</v>
      </c>
      <c r="Y89" s="4" t="str">
        <v>Prod85</v>
      </c>
      <c r="Z89" s="4" t="str">
        <v>Women'S Beanie Hat</v>
      </c>
      <c r="AA89" s="4" t="str">
        <v>Clothing</v>
      </c>
      <c r="AB89" s="4" t="str">
        <v>Accessories</v>
      </c>
      <c r="AC89" s="4" t="str">
        <v>Richardson-Carrillo</v>
      </c>
      <c r="AD89" s="4" t="str">
        <v>119.57</v>
      </c>
      <c r="AE89" s="4" t="str">
        <v>210</v>
      </c>
    </row>
    <row r="90" spans="1:31" x14ac:dyDescent="0.25">
      <c r="A90" s="14" t="s">
        <v>312</v>
      </c>
      <c r="B90" s="4" t="s">
        <v>313</v>
      </c>
      <c r="C90" s="4" t="s">
        <v>58</v>
      </c>
      <c r="D90" s="4" t="s">
        <v>72</v>
      </c>
      <c r="E90" s="4" t="s">
        <v>314</v>
      </c>
      <c r="F90" s="4">
        <v>176.07</v>
      </c>
      <c r="G90" s="15">
        <v>82</v>
      </c>
      <c r="I90" s="4" t="str">
        <v>PROD86</v>
      </c>
      <c r="J90" s="4" t="str">
        <v>Kitchen Cutting Board</v>
      </c>
      <c r="K90" s="4" t="str">
        <v>Home</v>
      </c>
      <c r="L90" s="4" t="str">
        <v>Kitchen</v>
      </c>
      <c r="M90" s="4" t="str">
        <v>Taylor, Dodson and Johnston</v>
      </c>
      <c r="N90" s="4" t="str">
        <v>176.07</v>
      </c>
      <c r="O90" s="4" t="str">
        <v>82</v>
      </c>
      <c r="Q90" s="4" t="str">
        <v>PROD86</v>
      </c>
      <c r="R90" s="4" t="str">
        <v>KITCHEN CUTTING BOARD</v>
      </c>
      <c r="S90" s="4" t="str">
        <v>HOME</v>
      </c>
      <c r="T90" s="4" t="str">
        <v>KITCHEN</v>
      </c>
      <c r="U90" s="4" t="str">
        <v>TAYLOR, DODSON AND JOHNSTON</v>
      </c>
      <c r="V90" s="4" t="str">
        <v>176.07</v>
      </c>
      <c r="W90" s="4" t="str">
        <v>82</v>
      </c>
      <c r="Y90" s="4" t="str">
        <v>Prod86</v>
      </c>
      <c r="Z90" s="4" t="str">
        <v>Kitchen Cutting Board</v>
      </c>
      <c r="AA90" s="4" t="str">
        <v>Home</v>
      </c>
      <c r="AB90" s="4" t="str">
        <v>Kitchen</v>
      </c>
      <c r="AC90" s="4" t="str">
        <v>Taylor, Dodson And Johnston</v>
      </c>
      <c r="AD90" s="4" t="str">
        <v>176.07</v>
      </c>
      <c r="AE90" s="4" t="str">
        <v>82</v>
      </c>
    </row>
    <row r="91" spans="1:31" x14ac:dyDescent="0.25">
      <c r="A91" s="14" t="s">
        <v>315</v>
      </c>
      <c r="B91" s="4" t="s">
        <v>316</v>
      </c>
      <c r="C91" s="4" t="s">
        <v>58</v>
      </c>
      <c r="D91" s="4" t="s">
        <v>59</v>
      </c>
      <c r="E91" s="4" t="s">
        <v>317</v>
      </c>
      <c r="F91" s="4">
        <v>371.38</v>
      </c>
      <c r="G91" s="15">
        <v>220</v>
      </c>
      <c r="I91" s="4" t="str">
        <v>PROD87</v>
      </c>
      <c r="J91" s="4" t="str">
        <v>LED Bedside Lamp</v>
      </c>
      <c r="K91" s="4" t="str">
        <v>Home</v>
      </c>
      <c r="L91" s="4" t="str">
        <v>Lighting</v>
      </c>
      <c r="M91" s="4" t="str">
        <v>Aguilar, Horton and Lewis</v>
      </c>
      <c r="N91" s="4" t="str">
        <v>371.38</v>
      </c>
      <c r="O91" s="4" t="str">
        <v>220</v>
      </c>
      <c r="Q91" s="4" t="str">
        <v>PROD87</v>
      </c>
      <c r="R91" s="4" t="str">
        <v>LED BEDSIDE LAMP</v>
      </c>
      <c r="S91" s="4" t="str">
        <v>HOME</v>
      </c>
      <c r="T91" s="4" t="str">
        <v>LIGHTING</v>
      </c>
      <c r="U91" s="4" t="str">
        <v>AGUILAR, HORTON AND LEWIS</v>
      </c>
      <c r="V91" s="4" t="str">
        <v>371.38</v>
      </c>
      <c r="W91" s="4" t="str">
        <v>220</v>
      </c>
      <c r="Y91" s="4" t="str">
        <v>Prod87</v>
      </c>
      <c r="Z91" s="4" t="str">
        <v>Led Bedside Lamp</v>
      </c>
      <c r="AA91" s="4" t="str">
        <v>Home</v>
      </c>
      <c r="AB91" s="4" t="str">
        <v>Lighting</v>
      </c>
      <c r="AC91" s="4" t="str">
        <v>Aguilar, Horton And Lewis</v>
      </c>
      <c r="AD91" s="4" t="str">
        <v>371.38</v>
      </c>
      <c r="AE91" s="4" t="str">
        <v>220</v>
      </c>
    </row>
    <row r="92" spans="1:31" x14ac:dyDescent="0.25">
      <c r="A92" s="14" t="s">
        <v>318</v>
      </c>
      <c r="B92" s="4" t="s">
        <v>319</v>
      </c>
      <c r="C92" s="4" t="s">
        <v>67</v>
      </c>
      <c r="D92" s="4" t="s">
        <v>49</v>
      </c>
      <c r="E92" s="4" t="s">
        <v>320</v>
      </c>
      <c r="F92" s="4">
        <v>131.24</v>
      </c>
      <c r="G92" s="15">
        <v>232</v>
      </c>
      <c r="I92" s="4" t="str">
        <v>PROD88</v>
      </c>
      <c r="J92" s="4" t="str">
        <v>Sports Wrist Sweatbands</v>
      </c>
      <c r="K92" s="4" t="str">
        <v>Sports</v>
      </c>
      <c r="L92" s="4" t="str">
        <v>Accessories</v>
      </c>
      <c r="M92" s="4" t="str">
        <v>Olsen-Daniels</v>
      </c>
      <c r="N92" s="4" t="str">
        <v>131.24</v>
      </c>
      <c r="O92" s="4" t="str">
        <v>232</v>
      </c>
      <c r="Q92" s="4" t="str">
        <v>PROD88</v>
      </c>
      <c r="R92" s="4" t="str">
        <v>SPORTS WRIST SWEATBANDS</v>
      </c>
      <c r="S92" s="4" t="str">
        <v>SPORTS</v>
      </c>
      <c r="T92" s="4" t="str">
        <v>ACCESSORIES</v>
      </c>
      <c r="U92" s="4" t="str">
        <v>OLSEN-DANIELS</v>
      </c>
      <c r="V92" s="4" t="str">
        <v>131.24</v>
      </c>
      <c r="W92" s="4" t="str">
        <v>232</v>
      </c>
      <c r="Y92" s="4" t="str">
        <v>Prod88</v>
      </c>
      <c r="Z92" s="4" t="str">
        <v>Sports Wrist Sweatbands</v>
      </c>
      <c r="AA92" s="4" t="str">
        <v>Sports</v>
      </c>
      <c r="AB92" s="4" t="str">
        <v>Accessories</v>
      </c>
      <c r="AC92" s="4" t="str">
        <v>Olsen-Daniels</v>
      </c>
      <c r="AD92" s="4" t="str">
        <v>131.24</v>
      </c>
      <c r="AE92" s="4" t="str">
        <v>232</v>
      </c>
    </row>
    <row r="93" spans="1:31" x14ac:dyDescent="0.25">
      <c r="A93" s="14" t="s">
        <v>321</v>
      </c>
      <c r="B93" s="4" t="s">
        <v>322</v>
      </c>
      <c r="C93" s="4" t="s">
        <v>53</v>
      </c>
      <c r="D93" s="4" t="s">
        <v>194</v>
      </c>
      <c r="E93" s="4" t="s">
        <v>323</v>
      </c>
      <c r="F93" s="4">
        <v>183.04</v>
      </c>
      <c r="G93" s="15">
        <v>457</v>
      </c>
      <c r="I93" s="4" t="str">
        <v>PROD89</v>
      </c>
      <c r="J93" s="4" t="str">
        <v>Face Foundation Kit</v>
      </c>
      <c r="K93" s="4" t="str">
        <v>Beauty</v>
      </c>
      <c r="L93" s="4" t="str">
        <v>Makeup</v>
      </c>
      <c r="M93" s="4" t="str">
        <v>Taylor-Elliott</v>
      </c>
      <c r="N93" s="4" t="str">
        <v>183.04</v>
      </c>
      <c r="O93" s="4" t="str">
        <v>457</v>
      </c>
      <c r="Q93" s="4" t="str">
        <v>PROD89</v>
      </c>
      <c r="R93" s="4" t="str">
        <v>FACE FOUNDATION KIT</v>
      </c>
      <c r="S93" s="4" t="str">
        <v>BEAUTY</v>
      </c>
      <c r="T93" s="4" t="str">
        <v>MAKEUP</v>
      </c>
      <c r="U93" s="4" t="str">
        <v>TAYLOR-ELLIOTT</v>
      </c>
      <c r="V93" s="4" t="str">
        <v>183.04</v>
      </c>
      <c r="W93" s="4" t="str">
        <v>457</v>
      </c>
      <c r="Y93" s="4" t="str">
        <v>Prod89</v>
      </c>
      <c r="Z93" s="4" t="str">
        <v>Face Foundation Kit</v>
      </c>
      <c r="AA93" s="4" t="str">
        <v>Beauty</v>
      </c>
      <c r="AB93" s="4" t="str">
        <v>Makeup</v>
      </c>
      <c r="AC93" s="4" t="str">
        <v>Taylor-Elliott</v>
      </c>
      <c r="AD93" s="4" t="str">
        <v>183.04</v>
      </c>
      <c r="AE93" s="4" t="str">
        <v>457</v>
      </c>
    </row>
    <row r="94" spans="1:31" x14ac:dyDescent="0.25">
      <c r="A94" s="14" t="s">
        <v>324</v>
      </c>
      <c r="B94" s="4" t="s">
        <v>325</v>
      </c>
      <c r="C94" s="4" t="s">
        <v>28</v>
      </c>
      <c r="D94" s="4" t="s">
        <v>49</v>
      </c>
      <c r="E94" s="4" t="s">
        <v>326</v>
      </c>
      <c r="F94" s="4">
        <v>340.14</v>
      </c>
      <c r="G94" s="15">
        <v>361</v>
      </c>
      <c r="I94" s="4" t="str">
        <v>PROD90</v>
      </c>
      <c r="J94" s="4" t="str">
        <v>Gaming Mouse Pad XL</v>
      </c>
      <c r="K94" s="4" t="str">
        <v>Electronics</v>
      </c>
      <c r="L94" s="4" t="str">
        <v>Accessories</v>
      </c>
      <c r="M94" s="4" t="str">
        <v>Sharp, Taylor and Rodriguez</v>
      </c>
      <c r="N94" s="4" t="str">
        <v>340.14</v>
      </c>
      <c r="O94" s="4" t="str">
        <v>361</v>
      </c>
      <c r="Q94" s="4" t="str">
        <v>PROD90</v>
      </c>
      <c r="R94" s="4" t="str">
        <v>GAMING MOUSE PAD XL</v>
      </c>
      <c r="S94" s="4" t="str">
        <v>ELECTRONICS</v>
      </c>
      <c r="T94" s="4" t="str">
        <v>ACCESSORIES</v>
      </c>
      <c r="U94" s="4" t="str">
        <v>SHARP, TAYLOR AND RODRIGUEZ</v>
      </c>
      <c r="V94" s="4" t="str">
        <v>340.14</v>
      </c>
      <c r="W94" s="4" t="str">
        <v>361</v>
      </c>
      <c r="Y94" s="4" t="str">
        <v>Prod90</v>
      </c>
      <c r="Z94" s="4" t="str">
        <v>Gaming Mouse Pad Xl</v>
      </c>
      <c r="AA94" s="4" t="str">
        <v>Electronics</v>
      </c>
      <c r="AB94" s="4" t="str">
        <v>Accessories</v>
      </c>
      <c r="AC94" s="4" t="str">
        <v>Sharp, Taylor And Rodriguez</v>
      </c>
      <c r="AD94" s="4" t="str">
        <v>340.14</v>
      </c>
      <c r="AE94" s="4" t="str">
        <v>361</v>
      </c>
    </row>
    <row r="95" spans="1:31" x14ac:dyDescent="0.25">
      <c r="A95" s="14" t="s">
        <v>327</v>
      </c>
      <c r="B95" s="4" t="s">
        <v>328</v>
      </c>
      <c r="C95" s="4" t="s">
        <v>33</v>
      </c>
      <c r="D95" s="4" t="s">
        <v>162</v>
      </c>
      <c r="E95" s="4" t="s">
        <v>329</v>
      </c>
      <c r="F95" s="4">
        <v>438.25</v>
      </c>
      <c r="G95" s="15">
        <v>496</v>
      </c>
      <c r="I95" s="4" t="str">
        <v>PROD91</v>
      </c>
      <c r="J95" s="4" t="str">
        <v>Women's High Heels</v>
      </c>
      <c r="K95" s="4" t="str">
        <v>Clothing</v>
      </c>
      <c r="L95" s="4" t="str">
        <v>Footwear</v>
      </c>
      <c r="M95" s="4" t="str">
        <v>Smith-Charles</v>
      </c>
      <c r="N95" s="4" t="str">
        <v>438.25</v>
      </c>
      <c r="O95" s="4" t="str">
        <v>496</v>
      </c>
      <c r="Q95" s="4" t="str">
        <v>PROD91</v>
      </c>
      <c r="R95" s="4" t="str">
        <v>WOMEN'S HIGH HEELS</v>
      </c>
      <c r="S95" s="4" t="str">
        <v>CLOTHING</v>
      </c>
      <c r="T95" s="4" t="str">
        <v>FOOTWEAR</v>
      </c>
      <c r="U95" s="4" t="str">
        <v>SMITH-CHARLES</v>
      </c>
      <c r="V95" s="4" t="str">
        <v>438.25</v>
      </c>
      <c r="W95" s="4" t="str">
        <v>496</v>
      </c>
      <c r="Y95" s="4" t="str">
        <v>Prod91</v>
      </c>
      <c r="Z95" s="4" t="str">
        <v>Women'S High Heels</v>
      </c>
      <c r="AA95" s="4" t="str">
        <v>Clothing</v>
      </c>
      <c r="AB95" s="4" t="str">
        <v>Footwear</v>
      </c>
      <c r="AC95" s="4" t="str">
        <v>Smith-Charles</v>
      </c>
      <c r="AD95" s="4" t="str">
        <v>438.25</v>
      </c>
      <c r="AE95" s="4" t="str">
        <v>496</v>
      </c>
    </row>
    <row r="96" spans="1:31" x14ac:dyDescent="0.25">
      <c r="A96" s="14" t="s">
        <v>330</v>
      </c>
      <c r="B96" s="4" t="s">
        <v>331</v>
      </c>
      <c r="C96" s="4" t="s">
        <v>58</v>
      </c>
      <c r="D96" s="4" t="s">
        <v>90</v>
      </c>
      <c r="E96" s="4" t="s">
        <v>332</v>
      </c>
      <c r="F96" s="4">
        <v>447.43</v>
      </c>
      <c r="G96" s="15">
        <v>191</v>
      </c>
      <c r="I96" s="4" t="str">
        <v>PROD92</v>
      </c>
      <c r="J96" s="4" t="str">
        <v>Microwave Oven</v>
      </c>
      <c r="K96" s="4" t="str">
        <v>Home</v>
      </c>
      <c r="L96" s="4" t="str">
        <v>Appliances</v>
      </c>
      <c r="M96" s="4" t="str">
        <v>Green, Powell and Palmer</v>
      </c>
      <c r="N96" s="4" t="str">
        <v>447.43</v>
      </c>
      <c r="O96" s="4" t="str">
        <v>191</v>
      </c>
      <c r="Q96" s="4" t="str">
        <v>PROD92</v>
      </c>
      <c r="R96" s="4" t="str">
        <v>MICROWAVE OVEN</v>
      </c>
      <c r="S96" s="4" t="str">
        <v>HOME</v>
      </c>
      <c r="T96" s="4" t="str">
        <v>APPLIANCES</v>
      </c>
      <c r="U96" s="4" t="str">
        <v>GREEN, POWELL AND PALMER</v>
      </c>
      <c r="V96" s="4" t="str">
        <v>447.43</v>
      </c>
      <c r="W96" s="4" t="str">
        <v>191</v>
      </c>
      <c r="Y96" s="4" t="str">
        <v>Prod92</v>
      </c>
      <c r="Z96" s="4" t="str">
        <v>Microwave Oven</v>
      </c>
      <c r="AA96" s="4" t="str">
        <v>Home</v>
      </c>
      <c r="AB96" s="4" t="str">
        <v>Appliances</v>
      </c>
      <c r="AC96" s="4" t="str">
        <v>Green, Powell And Palmer</v>
      </c>
      <c r="AD96" s="4" t="str">
        <v>447.43</v>
      </c>
      <c r="AE96" s="4" t="str">
        <v>191</v>
      </c>
    </row>
    <row r="97" spans="1:31" x14ac:dyDescent="0.25">
      <c r="A97" s="14" t="s">
        <v>333</v>
      </c>
      <c r="B97" s="4" t="s">
        <v>334</v>
      </c>
      <c r="C97" s="4" t="s">
        <v>28</v>
      </c>
      <c r="D97" s="4" t="s">
        <v>29</v>
      </c>
      <c r="E97" s="4" t="s">
        <v>335</v>
      </c>
      <c r="F97" s="4">
        <v>377.52</v>
      </c>
      <c r="G97" s="15">
        <v>485</v>
      </c>
      <c r="I97" s="4" t="str">
        <v>PROD93</v>
      </c>
      <c r="J97" s="4" t="str">
        <v>USB-C Laptop Charger</v>
      </c>
      <c r="K97" s="4" t="str">
        <v>Electronics</v>
      </c>
      <c r="L97" s="4" t="str">
        <v>Computer</v>
      </c>
      <c r="M97" s="4" t="str">
        <v>Martin LLC</v>
      </c>
      <c r="N97" s="4" t="str">
        <v>377.52</v>
      </c>
      <c r="O97" s="4" t="str">
        <v>485</v>
      </c>
      <c r="Q97" s="4" t="str">
        <v>PROD93</v>
      </c>
      <c r="R97" s="4" t="str">
        <v>USB-C LAPTOP CHARGER</v>
      </c>
      <c r="S97" s="4" t="str">
        <v>ELECTRONICS</v>
      </c>
      <c r="T97" s="4" t="str">
        <v>COMPUTER</v>
      </c>
      <c r="U97" s="4" t="str">
        <v>MARTIN LLC</v>
      </c>
      <c r="V97" s="4" t="str">
        <v>377.52</v>
      </c>
      <c r="W97" s="4" t="str">
        <v>485</v>
      </c>
      <c r="Y97" s="4" t="str">
        <v>Prod93</v>
      </c>
      <c r="Z97" s="4" t="str">
        <v>Usb-C Laptop Charger</v>
      </c>
      <c r="AA97" s="4" t="str">
        <v>Electronics</v>
      </c>
      <c r="AB97" s="4" t="str">
        <v>Computer</v>
      </c>
      <c r="AC97" s="4" t="str">
        <v>Martin Llc</v>
      </c>
      <c r="AD97" s="4" t="str">
        <v>377.52</v>
      </c>
      <c r="AE97" s="4" t="str">
        <v>485</v>
      </c>
    </row>
    <row r="98" spans="1:31" x14ac:dyDescent="0.25">
      <c r="A98" s="14" t="s">
        <v>336</v>
      </c>
      <c r="B98" s="4" t="s">
        <v>337</v>
      </c>
      <c r="C98" s="4" t="s">
        <v>53</v>
      </c>
      <c r="D98" s="4" t="s">
        <v>54</v>
      </c>
      <c r="E98" s="4" t="s">
        <v>338</v>
      </c>
      <c r="F98" s="4">
        <v>358.47</v>
      </c>
      <c r="G98" s="15">
        <v>213</v>
      </c>
      <c r="I98" s="4" t="str">
        <v>PROD94</v>
      </c>
      <c r="J98" s="4" t="str">
        <v>Vitamin E Body Lotion</v>
      </c>
      <c r="K98" s="4" t="str">
        <v>Beauty</v>
      </c>
      <c r="L98" s="4" t="str">
        <v>Skincare</v>
      </c>
      <c r="M98" s="4" t="str">
        <v>Hoffman-Williams</v>
      </c>
      <c r="N98" s="4" t="str">
        <v>358.47</v>
      </c>
      <c r="O98" s="4" t="str">
        <v>213</v>
      </c>
      <c r="Q98" s="4" t="str">
        <v>PROD94</v>
      </c>
      <c r="R98" s="4" t="str">
        <v>VITAMIN E BODY LOTION</v>
      </c>
      <c r="S98" s="4" t="str">
        <v>BEAUTY</v>
      </c>
      <c r="T98" s="4" t="str">
        <v>SKINCARE</v>
      </c>
      <c r="U98" s="4" t="str">
        <v>HOFFMAN-WILLIAMS</v>
      </c>
      <c r="V98" s="4" t="str">
        <v>358.47</v>
      </c>
      <c r="W98" s="4" t="str">
        <v>213</v>
      </c>
      <c r="Y98" s="4" t="str">
        <v>Prod94</v>
      </c>
      <c r="Z98" s="4" t="str">
        <v>Vitamin E Body Lotion</v>
      </c>
      <c r="AA98" s="4" t="str">
        <v>Beauty</v>
      </c>
      <c r="AB98" s="4" t="str">
        <v>Skincare</v>
      </c>
      <c r="AC98" s="4" t="str">
        <v>Hoffman-Williams</v>
      </c>
      <c r="AD98" s="4" t="str">
        <v>358.47</v>
      </c>
      <c r="AE98" s="4" t="str">
        <v>213</v>
      </c>
    </row>
    <row r="99" spans="1:31" x14ac:dyDescent="0.25">
      <c r="A99" s="14" t="s">
        <v>339</v>
      </c>
      <c r="B99" s="4" t="s">
        <v>340</v>
      </c>
      <c r="C99" s="4" t="s">
        <v>67</v>
      </c>
      <c r="D99" s="4" t="s">
        <v>49</v>
      </c>
      <c r="E99" s="4" t="s">
        <v>341</v>
      </c>
      <c r="F99" s="4">
        <v>60.65</v>
      </c>
      <c r="G99" s="15">
        <v>75</v>
      </c>
      <c r="I99" s="4" t="str">
        <v>PROD95</v>
      </c>
      <c r="J99" s="4" t="str">
        <v>Sports Stopwatch Basic</v>
      </c>
      <c r="K99" s="4" t="str">
        <v>Sports</v>
      </c>
      <c r="L99" s="4" t="str">
        <v>Accessories</v>
      </c>
      <c r="M99" s="4" t="str">
        <v>Wilson Group</v>
      </c>
      <c r="N99" s="4" t="str">
        <v>60.65</v>
      </c>
      <c r="O99" s="4" t="str">
        <v>75</v>
      </c>
      <c r="Q99" s="4" t="str">
        <v>PROD95</v>
      </c>
      <c r="R99" s="4" t="str">
        <v>SPORTS STOPWATCH BASIC</v>
      </c>
      <c r="S99" s="4" t="str">
        <v>SPORTS</v>
      </c>
      <c r="T99" s="4" t="str">
        <v>ACCESSORIES</v>
      </c>
      <c r="U99" s="4" t="str">
        <v>WILSON GROUP</v>
      </c>
      <c r="V99" s="4" t="str">
        <v>60.65</v>
      </c>
      <c r="W99" s="4" t="str">
        <v>75</v>
      </c>
      <c r="Y99" s="4" t="str">
        <v>Prod95</v>
      </c>
      <c r="Z99" s="4" t="str">
        <v>Sports Stopwatch Basic</v>
      </c>
      <c r="AA99" s="4" t="str">
        <v>Sports</v>
      </c>
      <c r="AB99" s="4" t="str">
        <v>Accessories</v>
      </c>
      <c r="AC99" s="4" t="str">
        <v>Wilson Group</v>
      </c>
      <c r="AD99" s="4" t="str">
        <v>60.65</v>
      </c>
      <c r="AE99" s="4" t="str">
        <v>75</v>
      </c>
    </row>
    <row r="100" spans="1:31" x14ac:dyDescent="0.25">
      <c r="A100" s="14" t="s">
        <v>342</v>
      </c>
      <c r="B100" s="4" t="s">
        <v>343</v>
      </c>
      <c r="C100" s="4" t="s">
        <v>33</v>
      </c>
      <c r="D100" s="4" t="s">
        <v>38</v>
      </c>
      <c r="E100" s="4" t="s">
        <v>344</v>
      </c>
      <c r="F100" s="4">
        <v>358.47</v>
      </c>
      <c r="G100" s="15">
        <v>143</v>
      </c>
      <c r="I100" s="4" t="str">
        <v>PROD96</v>
      </c>
      <c r="J100" s="4" t="str">
        <v>Women's Formal Blazer</v>
      </c>
      <c r="K100" s="4" t="str">
        <v>Clothing</v>
      </c>
      <c r="L100" s="4" t="str">
        <v>Outerwear</v>
      </c>
      <c r="M100" s="4" t="str">
        <v>Phillips and Sons</v>
      </c>
      <c r="N100" s="4" t="str">
        <v>358.47</v>
      </c>
      <c r="O100" s="4" t="str">
        <v>143</v>
      </c>
      <c r="Q100" s="4" t="str">
        <v>PROD96</v>
      </c>
      <c r="R100" s="4" t="str">
        <v>WOMEN'S FORMAL BLAZER</v>
      </c>
      <c r="S100" s="4" t="str">
        <v>CLOTHING</v>
      </c>
      <c r="T100" s="4" t="str">
        <v>OUTERWEAR</v>
      </c>
      <c r="U100" s="4" t="str">
        <v>PHILLIPS AND SONS</v>
      </c>
      <c r="V100" s="4" t="str">
        <v>358.47</v>
      </c>
      <c r="W100" s="4" t="str">
        <v>143</v>
      </c>
      <c r="Y100" s="4" t="str">
        <v>Prod96</v>
      </c>
      <c r="Z100" s="4" t="str">
        <v>Women'S Formal Blazer</v>
      </c>
      <c r="AA100" s="4" t="str">
        <v>Clothing</v>
      </c>
      <c r="AB100" s="4" t="str">
        <v>Outerwear</v>
      </c>
      <c r="AC100" s="4" t="str">
        <v>Phillips And Sons</v>
      </c>
      <c r="AD100" s="4" t="str">
        <v>358.47</v>
      </c>
      <c r="AE100" s="4" t="str">
        <v>143</v>
      </c>
    </row>
    <row r="101" spans="1:31" x14ac:dyDescent="0.25">
      <c r="A101" s="14" t="s">
        <v>345</v>
      </c>
      <c r="B101" s="4" t="s">
        <v>346</v>
      </c>
      <c r="C101" s="4" t="s">
        <v>67</v>
      </c>
      <c r="D101" s="4" t="s">
        <v>143</v>
      </c>
      <c r="E101" s="4" t="s">
        <v>347</v>
      </c>
      <c r="F101" s="4">
        <v>245.98</v>
      </c>
      <c r="G101" s="15">
        <v>471</v>
      </c>
      <c r="I101" s="4" t="str">
        <v>PROD97</v>
      </c>
      <c r="J101" s="4" t="str">
        <v>Cricket Bat</v>
      </c>
      <c r="K101" s="4" t="str">
        <v>Sports</v>
      </c>
      <c r="L101" s="4" t="str">
        <v>Team Sports</v>
      </c>
      <c r="M101" s="4" t="str">
        <v>Khan LLC</v>
      </c>
      <c r="N101" s="4" t="str">
        <v>245.98</v>
      </c>
      <c r="O101" s="4" t="str">
        <v>471</v>
      </c>
      <c r="Q101" s="4" t="str">
        <v>PROD97</v>
      </c>
      <c r="R101" s="4" t="str">
        <v>CRICKET BAT</v>
      </c>
      <c r="S101" s="4" t="str">
        <v>SPORTS</v>
      </c>
      <c r="T101" s="4" t="str">
        <v>TEAM SPORTS</v>
      </c>
      <c r="U101" s="4" t="str">
        <v>KHAN LLC</v>
      </c>
      <c r="V101" s="4" t="str">
        <v>245.98</v>
      </c>
      <c r="W101" s="4" t="str">
        <v>471</v>
      </c>
      <c r="Y101" s="4" t="str">
        <v>Prod97</v>
      </c>
      <c r="Z101" s="4" t="str">
        <v>Cricket Bat</v>
      </c>
      <c r="AA101" s="4" t="str">
        <v>Sports</v>
      </c>
      <c r="AB101" s="4" t="str">
        <v>Team Sports</v>
      </c>
      <c r="AC101" s="4" t="str">
        <v>Khan Llc</v>
      </c>
      <c r="AD101" s="4" t="str">
        <v>245.98</v>
      </c>
      <c r="AE101" s="4" t="str">
        <v>471</v>
      </c>
    </row>
    <row r="102" spans="1:31" x14ac:dyDescent="0.25">
      <c r="A102" s="14" t="s">
        <v>348</v>
      </c>
      <c r="B102" s="4" t="s">
        <v>349</v>
      </c>
      <c r="C102" s="4" t="s">
        <v>28</v>
      </c>
      <c r="D102" s="4" t="s">
        <v>63</v>
      </c>
      <c r="E102" s="4" t="s">
        <v>350</v>
      </c>
      <c r="F102" s="4">
        <v>431.67</v>
      </c>
      <c r="G102" s="15">
        <v>73</v>
      </c>
      <c r="I102" s="4" t="str">
        <v>PROD98</v>
      </c>
      <c r="J102" s="4" t="str">
        <v>Portable Bluetooth Speaker</v>
      </c>
      <c r="K102" s="4" t="str">
        <v>Electronics</v>
      </c>
      <c r="L102" s="4" t="str">
        <v>Audio</v>
      </c>
      <c r="M102" s="4" t="str">
        <v>Flores-King</v>
      </c>
      <c r="N102" s="4" t="str">
        <v>431.67</v>
      </c>
      <c r="O102" s="4" t="str">
        <v>73</v>
      </c>
      <c r="Q102" s="4" t="str">
        <v>PROD98</v>
      </c>
      <c r="R102" s="4" t="str">
        <v>PORTABLE BLUETOOTH SPEAKER</v>
      </c>
      <c r="S102" s="4" t="str">
        <v>ELECTRONICS</v>
      </c>
      <c r="T102" s="4" t="str">
        <v>AUDIO</v>
      </c>
      <c r="U102" s="4" t="str">
        <v>FLORES-KING</v>
      </c>
      <c r="V102" s="4" t="str">
        <v>431.67</v>
      </c>
      <c r="W102" s="4" t="str">
        <v>73</v>
      </c>
      <c r="Y102" s="4" t="str">
        <v>Prod98</v>
      </c>
      <c r="Z102" s="4" t="str">
        <v>Portable Bluetooth Speaker</v>
      </c>
      <c r="AA102" s="4" t="str">
        <v>Electronics</v>
      </c>
      <c r="AB102" s="4" t="str">
        <v>Audio</v>
      </c>
      <c r="AC102" s="4" t="str">
        <v>Flores-King</v>
      </c>
      <c r="AD102" s="4" t="str">
        <v>431.67</v>
      </c>
      <c r="AE102" s="4" t="str">
        <v>73</v>
      </c>
    </row>
    <row r="103" spans="1:31" x14ac:dyDescent="0.25">
      <c r="A103" s="16" t="s">
        <v>351</v>
      </c>
      <c r="B103" s="17" t="s">
        <v>352</v>
      </c>
      <c r="C103" s="17" t="s">
        <v>58</v>
      </c>
      <c r="D103" s="17" t="s">
        <v>72</v>
      </c>
      <c r="E103" s="17" t="s">
        <v>353</v>
      </c>
      <c r="F103" s="17">
        <v>201.41</v>
      </c>
      <c r="G103" s="18">
        <v>146</v>
      </c>
      <c r="I103" s="4" t="str">
        <v>PROD99</v>
      </c>
      <c r="J103" s="4" t="str">
        <v>Stainless Steel Cookware Set</v>
      </c>
      <c r="K103" s="4" t="str">
        <v>Home</v>
      </c>
      <c r="L103" s="4" t="str">
        <v>Kitchen</v>
      </c>
      <c r="M103" s="4" t="str">
        <v>Campbell Ltd</v>
      </c>
      <c r="N103" s="4" t="str">
        <v>201.41</v>
      </c>
      <c r="O103" s="4" t="str">
        <v>146</v>
      </c>
      <c r="Q103" s="4" t="str">
        <v>PROD99</v>
      </c>
      <c r="R103" s="4" t="str">
        <v>STAINLESS STEEL COOKWARE SET</v>
      </c>
      <c r="S103" s="4" t="str">
        <v>HOME</v>
      </c>
      <c r="T103" s="4" t="str">
        <v>KITCHEN</v>
      </c>
      <c r="U103" s="4" t="str">
        <v>CAMPBELL LTD</v>
      </c>
      <c r="V103" s="4" t="str">
        <v>201.41</v>
      </c>
      <c r="W103" s="4" t="str">
        <v>146</v>
      </c>
      <c r="Y103" s="4" t="str">
        <v>Prod99</v>
      </c>
      <c r="Z103" s="4" t="str">
        <v>Stainless Steel Cookware Set</v>
      </c>
      <c r="AA103" s="4" t="str">
        <v>Home</v>
      </c>
      <c r="AB103" s="4" t="str">
        <v>Kitchen</v>
      </c>
      <c r="AC103" s="4" t="str">
        <v>Campbell Ltd</v>
      </c>
      <c r="AD103" s="4" t="str">
        <v>201.41</v>
      </c>
      <c r="AE103" s="4" t="str">
        <v>146</v>
      </c>
    </row>
  </sheetData>
  <mergeCells count="1">
    <mergeCell ref="B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B8C5-6D59-4126-8EB1-8BAD91105422}">
  <dimension ref="A1:G112"/>
  <sheetViews>
    <sheetView workbookViewId="0"/>
  </sheetViews>
  <sheetFormatPr defaultRowHeight="15" x14ac:dyDescent="0.25"/>
  <cols>
    <col min="1" max="1" width="15.28515625" bestFit="1" customWidth="1"/>
    <col min="2" max="2" width="27.5703125" bestFit="1" customWidth="1"/>
    <col min="3" max="3" width="17.5703125" bestFit="1" customWidth="1"/>
    <col min="4" max="4" width="17.85546875" bestFit="1" customWidth="1"/>
    <col min="5" max="5" width="30" bestFit="1" customWidth="1"/>
    <col min="6" max="6" width="9.42578125" bestFit="1" customWidth="1"/>
    <col min="7" max="7" width="10.28515625" bestFit="1" customWidth="1"/>
  </cols>
  <sheetData>
    <row r="1" spans="1:7" x14ac:dyDescent="0.25">
      <c r="A1" s="12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3" t="s">
        <v>25</v>
      </c>
    </row>
    <row r="2" spans="1:7" x14ac:dyDescent="0.25">
      <c r="A2" s="1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>
        <v>112.42</v>
      </c>
      <c r="G2" s="15">
        <v>416</v>
      </c>
    </row>
    <row r="3" spans="1:7" x14ac:dyDescent="0.25">
      <c r="A3" s="1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>
        <v>342.56</v>
      </c>
      <c r="G3" s="15">
        <v>181</v>
      </c>
    </row>
    <row r="4" spans="1:7" x14ac:dyDescent="0.25">
      <c r="A4" s="14" t="s">
        <v>36</v>
      </c>
      <c r="B4" s="4" t="s">
        <v>37</v>
      </c>
      <c r="C4" s="4" t="s">
        <v>33</v>
      </c>
      <c r="D4" s="4" t="s">
        <v>38</v>
      </c>
      <c r="E4" s="4" t="s">
        <v>39</v>
      </c>
      <c r="F4" s="4"/>
      <c r="G4" s="15">
        <v>352</v>
      </c>
    </row>
    <row r="5" spans="1:7" x14ac:dyDescent="0.25">
      <c r="A5" s="14" t="s">
        <v>357</v>
      </c>
      <c r="B5" s="4" t="s">
        <v>41</v>
      </c>
      <c r="C5" s="4" t="s">
        <v>33</v>
      </c>
      <c r="D5" s="4" t="s">
        <v>38</v>
      </c>
      <c r="E5" s="4" t="s">
        <v>42</v>
      </c>
      <c r="F5" s="4">
        <v>364.67</v>
      </c>
      <c r="G5" s="15">
        <v>452</v>
      </c>
    </row>
    <row r="6" spans="1:7" x14ac:dyDescent="0.25">
      <c r="A6" s="14" t="s">
        <v>43</v>
      </c>
      <c r="B6" s="4" t="s">
        <v>44</v>
      </c>
      <c r="C6" s="4" t="s">
        <v>33</v>
      </c>
      <c r="D6" s="4" t="s">
        <v>45</v>
      </c>
      <c r="E6" s="4" t="s">
        <v>46</v>
      </c>
      <c r="F6" s="4">
        <v>306.45999999999998</v>
      </c>
      <c r="G6" s="15">
        <v>487</v>
      </c>
    </row>
    <row r="7" spans="1:7" x14ac:dyDescent="0.25">
      <c r="A7" s="14" t="s">
        <v>47</v>
      </c>
      <c r="B7" s="4" t="s">
        <v>48</v>
      </c>
      <c r="C7" s="4" t="s">
        <v>33</v>
      </c>
      <c r="D7" s="4" t="s">
        <v>49</v>
      </c>
      <c r="E7" s="4" t="s">
        <v>50</v>
      </c>
      <c r="F7" s="4">
        <v>261</v>
      </c>
      <c r="G7" s="15">
        <v>59</v>
      </c>
    </row>
    <row r="8" spans="1:7" x14ac:dyDescent="0.25">
      <c r="A8" s="1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v>312.8</v>
      </c>
      <c r="G8" s="15">
        <v>350</v>
      </c>
    </row>
    <row r="9" spans="1:7" x14ac:dyDescent="0.25">
      <c r="A9" s="1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>
        <v>218.86</v>
      </c>
      <c r="G9" s="15">
        <v>170</v>
      </c>
    </row>
    <row r="10" spans="1:7" x14ac:dyDescent="0.25">
      <c r="A10" s="14" t="s">
        <v>61</v>
      </c>
      <c r="B10" s="4" t="s">
        <v>62</v>
      </c>
      <c r="C10" s="4" t="s">
        <v>28</v>
      </c>
      <c r="D10" s="4" t="s">
        <v>63</v>
      </c>
      <c r="E10" s="4" t="s">
        <v>64</v>
      </c>
      <c r="F10" s="4">
        <v>439.07</v>
      </c>
      <c r="G10" s="15">
        <v>142</v>
      </c>
    </row>
    <row r="11" spans="1:7" x14ac:dyDescent="0.25">
      <c r="A11" s="1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>
        <v>495.72</v>
      </c>
      <c r="G11" s="15">
        <v>323</v>
      </c>
    </row>
    <row r="12" spans="1:7" x14ac:dyDescent="0.25">
      <c r="A12" s="14" t="s">
        <v>70</v>
      </c>
      <c r="B12" s="4" t="s">
        <v>71</v>
      </c>
      <c r="C12" s="4" t="s">
        <v>58</v>
      </c>
      <c r="D12" s="4" t="s">
        <v>72</v>
      </c>
      <c r="E12" s="4" t="s">
        <v>73</v>
      </c>
      <c r="F12" s="4">
        <v>298.86</v>
      </c>
      <c r="G12" s="15">
        <v>308</v>
      </c>
    </row>
    <row r="13" spans="1:7" x14ac:dyDescent="0.25">
      <c r="A13" s="14" t="s">
        <v>74</v>
      </c>
      <c r="B13" s="4" t="s">
        <v>75</v>
      </c>
      <c r="C13" s="4" t="s">
        <v>28</v>
      </c>
      <c r="D13" s="4" t="s">
        <v>49</v>
      </c>
      <c r="E13" s="4" t="s">
        <v>76</v>
      </c>
      <c r="F13" s="4">
        <v>449.4</v>
      </c>
      <c r="G13" s="15"/>
    </row>
    <row r="14" spans="1:7" x14ac:dyDescent="0.25">
      <c r="A14" s="14" t="s">
        <v>77</v>
      </c>
      <c r="B14" s="4" t="s">
        <v>78</v>
      </c>
      <c r="C14" s="4" t="s">
        <v>53</v>
      </c>
      <c r="D14" s="4" t="s">
        <v>79</v>
      </c>
      <c r="E14" s="4" t="s">
        <v>80</v>
      </c>
      <c r="F14" s="4">
        <v>115.82</v>
      </c>
      <c r="G14" s="15">
        <v>460</v>
      </c>
    </row>
    <row r="15" spans="1:7" x14ac:dyDescent="0.25">
      <c r="A15" s="14" t="s">
        <v>81</v>
      </c>
      <c r="B15" s="4" t="s">
        <v>82</v>
      </c>
      <c r="C15" s="4" t="s">
        <v>28</v>
      </c>
      <c r="D15" s="4" t="s">
        <v>49</v>
      </c>
      <c r="E15" s="4" t="s">
        <v>83</v>
      </c>
      <c r="F15" s="4">
        <v>242.23</v>
      </c>
      <c r="G15" s="15">
        <v>453</v>
      </c>
    </row>
    <row r="16" spans="1:7" x14ac:dyDescent="0.25">
      <c r="A16" s="14" t="s">
        <v>84</v>
      </c>
      <c r="B16" s="4" t="s">
        <v>85</v>
      </c>
      <c r="C16" s="4" t="s">
        <v>58</v>
      </c>
      <c r="D16" s="4" t="s">
        <v>86</v>
      </c>
      <c r="E16" s="4" t="s">
        <v>87</v>
      </c>
      <c r="F16" s="4">
        <v>48.01</v>
      </c>
      <c r="G16" s="15">
        <v>439</v>
      </c>
    </row>
    <row r="17" spans="1:7" x14ac:dyDescent="0.25">
      <c r="A17" s="14" t="s">
        <v>88</v>
      </c>
      <c r="B17" s="4" t="s">
        <v>89</v>
      </c>
      <c r="C17" s="4" t="s">
        <v>28</v>
      </c>
      <c r="D17" s="4" t="s">
        <v>90</v>
      </c>
      <c r="E17" s="4" t="s">
        <v>91</v>
      </c>
      <c r="F17" s="4">
        <v>465.34</v>
      </c>
      <c r="G17" s="15">
        <v>301</v>
      </c>
    </row>
    <row r="18" spans="1:7" x14ac:dyDescent="0.25">
      <c r="A18" s="14" t="s">
        <v>358</v>
      </c>
      <c r="B18" s="4" t="s">
        <v>93</v>
      </c>
      <c r="C18" s="4" t="s">
        <v>53</v>
      </c>
      <c r="D18" s="4" t="s">
        <v>94</v>
      </c>
      <c r="E18" s="4" t="s">
        <v>95</v>
      </c>
      <c r="F18" s="4">
        <v>337.42</v>
      </c>
      <c r="G18" s="15">
        <v>256</v>
      </c>
    </row>
    <row r="19" spans="1:7" x14ac:dyDescent="0.25">
      <c r="A19" s="14" t="s">
        <v>96</v>
      </c>
      <c r="B19" s="4" t="s">
        <v>97</v>
      </c>
      <c r="C19" s="4" t="s">
        <v>67</v>
      </c>
      <c r="D19" s="4" t="s">
        <v>49</v>
      </c>
      <c r="E19" s="4" t="s">
        <v>98</v>
      </c>
      <c r="F19" s="4">
        <v>144.53</v>
      </c>
      <c r="G19" s="15">
        <v>367</v>
      </c>
    </row>
    <row r="20" spans="1:7" x14ac:dyDescent="0.25">
      <c r="A20" s="14" t="s">
        <v>99</v>
      </c>
      <c r="B20" s="4" t="s">
        <v>100</v>
      </c>
      <c r="C20" s="4" t="s">
        <v>33</v>
      </c>
      <c r="D20" s="4" t="s">
        <v>45</v>
      </c>
      <c r="E20" s="4" t="s">
        <v>101</v>
      </c>
      <c r="F20" s="4"/>
      <c r="G20" s="15">
        <v>343</v>
      </c>
    </row>
    <row r="21" spans="1:7" x14ac:dyDescent="0.25">
      <c r="A21" s="14" t="s">
        <v>102</v>
      </c>
      <c r="B21" s="4" t="s">
        <v>103</v>
      </c>
      <c r="C21" s="4" t="s">
        <v>67</v>
      </c>
      <c r="D21" s="4" t="s">
        <v>104</v>
      </c>
      <c r="E21" s="4" t="s">
        <v>105</v>
      </c>
      <c r="F21" s="4">
        <v>21.34</v>
      </c>
      <c r="G21" s="15">
        <v>65</v>
      </c>
    </row>
    <row r="22" spans="1:7" x14ac:dyDescent="0.25">
      <c r="A22" s="14" t="s">
        <v>106</v>
      </c>
      <c r="B22" s="4" t="s">
        <v>107</v>
      </c>
      <c r="C22" s="4" t="s">
        <v>67</v>
      </c>
      <c r="D22" s="4" t="s">
        <v>49</v>
      </c>
      <c r="E22" s="4" t="s">
        <v>108</v>
      </c>
      <c r="F22" s="4">
        <v>131.51</v>
      </c>
      <c r="G22" s="15"/>
    </row>
    <row r="23" spans="1:7" x14ac:dyDescent="0.25">
      <c r="A23" s="14" t="s">
        <v>109</v>
      </c>
      <c r="B23" s="4" t="s">
        <v>110</v>
      </c>
      <c r="C23" s="4" t="s">
        <v>58</v>
      </c>
      <c r="D23" s="4" t="s">
        <v>111</v>
      </c>
      <c r="E23" s="4" t="s">
        <v>112</v>
      </c>
      <c r="F23" s="4">
        <v>123.46</v>
      </c>
      <c r="G23" s="15">
        <v>76</v>
      </c>
    </row>
    <row r="24" spans="1:7" x14ac:dyDescent="0.25">
      <c r="A24" s="14" t="s">
        <v>113</v>
      </c>
      <c r="B24" s="4" t="s">
        <v>114</v>
      </c>
      <c r="C24" s="4" t="s">
        <v>67</v>
      </c>
      <c r="D24" s="4" t="s">
        <v>104</v>
      </c>
      <c r="E24" s="4" t="s">
        <v>115</v>
      </c>
      <c r="F24" s="4">
        <v>484.62</v>
      </c>
      <c r="G24" s="15">
        <v>432</v>
      </c>
    </row>
    <row r="25" spans="1:7" x14ac:dyDescent="0.25">
      <c r="A25" s="14" t="s">
        <v>116</v>
      </c>
      <c r="B25" s="4" t="s">
        <v>117</v>
      </c>
      <c r="C25" s="4" t="s">
        <v>33</v>
      </c>
      <c r="D25" s="4" t="s">
        <v>34</v>
      </c>
      <c r="E25" s="4" t="s">
        <v>118</v>
      </c>
      <c r="F25" s="4"/>
      <c r="G25" s="15">
        <v>360</v>
      </c>
    </row>
    <row r="26" spans="1:7" x14ac:dyDescent="0.25">
      <c r="A26" s="14" t="s">
        <v>119</v>
      </c>
      <c r="B26" s="4" t="s">
        <v>120</v>
      </c>
      <c r="C26" s="4" t="s">
        <v>67</v>
      </c>
      <c r="D26" s="4" t="s">
        <v>121</v>
      </c>
      <c r="E26" s="4" t="s">
        <v>122</v>
      </c>
      <c r="F26" s="4">
        <v>166.06</v>
      </c>
      <c r="G26" s="15">
        <v>340</v>
      </c>
    </row>
    <row r="27" spans="1:7" x14ac:dyDescent="0.25">
      <c r="A27" s="14" t="s">
        <v>123</v>
      </c>
      <c r="B27" s="4" t="s">
        <v>124</v>
      </c>
      <c r="C27" s="4" t="s">
        <v>33</v>
      </c>
      <c r="D27" s="4" t="s">
        <v>49</v>
      </c>
      <c r="E27" s="4" t="s">
        <v>125</v>
      </c>
      <c r="F27" s="4">
        <v>174.02</v>
      </c>
      <c r="G27" s="15">
        <v>268</v>
      </c>
    </row>
    <row r="28" spans="1:7" x14ac:dyDescent="0.25">
      <c r="A28" s="14" t="s">
        <v>126</v>
      </c>
      <c r="B28" s="4" t="s">
        <v>127</v>
      </c>
      <c r="C28" s="4" t="s">
        <v>28</v>
      </c>
      <c r="D28" s="4" t="s">
        <v>63</v>
      </c>
      <c r="E28" s="4" t="s">
        <v>128</v>
      </c>
      <c r="F28" s="4">
        <v>322.41000000000003</v>
      </c>
      <c r="G28" s="15">
        <v>213</v>
      </c>
    </row>
    <row r="29" spans="1:7" x14ac:dyDescent="0.25">
      <c r="A29" s="14" t="s">
        <v>129</v>
      </c>
      <c r="B29" s="4" t="s">
        <v>130</v>
      </c>
      <c r="C29" s="4" t="s">
        <v>58</v>
      </c>
      <c r="D29" s="4" t="s">
        <v>86</v>
      </c>
      <c r="E29" s="4" t="s">
        <v>131</v>
      </c>
      <c r="F29" s="4"/>
      <c r="G29" s="15">
        <v>378</v>
      </c>
    </row>
    <row r="30" spans="1:7" x14ac:dyDescent="0.25">
      <c r="A30" s="14" t="s">
        <v>132</v>
      </c>
      <c r="B30" s="4" t="s">
        <v>133</v>
      </c>
      <c r="C30" s="4" t="s">
        <v>67</v>
      </c>
      <c r="D30" s="4" t="s">
        <v>49</v>
      </c>
      <c r="E30" s="4" t="s">
        <v>134</v>
      </c>
      <c r="F30" s="4">
        <v>38.76</v>
      </c>
      <c r="G30" s="15">
        <v>137</v>
      </c>
    </row>
    <row r="31" spans="1:7" x14ac:dyDescent="0.25">
      <c r="A31" s="14" t="s">
        <v>135</v>
      </c>
      <c r="B31" s="4" t="s">
        <v>136</v>
      </c>
      <c r="C31" s="4" t="s">
        <v>58</v>
      </c>
      <c r="D31" s="4" t="s">
        <v>86</v>
      </c>
      <c r="E31" s="4" t="s">
        <v>137</v>
      </c>
      <c r="F31" s="4">
        <v>218.48</v>
      </c>
      <c r="G31" s="15">
        <v>276</v>
      </c>
    </row>
    <row r="32" spans="1:7" x14ac:dyDescent="0.25">
      <c r="A32" s="14" t="s">
        <v>138</v>
      </c>
      <c r="B32" s="4" t="s">
        <v>139</v>
      </c>
      <c r="C32" s="4" t="s">
        <v>58</v>
      </c>
      <c r="D32" s="4" t="s">
        <v>72</v>
      </c>
      <c r="E32" s="4" t="s">
        <v>140</v>
      </c>
      <c r="F32" s="4">
        <v>19.52</v>
      </c>
      <c r="G32" s="15">
        <v>57</v>
      </c>
    </row>
    <row r="33" spans="1:7" x14ac:dyDescent="0.25">
      <c r="A33" s="14" t="s">
        <v>141</v>
      </c>
      <c r="B33" s="4" t="s">
        <v>142</v>
      </c>
      <c r="C33" s="4" t="s">
        <v>67</v>
      </c>
      <c r="D33" s="4" t="s">
        <v>143</v>
      </c>
      <c r="E33" s="4" t="s">
        <v>144</v>
      </c>
      <c r="F33" s="4">
        <v>204.39</v>
      </c>
      <c r="G33" s="15">
        <v>281</v>
      </c>
    </row>
    <row r="34" spans="1:7" x14ac:dyDescent="0.25">
      <c r="A34" s="14" t="s">
        <v>145</v>
      </c>
      <c r="B34" s="4" t="s">
        <v>146</v>
      </c>
      <c r="C34" s="4" t="s">
        <v>53</v>
      </c>
      <c r="D34" s="4" t="s">
        <v>54</v>
      </c>
      <c r="E34" s="4" t="s">
        <v>147</v>
      </c>
      <c r="F34" s="4">
        <v>283.83</v>
      </c>
      <c r="G34" s="15">
        <v>244</v>
      </c>
    </row>
    <row r="35" spans="1:7" x14ac:dyDescent="0.25">
      <c r="A35" s="14" t="s">
        <v>148</v>
      </c>
      <c r="B35" s="4" t="s">
        <v>149</v>
      </c>
      <c r="C35" s="4" t="s">
        <v>58</v>
      </c>
      <c r="D35" s="4" t="s">
        <v>86</v>
      </c>
      <c r="E35" s="4" t="s">
        <v>150</v>
      </c>
      <c r="F35" s="4">
        <v>179.77</v>
      </c>
      <c r="G35" s="15">
        <v>305</v>
      </c>
    </row>
    <row r="36" spans="1:7" x14ac:dyDescent="0.25">
      <c r="A36" s="14" t="s">
        <v>151</v>
      </c>
      <c r="B36" s="4" t="s">
        <v>152</v>
      </c>
      <c r="C36" s="4" t="s">
        <v>28</v>
      </c>
      <c r="D36" s="4" t="s">
        <v>29</v>
      </c>
      <c r="E36" s="4" t="s">
        <v>153</v>
      </c>
      <c r="F36" s="4">
        <v>419.28</v>
      </c>
      <c r="G36" s="15">
        <v>86</v>
      </c>
    </row>
    <row r="37" spans="1:7" x14ac:dyDescent="0.25">
      <c r="A37" s="14" t="s">
        <v>154</v>
      </c>
      <c r="B37" s="4" t="s">
        <v>155</v>
      </c>
      <c r="C37" s="4" t="s">
        <v>58</v>
      </c>
      <c r="D37" s="4" t="s">
        <v>59</v>
      </c>
      <c r="E37" s="4" t="s">
        <v>156</v>
      </c>
      <c r="F37" s="4">
        <v>382.22</v>
      </c>
      <c r="G37" s="15">
        <v>329</v>
      </c>
    </row>
    <row r="38" spans="1:7" x14ac:dyDescent="0.25">
      <c r="A38" s="14" t="s">
        <v>157</v>
      </c>
      <c r="B38" s="4" t="s">
        <v>158</v>
      </c>
      <c r="C38" s="4" t="s">
        <v>33</v>
      </c>
      <c r="D38" s="4" t="s">
        <v>34</v>
      </c>
      <c r="E38" s="4" t="s">
        <v>159</v>
      </c>
      <c r="F38" s="4">
        <v>223.43</v>
      </c>
      <c r="G38" s="15">
        <v>154</v>
      </c>
    </row>
    <row r="39" spans="1:7" x14ac:dyDescent="0.25">
      <c r="A39" s="14" t="s">
        <v>160</v>
      </c>
      <c r="B39" s="4" t="s">
        <v>161</v>
      </c>
      <c r="C39" s="4" t="s">
        <v>33</v>
      </c>
      <c r="D39" s="4" t="s">
        <v>162</v>
      </c>
      <c r="E39" s="4" t="s">
        <v>163</v>
      </c>
      <c r="F39" s="4">
        <v>353.47</v>
      </c>
      <c r="G39" s="15">
        <v>214</v>
      </c>
    </row>
    <row r="40" spans="1:7" x14ac:dyDescent="0.25">
      <c r="A40" s="14" t="s">
        <v>164</v>
      </c>
      <c r="B40" s="4" t="s">
        <v>165</v>
      </c>
      <c r="C40" s="4" t="s">
        <v>67</v>
      </c>
      <c r="D40" s="4" t="s">
        <v>121</v>
      </c>
      <c r="E40" s="4" t="s">
        <v>166</v>
      </c>
      <c r="F40" s="4">
        <v>135.61000000000001</v>
      </c>
      <c r="G40" s="15">
        <v>394</v>
      </c>
    </row>
    <row r="41" spans="1:7" x14ac:dyDescent="0.25">
      <c r="A41" s="14" t="s">
        <v>167</v>
      </c>
      <c r="B41" s="4" t="s">
        <v>168</v>
      </c>
      <c r="C41" s="4" t="s">
        <v>28</v>
      </c>
      <c r="D41" s="4" t="s">
        <v>169</v>
      </c>
      <c r="E41" s="4" t="s">
        <v>170</v>
      </c>
      <c r="F41" s="4">
        <v>326.06</v>
      </c>
      <c r="G41" s="15">
        <v>301</v>
      </c>
    </row>
    <row r="42" spans="1:7" x14ac:dyDescent="0.25">
      <c r="A42" s="14" t="s">
        <v>171</v>
      </c>
      <c r="B42" s="4" t="s">
        <v>172</v>
      </c>
      <c r="C42" s="4" t="s">
        <v>28</v>
      </c>
      <c r="D42" s="4" t="s">
        <v>63</v>
      </c>
      <c r="E42" s="4" t="s">
        <v>173</v>
      </c>
      <c r="F42" s="4">
        <v>38.520000000000003</v>
      </c>
      <c r="G42" s="15">
        <v>378</v>
      </c>
    </row>
    <row r="43" spans="1:7" x14ac:dyDescent="0.25">
      <c r="A43" s="14" t="s">
        <v>174</v>
      </c>
      <c r="B43" s="4" t="s">
        <v>175</v>
      </c>
      <c r="C43" s="4" t="s">
        <v>67</v>
      </c>
      <c r="D43" s="4" t="s">
        <v>68</v>
      </c>
      <c r="E43" s="4" t="s">
        <v>176</v>
      </c>
      <c r="F43" s="4">
        <v>313.26</v>
      </c>
      <c r="G43" s="15">
        <v>369</v>
      </c>
    </row>
    <row r="44" spans="1:7" x14ac:dyDescent="0.25">
      <c r="A44" s="14" t="s">
        <v>177</v>
      </c>
      <c r="B44" s="4" t="s">
        <v>178</v>
      </c>
      <c r="C44" s="4" t="s">
        <v>28</v>
      </c>
      <c r="D44" s="4" t="s">
        <v>49</v>
      </c>
      <c r="E44" s="4" t="s">
        <v>179</v>
      </c>
      <c r="F44" s="4">
        <v>450.71</v>
      </c>
      <c r="G44" s="15">
        <v>389</v>
      </c>
    </row>
    <row r="45" spans="1:7" x14ac:dyDescent="0.25">
      <c r="A45" s="14" t="s">
        <v>180</v>
      </c>
      <c r="B45" s="4" t="s">
        <v>181</v>
      </c>
      <c r="C45" s="4" t="s">
        <v>28</v>
      </c>
      <c r="D45" s="4" t="s">
        <v>29</v>
      </c>
      <c r="E45" s="4" t="s">
        <v>182</v>
      </c>
      <c r="F45" s="4">
        <v>253.33</v>
      </c>
      <c r="G45" s="15">
        <v>266</v>
      </c>
    </row>
    <row r="46" spans="1:7" x14ac:dyDescent="0.25">
      <c r="A46" s="14" t="s">
        <v>183</v>
      </c>
      <c r="B46" s="4" t="s">
        <v>184</v>
      </c>
      <c r="C46" s="4" t="s">
        <v>67</v>
      </c>
      <c r="D46" s="4" t="s">
        <v>68</v>
      </c>
      <c r="E46" s="4" t="s">
        <v>185</v>
      </c>
      <c r="F46" s="4">
        <v>167.12</v>
      </c>
      <c r="G46" s="15">
        <v>316</v>
      </c>
    </row>
    <row r="47" spans="1:7" x14ac:dyDescent="0.25">
      <c r="A47" s="14" t="s">
        <v>186</v>
      </c>
      <c r="B47" s="4" t="s">
        <v>187</v>
      </c>
      <c r="C47" s="4" t="s">
        <v>67</v>
      </c>
      <c r="D47" s="4" t="s">
        <v>143</v>
      </c>
      <c r="E47" s="4" t="s">
        <v>188</v>
      </c>
      <c r="F47" s="4">
        <v>318.91000000000003</v>
      </c>
      <c r="G47" s="15">
        <v>114</v>
      </c>
    </row>
    <row r="48" spans="1:7" x14ac:dyDescent="0.25">
      <c r="A48" s="14" t="s">
        <v>189</v>
      </c>
      <c r="B48" s="4" t="s">
        <v>190</v>
      </c>
      <c r="C48" s="4" t="s">
        <v>33</v>
      </c>
      <c r="D48" s="4" t="s">
        <v>38</v>
      </c>
      <c r="E48" s="4" t="s">
        <v>191</v>
      </c>
      <c r="F48" s="4">
        <v>167.34</v>
      </c>
      <c r="G48" s="15">
        <v>296</v>
      </c>
    </row>
    <row r="49" spans="1:7" x14ac:dyDescent="0.25">
      <c r="A49" s="14" t="s">
        <v>192</v>
      </c>
      <c r="B49" s="4" t="s">
        <v>193</v>
      </c>
      <c r="C49" s="4" t="s">
        <v>53</v>
      </c>
      <c r="D49" s="4" t="s">
        <v>194</v>
      </c>
      <c r="E49" s="4" t="s">
        <v>195</v>
      </c>
      <c r="F49" s="4"/>
      <c r="G49" s="15">
        <v>431</v>
      </c>
    </row>
    <row r="50" spans="1:7" x14ac:dyDescent="0.25">
      <c r="A50" s="14" t="s">
        <v>196</v>
      </c>
      <c r="B50" s="4" t="s">
        <v>197</v>
      </c>
      <c r="C50" s="4" t="s">
        <v>28</v>
      </c>
      <c r="D50" s="4" t="s">
        <v>49</v>
      </c>
      <c r="E50" s="4" t="s">
        <v>198</v>
      </c>
      <c r="F50" s="4">
        <v>177.98</v>
      </c>
      <c r="G50" s="15">
        <v>103</v>
      </c>
    </row>
    <row r="51" spans="1:7" x14ac:dyDescent="0.25">
      <c r="A51" s="14" t="s">
        <v>199</v>
      </c>
      <c r="B51" s="4" t="s">
        <v>200</v>
      </c>
      <c r="C51" s="4" t="s">
        <v>53</v>
      </c>
      <c r="D51" s="4" t="s">
        <v>201</v>
      </c>
      <c r="E51" s="4" t="s">
        <v>202</v>
      </c>
      <c r="F51" s="4">
        <v>43.29</v>
      </c>
      <c r="G51" s="15">
        <v>267</v>
      </c>
    </row>
    <row r="52" spans="1:7" x14ac:dyDescent="0.25">
      <c r="A52" s="14" t="s">
        <v>203</v>
      </c>
      <c r="B52" s="4" t="s">
        <v>204</v>
      </c>
      <c r="C52" s="4" t="s">
        <v>67</v>
      </c>
      <c r="D52" s="4" t="s">
        <v>68</v>
      </c>
      <c r="E52" s="4" t="s">
        <v>205</v>
      </c>
      <c r="F52" s="4">
        <v>190.29</v>
      </c>
      <c r="G52" s="15">
        <v>260</v>
      </c>
    </row>
    <row r="53" spans="1:7" x14ac:dyDescent="0.25">
      <c r="A53" s="14" t="s">
        <v>206</v>
      </c>
      <c r="B53" s="4" t="s">
        <v>207</v>
      </c>
      <c r="C53" s="4" t="s">
        <v>28</v>
      </c>
      <c r="D53" s="4" t="s">
        <v>49</v>
      </c>
      <c r="E53" s="4" t="s">
        <v>208</v>
      </c>
      <c r="F53" s="4">
        <v>88.49</v>
      </c>
      <c r="G53" s="15">
        <v>246</v>
      </c>
    </row>
    <row r="54" spans="1:7" x14ac:dyDescent="0.25">
      <c r="A54" s="14" t="s">
        <v>209</v>
      </c>
      <c r="B54" s="4" t="s">
        <v>210</v>
      </c>
      <c r="C54" s="4" t="s">
        <v>67</v>
      </c>
      <c r="D54" s="4" t="s">
        <v>143</v>
      </c>
      <c r="E54" s="4" t="s">
        <v>211</v>
      </c>
      <c r="F54" s="4">
        <v>212.26</v>
      </c>
      <c r="G54" s="15">
        <v>82</v>
      </c>
    </row>
    <row r="55" spans="1:7" x14ac:dyDescent="0.25">
      <c r="A55" s="14" t="s">
        <v>212</v>
      </c>
      <c r="B55" s="4" t="s">
        <v>213</v>
      </c>
      <c r="C55" s="4" t="s">
        <v>33</v>
      </c>
      <c r="D55" s="4" t="s">
        <v>45</v>
      </c>
      <c r="E55" s="4" t="s">
        <v>214</v>
      </c>
      <c r="F55" s="4">
        <v>386.56</v>
      </c>
      <c r="G55" s="15">
        <v>125</v>
      </c>
    </row>
    <row r="56" spans="1:7" x14ac:dyDescent="0.25">
      <c r="A56" s="14" t="s">
        <v>215</v>
      </c>
      <c r="B56" s="4" t="s">
        <v>216</v>
      </c>
      <c r="C56" s="4" t="s">
        <v>67</v>
      </c>
      <c r="D56" s="4" t="s">
        <v>49</v>
      </c>
      <c r="E56" s="4" t="s">
        <v>217</v>
      </c>
      <c r="F56" s="4">
        <v>434.84</v>
      </c>
      <c r="G56" s="15">
        <v>185</v>
      </c>
    </row>
    <row r="57" spans="1:7" x14ac:dyDescent="0.25">
      <c r="A57" s="14" t="s">
        <v>218</v>
      </c>
      <c r="B57" s="4" t="s">
        <v>219</v>
      </c>
      <c r="C57" s="4" t="s">
        <v>58</v>
      </c>
      <c r="D57" s="4" t="s">
        <v>86</v>
      </c>
      <c r="E57" s="4" t="s">
        <v>220</v>
      </c>
      <c r="F57" s="4">
        <v>81.75</v>
      </c>
      <c r="G57" s="15"/>
    </row>
    <row r="58" spans="1:7" x14ac:dyDescent="0.25">
      <c r="A58" s="14" t="s">
        <v>221</v>
      </c>
      <c r="B58" s="4" t="s">
        <v>222</v>
      </c>
      <c r="C58" s="4" t="s">
        <v>58</v>
      </c>
      <c r="D58" s="4" t="s">
        <v>86</v>
      </c>
      <c r="E58" s="4" t="s">
        <v>223</v>
      </c>
      <c r="F58" s="4">
        <v>461.47</v>
      </c>
      <c r="G58" s="15">
        <v>190</v>
      </c>
    </row>
    <row r="59" spans="1:7" x14ac:dyDescent="0.25">
      <c r="A59" s="14" t="s">
        <v>224</v>
      </c>
      <c r="B59" s="4" t="s">
        <v>225</v>
      </c>
      <c r="C59" s="4" t="s">
        <v>67</v>
      </c>
      <c r="D59" s="4" t="s">
        <v>68</v>
      </c>
      <c r="E59" s="4" t="s">
        <v>226</v>
      </c>
      <c r="F59" s="4">
        <v>30.62</v>
      </c>
      <c r="G59" s="15">
        <v>138</v>
      </c>
    </row>
    <row r="60" spans="1:7" x14ac:dyDescent="0.25">
      <c r="A60" s="14" t="s">
        <v>227</v>
      </c>
      <c r="B60" s="4" t="s">
        <v>228</v>
      </c>
      <c r="C60" s="4" t="s">
        <v>33</v>
      </c>
      <c r="D60" s="4" t="s">
        <v>49</v>
      </c>
      <c r="E60" s="4" t="s">
        <v>229</v>
      </c>
      <c r="F60" s="4">
        <v>113.83</v>
      </c>
      <c r="G60" s="15">
        <v>485</v>
      </c>
    </row>
    <row r="61" spans="1:7" x14ac:dyDescent="0.25">
      <c r="A61" s="14" t="s">
        <v>230</v>
      </c>
      <c r="B61" s="4" t="s">
        <v>231</v>
      </c>
      <c r="C61" s="4" t="s">
        <v>53</v>
      </c>
      <c r="D61" s="4" t="s">
        <v>79</v>
      </c>
      <c r="E61" s="4" t="s">
        <v>232</v>
      </c>
      <c r="F61" s="4">
        <v>17.309999999999999</v>
      </c>
      <c r="G61" s="15">
        <v>399</v>
      </c>
    </row>
    <row r="62" spans="1:7" x14ac:dyDescent="0.25">
      <c r="A62" s="14" t="s">
        <v>233</v>
      </c>
      <c r="B62" s="4" t="s">
        <v>234</v>
      </c>
      <c r="C62" s="4" t="s">
        <v>53</v>
      </c>
      <c r="D62" s="4" t="s">
        <v>201</v>
      </c>
      <c r="E62" s="4" t="s">
        <v>235</v>
      </c>
      <c r="F62" s="4">
        <v>482.75</v>
      </c>
      <c r="G62" s="15">
        <v>444</v>
      </c>
    </row>
    <row r="63" spans="1:7" x14ac:dyDescent="0.25">
      <c r="A63" s="14" t="s">
        <v>236</v>
      </c>
      <c r="B63" s="4" t="s">
        <v>237</v>
      </c>
      <c r="C63" s="4" t="s">
        <v>67</v>
      </c>
      <c r="D63" s="4" t="s">
        <v>104</v>
      </c>
      <c r="E63" s="4" t="s">
        <v>238</v>
      </c>
      <c r="F63" s="4">
        <v>103.45</v>
      </c>
      <c r="G63" s="15">
        <v>465</v>
      </c>
    </row>
    <row r="64" spans="1:7" x14ac:dyDescent="0.25">
      <c r="A64" s="14" t="s">
        <v>239</v>
      </c>
      <c r="B64" s="4" t="s">
        <v>240</v>
      </c>
      <c r="C64" s="4" t="s">
        <v>28</v>
      </c>
      <c r="D64" s="4" t="s">
        <v>29</v>
      </c>
      <c r="E64" s="4" t="s">
        <v>241</v>
      </c>
      <c r="F64" s="4">
        <v>86.42</v>
      </c>
      <c r="G64" s="15">
        <v>222</v>
      </c>
    </row>
    <row r="65" spans="1:7" x14ac:dyDescent="0.25">
      <c r="A65" s="14" t="s">
        <v>242</v>
      </c>
      <c r="B65" s="4" t="s">
        <v>243</v>
      </c>
      <c r="C65" s="4" t="s">
        <v>53</v>
      </c>
      <c r="D65" s="4" t="s">
        <v>54</v>
      </c>
      <c r="E65" s="4" t="s">
        <v>244</v>
      </c>
      <c r="F65" s="4">
        <v>266.86</v>
      </c>
      <c r="G65" s="15">
        <v>458</v>
      </c>
    </row>
    <row r="66" spans="1:7" x14ac:dyDescent="0.25">
      <c r="A66" s="14" t="s">
        <v>245</v>
      </c>
      <c r="B66" s="4" t="s">
        <v>246</v>
      </c>
      <c r="C66" s="4" t="s">
        <v>53</v>
      </c>
      <c r="D66" s="4" t="s">
        <v>194</v>
      </c>
      <c r="E66" s="4" t="s">
        <v>247</v>
      </c>
      <c r="F66" s="4">
        <v>299.11</v>
      </c>
      <c r="G66" s="15">
        <v>118</v>
      </c>
    </row>
    <row r="67" spans="1:7" x14ac:dyDescent="0.25">
      <c r="A67" s="14" t="s">
        <v>248</v>
      </c>
      <c r="B67" s="4" t="s">
        <v>249</v>
      </c>
      <c r="C67" s="4" t="s">
        <v>67</v>
      </c>
      <c r="D67" s="4" t="s">
        <v>68</v>
      </c>
      <c r="E67" s="4" t="s">
        <v>250</v>
      </c>
      <c r="F67" s="4">
        <v>240.63</v>
      </c>
      <c r="G67" s="15">
        <v>423</v>
      </c>
    </row>
    <row r="68" spans="1:7" x14ac:dyDescent="0.25">
      <c r="A68" s="14" t="s">
        <v>251</v>
      </c>
      <c r="B68" s="4" t="s">
        <v>252</v>
      </c>
      <c r="C68" s="4" t="s">
        <v>53</v>
      </c>
      <c r="D68" s="4" t="s">
        <v>79</v>
      </c>
      <c r="E68" s="4" t="s">
        <v>253</v>
      </c>
      <c r="F68" s="4">
        <v>340.39</v>
      </c>
      <c r="G68" s="15">
        <v>177</v>
      </c>
    </row>
    <row r="69" spans="1:7" x14ac:dyDescent="0.25">
      <c r="A69" s="14" t="s">
        <v>254</v>
      </c>
      <c r="B69" s="4" t="s">
        <v>255</v>
      </c>
      <c r="C69" s="4" t="s">
        <v>28</v>
      </c>
      <c r="D69" s="4" t="s">
        <v>49</v>
      </c>
      <c r="E69" s="4" t="s">
        <v>256</v>
      </c>
      <c r="F69" s="4">
        <v>349.17</v>
      </c>
      <c r="G69" s="15">
        <v>476</v>
      </c>
    </row>
    <row r="70" spans="1:7" x14ac:dyDescent="0.25">
      <c r="A70" s="14" t="s">
        <v>257</v>
      </c>
      <c r="B70" s="4" t="s">
        <v>258</v>
      </c>
      <c r="C70" s="4" t="s">
        <v>58</v>
      </c>
      <c r="D70" s="4" t="s">
        <v>259</v>
      </c>
      <c r="E70" s="4" t="s">
        <v>260</v>
      </c>
      <c r="F70" s="4">
        <v>243.7</v>
      </c>
      <c r="G70" s="15">
        <v>130</v>
      </c>
    </row>
    <row r="71" spans="1:7" x14ac:dyDescent="0.25">
      <c r="A71" s="14" t="s">
        <v>261</v>
      </c>
      <c r="B71" s="4" t="s">
        <v>262</v>
      </c>
      <c r="C71" s="4" t="s">
        <v>33</v>
      </c>
      <c r="D71" s="4" t="s">
        <v>45</v>
      </c>
      <c r="E71" s="4" t="s">
        <v>263</v>
      </c>
      <c r="F71" s="4">
        <v>218.22</v>
      </c>
      <c r="G71" s="15">
        <v>224</v>
      </c>
    </row>
    <row r="72" spans="1:7" x14ac:dyDescent="0.25">
      <c r="A72" s="14" t="s">
        <v>264</v>
      </c>
      <c r="B72" s="4" t="s">
        <v>265</v>
      </c>
      <c r="C72" s="4" t="s">
        <v>58</v>
      </c>
      <c r="D72" s="4" t="s">
        <v>111</v>
      </c>
      <c r="E72" s="4" t="s">
        <v>266</v>
      </c>
      <c r="F72" s="4">
        <v>138.05000000000001</v>
      </c>
      <c r="G72" s="15">
        <v>89</v>
      </c>
    </row>
    <row r="73" spans="1:7" x14ac:dyDescent="0.25">
      <c r="A73" s="14" t="s">
        <v>267</v>
      </c>
      <c r="B73" s="4" t="s">
        <v>268</v>
      </c>
      <c r="C73" s="4" t="s">
        <v>53</v>
      </c>
      <c r="D73" s="4" t="s">
        <v>79</v>
      </c>
      <c r="E73" s="4" t="s">
        <v>269</v>
      </c>
      <c r="F73" s="4">
        <v>214.32</v>
      </c>
      <c r="G73" s="15">
        <v>383</v>
      </c>
    </row>
    <row r="74" spans="1:7" x14ac:dyDescent="0.25">
      <c r="A74" s="14" t="s">
        <v>270</v>
      </c>
      <c r="B74" s="4" t="s">
        <v>271</v>
      </c>
      <c r="C74" s="4" t="s">
        <v>67</v>
      </c>
      <c r="D74" s="4" t="s">
        <v>68</v>
      </c>
      <c r="E74" s="4" t="s">
        <v>272</v>
      </c>
      <c r="F74" s="4">
        <v>477.61</v>
      </c>
      <c r="G74" s="15">
        <v>300</v>
      </c>
    </row>
    <row r="75" spans="1:7" x14ac:dyDescent="0.25">
      <c r="A75" s="14" t="s">
        <v>273</v>
      </c>
      <c r="B75" s="4" t="s">
        <v>274</v>
      </c>
      <c r="C75" s="4" t="s">
        <v>67</v>
      </c>
      <c r="D75" s="4" t="s">
        <v>143</v>
      </c>
      <c r="E75" s="4" t="s">
        <v>275</v>
      </c>
      <c r="F75" s="4">
        <v>107.06</v>
      </c>
      <c r="G75" s="15">
        <v>359</v>
      </c>
    </row>
    <row r="76" spans="1:7" x14ac:dyDescent="0.25">
      <c r="A76" s="14" t="s">
        <v>276</v>
      </c>
      <c r="B76" s="4" t="s">
        <v>277</v>
      </c>
      <c r="C76" s="4" t="s">
        <v>28</v>
      </c>
      <c r="D76" s="4" t="s">
        <v>63</v>
      </c>
      <c r="E76" s="4" t="s">
        <v>278</v>
      </c>
      <c r="F76" s="4">
        <v>403.71</v>
      </c>
      <c r="G76" s="15">
        <v>159</v>
      </c>
    </row>
    <row r="77" spans="1:7" x14ac:dyDescent="0.25">
      <c r="A77" s="14" t="s">
        <v>279</v>
      </c>
      <c r="B77" s="4" t="s">
        <v>280</v>
      </c>
      <c r="C77" s="4" t="s">
        <v>33</v>
      </c>
      <c r="D77" s="4" t="s">
        <v>162</v>
      </c>
      <c r="E77" s="4" t="s">
        <v>281</v>
      </c>
      <c r="F77" s="4">
        <v>158.13999999999999</v>
      </c>
      <c r="G77" s="15">
        <v>82</v>
      </c>
    </row>
    <row r="78" spans="1:7" x14ac:dyDescent="0.25">
      <c r="A78" s="14" t="s">
        <v>282</v>
      </c>
      <c r="B78" s="4" t="s">
        <v>283</v>
      </c>
      <c r="C78" s="4" t="s">
        <v>28</v>
      </c>
      <c r="D78" s="4" t="s">
        <v>29</v>
      </c>
      <c r="E78" s="4" t="s">
        <v>284</v>
      </c>
      <c r="F78" s="4">
        <v>392.89</v>
      </c>
      <c r="G78" s="15">
        <v>320</v>
      </c>
    </row>
    <row r="79" spans="1:7" x14ac:dyDescent="0.25">
      <c r="A79" s="14" t="s">
        <v>285</v>
      </c>
      <c r="B79" s="4" t="s">
        <v>286</v>
      </c>
      <c r="C79" s="4" t="s">
        <v>28</v>
      </c>
      <c r="D79" s="4" t="s">
        <v>90</v>
      </c>
      <c r="E79" s="4" t="s">
        <v>287</v>
      </c>
      <c r="F79" s="4">
        <v>480.9</v>
      </c>
      <c r="G79" s="15">
        <v>104</v>
      </c>
    </row>
    <row r="80" spans="1:7" x14ac:dyDescent="0.25">
      <c r="A80" s="14" t="s">
        <v>288</v>
      </c>
      <c r="B80" s="4" t="s">
        <v>289</v>
      </c>
      <c r="C80" s="4" t="s">
        <v>58</v>
      </c>
      <c r="D80" s="4" t="s">
        <v>86</v>
      </c>
      <c r="E80" s="4" t="s">
        <v>290</v>
      </c>
      <c r="F80" s="4">
        <v>325.26</v>
      </c>
      <c r="G80" s="15">
        <v>400</v>
      </c>
    </row>
    <row r="81" spans="1:7" x14ac:dyDescent="0.25">
      <c r="A81" s="14" t="s">
        <v>291</v>
      </c>
      <c r="B81" s="4" t="s">
        <v>292</v>
      </c>
      <c r="C81" s="4" t="s">
        <v>58</v>
      </c>
      <c r="D81" s="4" t="s">
        <v>59</v>
      </c>
      <c r="E81" s="4" t="s">
        <v>293</v>
      </c>
      <c r="F81" s="4">
        <v>228.53</v>
      </c>
      <c r="G81" s="15">
        <v>469</v>
      </c>
    </row>
    <row r="82" spans="1:7" x14ac:dyDescent="0.25">
      <c r="A82" s="14" t="s">
        <v>294</v>
      </c>
      <c r="B82" s="4" t="s">
        <v>295</v>
      </c>
      <c r="C82" s="4" t="s">
        <v>58</v>
      </c>
      <c r="D82" s="4" t="s">
        <v>72</v>
      </c>
      <c r="E82" s="4" t="s">
        <v>296</v>
      </c>
      <c r="F82" s="4">
        <v>143.43</v>
      </c>
      <c r="G82" s="15">
        <v>58</v>
      </c>
    </row>
    <row r="83" spans="1:7" x14ac:dyDescent="0.25">
      <c r="A83" s="14" t="s">
        <v>297</v>
      </c>
      <c r="B83" s="4" t="s">
        <v>298</v>
      </c>
      <c r="C83" s="4" t="s">
        <v>67</v>
      </c>
      <c r="D83" s="4" t="s">
        <v>104</v>
      </c>
      <c r="E83" s="4" t="s">
        <v>299</v>
      </c>
      <c r="F83" s="4">
        <v>285.54000000000002</v>
      </c>
      <c r="G83" s="15">
        <v>358</v>
      </c>
    </row>
    <row r="84" spans="1:7" x14ac:dyDescent="0.25">
      <c r="A84" s="14" t="s">
        <v>300</v>
      </c>
      <c r="B84" s="4" t="s">
        <v>301</v>
      </c>
      <c r="C84" s="4" t="s">
        <v>67</v>
      </c>
      <c r="D84" s="4" t="s">
        <v>68</v>
      </c>
      <c r="E84" s="4" t="s">
        <v>302</v>
      </c>
      <c r="F84" s="4">
        <v>152.91999999999999</v>
      </c>
      <c r="G84" s="15">
        <v>281</v>
      </c>
    </row>
    <row r="85" spans="1:7" x14ac:dyDescent="0.25">
      <c r="A85" s="14" t="s">
        <v>303</v>
      </c>
      <c r="B85" s="4" t="s">
        <v>304</v>
      </c>
      <c r="C85" s="4" t="s">
        <v>53</v>
      </c>
      <c r="D85" s="4" t="s">
        <v>54</v>
      </c>
      <c r="E85" s="4" t="s">
        <v>305</v>
      </c>
      <c r="F85" s="4"/>
      <c r="G85" s="15">
        <v>159</v>
      </c>
    </row>
    <row r="86" spans="1:7" x14ac:dyDescent="0.25">
      <c r="A86" s="14" t="s">
        <v>306</v>
      </c>
      <c r="B86" s="4" t="s">
        <v>307</v>
      </c>
      <c r="C86" s="4" t="s">
        <v>58</v>
      </c>
      <c r="D86" s="4" t="s">
        <v>259</v>
      </c>
      <c r="E86" s="4" t="s">
        <v>308</v>
      </c>
      <c r="F86" s="4">
        <v>388.46</v>
      </c>
      <c r="G86" s="15">
        <v>208</v>
      </c>
    </row>
    <row r="87" spans="1:7" x14ac:dyDescent="0.25">
      <c r="A87" s="14" t="s">
        <v>309</v>
      </c>
      <c r="B87" s="4" t="s">
        <v>310</v>
      </c>
      <c r="C87" s="4" t="s">
        <v>33</v>
      </c>
      <c r="D87" s="4" t="s">
        <v>49</v>
      </c>
      <c r="E87" s="4" t="s">
        <v>311</v>
      </c>
      <c r="F87" s="4">
        <v>119.57</v>
      </c>
      <c r="G87" s="15">
        <v>210</v>
      </c>
    </row>
    <row r="88" spans="1:7" x14ac:dyDescent="0.25">
      <c r="A88" s="14" t="s">
        <v>312</v>
      </c>
      <c r="B88" s="4" t="s">
        <v>313</v>
      </c>
      <c r="C88" s="4" t="s">
        <v>58</v>
      </c>
      <c r="D88" s="4" t="s">
        <v>72</v>
      </c>
      <c r="E88" s="4" t="s">
        <v>314</v>
      </c>
      <c r="F88" s="4">
        <v>176.07</v>
      </c>
      <c r="G88" s="15">
        <v>82</v>
      </c>
    </row>
    <row r="89" spans="1:7" x14ac:dyDescent="0.25">
      <c r="A89" s="14" t="s">
        <v>315</v>
      </c>
      <c r="B89" s="4" t="s">
        <v>316</v>
      </c>
      <c r="C89" s="4" t="s">
        <v>58</v>
      </c>
      <c r="D89" s="4" t="s">
        <v>59</v>
      </c>
      <c r="E89" s="4" t="s">
        <v>317</v>
      </c>
      <c r="F89" s="4">
        <v>371.38</v>
      </c>
      <c r="G89" s="15">
        <v>220</v>
      </c>
    </row>
    <row r="90" spans="1:7" x14ac:dyDescent="0.25">
      <c r="A90" s="14" t="s">
        <v>318</v>
      </c>
      <c r="B90" s="4" t="s">
        <v>319</v>
      </c>
      <c r="C90" s="4" t="s">
        <v>67</v>
      </c>
      <c r="D90" s="4" t="s">
        <v>49</v>
      </c>
      <c r="E90" s="4" t="s">
        <v>320</v>
      </c>
      <c r="F90" s="4">
        <v>131.24</v>
      </c>
      <c r="G90" s="15">
        <v>232</v>
      </c>
    </row>
    <row r="91" spans="1:7" x14ac:dyDescent="0.25">
      <c r="A91" s="14" t="s">
        <v>321</v>
      </c>
      <c r="B91" s="4" t="s">
        <v>322</v>
      </c>
      <c r="C91" s="4" t="s">
        <v>53</v>
      </c>
      <c r="D91" s="4" t="s">
        <v>194</v>
      </c>
      <c r="E91" s="4" t="s">
        <v>323</v>
      </c>
      <c r="F91" s="4">
        <v>183.04</v>
      </c>
      <c r="G91" s="15">
        <v>457</v>
      </c>
    </row>
    <row r="92" spans="1:7" x14ac:dyDescent="0.25">
      <c r="A92" s="14" t="s">
        <v>324</v>
      </c>
      <c r="B92" s="4" t="s">
        <v>325</v>
      </c>
      <c r="C92" s="4" t="s">
        <v>28</v>
      </c>
      <c r="D92" s="4" t="s">
        <v>49</v>
      </c>
      <c r="E92" s="4" t="s">
        <v>326</v>
      </c>
      <c r="F92" s="4">
        <v>340.14</v>
      </c>
      <c r="G92" s="15">
        <v>361</v>
      </c>
    </row>
    <row r="93" spans="1:7" x14ac:dyDescent="0.25">
      <c r="A93" s="14" t="s">
        <v>327</v>
      </c>
      <c r="B93" s="4" t="s">
        <v>328</v>
      </c>
      <c r="C93" s="4" t="s">
        <v>33</v>
      </c>
      <c r="D93" s="4" t="s">
        <v>162</v>
      </c>
      <c r="E93" s="4" t="s">
        <v>329</v>
      </c>
      <c r="F93" s="4">
        <v>438.25</v>
      </c>
      <c r="G93" s="15">
        <v>496</v>
      </c>
    </row>
    <row r="94" spans="1:7" x14ac:dyDescent="0.25">
      <c r="A94" s="14" t="s">
        <v>330</v>
      </c>
      <c r="B94" s="4" t="s">
        <v>331</v>
      </c>
      <c r="C94" s="4" t="s">
        <v>58</v>
      </c>
      <c r="D94" s="4" t="s">
        <v>90</v>
      </c>
      <c r="E94" s="4" t="s">
        <v>332</v>
      </c>
      <c r="F94" s="4">
        <v>447.43</v>
      </c>
      <c r="G94" s="15">
        <v>191</v>
      </c>
    </row>
    <row r="95" spans="1:7" x14ac:dyDescent="0.25">
      <c r="A95" s="14" t="s">
        <v>333</v>
      </c>
      <c r="B95" s="4" t="s">
        <v>334</v>
      </c>
      <c r="C95" s="4" t="s">
        <v>28</v>
      </c>
      <c r="D95" s="4" t="s">
        <v>29</v>
      </c>
      <c r="E95" s="4" t="s">
        <v>335</v>
      </c>
      <c r="F95" s="4">
        <v>377.52</v>
      </c>
      <c r="G95" s="15">
        <v>485</v>
      </c>
    </row>
    <row r="96" spans="1:7" x14ac:dyDescent="0.25">
      <c r="A96" s="14" t="s">
        <v>336</v>
      </c>
      <c r="B96" s="4" t="s">
        <v>337</v>
      </c>
      <c r="C96" s="4" t="s">
        <v>53</v>
      </c>
      <c r="D96" s="4" t="s">
        <v>54</v>
      </c>
      <c r="E96" s="4" t="s">
        <v>338</v>
      </c>
      <c r="F96" s="4">
        <v>358.47</v>
      </c>
      <c r="G96" s="15">
        <v>213</v>
      </c>
    </row>
    <row r="97" spans="1:7" x14ac:dyDescent="0.25">
      <c r="A97" s="14" t="s">
        <v>339</v>
      </c>
      <c r="B97" s="4" t="s">
        <v>340</v>
      </c>
      <c r="C97" s="4" t="s">
        <v>67</v>
      </c>
      <c r="D97" s="4" t="s">
        <v>49</v>
      </c>
      <c r="E97" s="4" t="s">
        <v>341</v>
      </c>
      <c r="F97" s="4">
        <v>60.65</v>
      </c>
      <c r="G97" s="15">
        <v>75</v>
      </c>
    </row>
    <row r="98" spans="1:7" x14ac:dyDescent="0.25">
      <c r="A98" s="14" t="s">
        <v>342</v>
      </c>
      <c r="B98" s="4" t="s">
        <v>343</v>
      </c>
      <c r="C98" s="4" t="s">
        <v>33</v>
      </c>
      <c r="D98" s="4" t="s">
        <v>38</v>
      </c>
      <c r="E98" s="4" t="s">
        <v>344</v>
      </c>
      <c r="F98" s="4">
        <v>358.47</v>
      </c>
      <c r="G98" s="15">
        <v>143</v>
      </c>
    </row>
    <row r="99" spans="1:7" x14ac:dyDescent="0.25">
      <c r="A99" s="14" t="s">
        <v>345</v>
      </c>
      <c r="B99" s="4" t="s">
        <v>346</v>
      </c>
      <c r="C99" s="4" t="s">
        <v>67</v>
      </c>
      <c r="D99" s="4" t="s">
        <v>143</v>
      </c>
      <c r="E99" s="4" t="s">
        <v>347</v>
      </c>
      <c r="F99" s="4">
        <v>245.98</v>
      </c>
      <c r="G99" s="15">
        <v>471</v>
      </c>
    </row>
    <row r="100" spans="1:7" x14ac:dyDescent="0.25">
      <c r="A100" s="14" t="s">
        <v>348</v>
      </c>
      <c r="B100" s="4" t="s">
        <v>349</v>
      </c>
      <c r="C100" s="4" t="s">
        <v>28</v>
      </c>
      <c r="D100" s="4" t="s">
        <v>63</v>
      </c>
      <c r="E100" s="4" t="s">
        <v>350</v>
      </c>
      <c r="F100" s="4">
        <v>431.67</v>
      </c>
      <c r="G100" s="15">
        <v>73</v>
      </c>
    </row>
    <row r="101" spans="1:7" x14ac:dyDescent="0.25">
      <c r="A101" s="16" t="s">
        <v>351</v>
      </c>
      <c r="B101" s="17" t="s">
        <v>352</v>
      </c>
      <c r="C101" s="17" t="s">
        <v>58</v>
      </c>
      <c r="D101" s="17" t="s">
        <v>72</v>
      </c>
      <c r="E101" s="17" t="s">
        <v>353</v>
      </c>
      <c r="F101" s="17">
        <v>201.41</v>
      </c>
      <c r="G101" s="18">
        <v>146</v>
      </c>
    </row>
    <row r="107" spans="1:7" ht="15.75" thickBot="1" x14ac:dyDescent="0.3"/>
    <row r="108" spans="1:7" ht="22.5" thickTop="1" thickBot="1" x14ac:dyDescent="0.4">
      <c r="B108" s="7" t="s">
        <v>2</v>
      </c>
      <c r="C108" s="5">
        <f>SUBTOTAL(103,Table136[Product_ID])</f>
        <v>100</v>
      </c>
      <c r="E108" s="7" t="s">
        <v>360</v>
      </c>
      <c r="F108" s="20">
        <f>SUM(109,Table136[Cost])</f>
        <v>23989.100000000002</v>
      </c>
    </row>
    <row r="109" spans="1:7" ht="21.75" thickTop="1" x14ac:dyDescent="0.35">
      <c r="E109" s="7" t="s">
        <v>361</v>
      </c>
      <c r="F109" s="6">
        <f>SUM(109,Table136[Stock])</f>
        <v>26638</v>
      </c>
    </row>
    <row r="110" spans="1:7" ht="15.75" thickBot="1" x14ac:dyDescent="0.3"/>
    <row r="111" spans="1:7" ht="22.5" thickTop="1" thickBot="1" x14ac:dyDescent="0.4">
      <c r="C111" s="7" t="s">
        <v>362</v>
      </c>
      <c r="D111" s="21">
        <f>F108/C108</f>
        <v>239.89100000000002</v>
      </c>
    </row>
    <row r="112" spans="1:7" ht="21.75" thickTop="1" x14ac:dyDescent="0.35">
      <c r="C112" s="7" t="s">
        <v>363</v>
      </c>
      <c r="D112" s="21">
        <f>F109/C108</f>
        <v>266.38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D605-F8E3-4AAB-B8D4-1432E1951150}">
  <dimension ref="A1:O102"/>
  <sheetViews>
    <sheetView topLeftCell="C1" workbookViewId="0">
      <selection activeCell="J8" sqref="J8"/>
    </sheetView>
  </sheetViews>
  <sheetFormatPr defaultRowHeight="15" x14ac:dyDescent="0.25"/>
  <cols>
    <col min="1" max="1" width="10.7109375" bestFit="1" customWidth="1"/>
    <col min="2" max="2" width="27.5703125" bestFit="1" customWidth="1"/>
    <col min="3" max="3" width="10.5703125" bestFit="1" customWidth="1"/>
    <col min="4" max="4" width="13.28515625" bestFit="1" customWidth="1"/>
    <col min="5" max="5" width="30" bestFit="1" customWidth="1"/>
    <col min="6" max="6" width="7" bestFit="1" customWidth="1"/>
    <col min="7" max="7" width="5.7109375" bestFit="1" customWidth="1"/>
    <col min="9" max="9" width="10.7109375" bestFit="1" customWidth="1"/>
    <col min="10" max="10" width="27.5703125" bestFit="1" customWidth="1"/>
    <col min="11" max="11" width="10.5703125" bestFit="1" customWidth="1"/>
    <col min="12" max="12" width="13.28515625" bestFit="1" customWidth="1"/>
    <col min="13" max="13" width="30" bestFit="1" customWidth="1"/>
    <col min="14" max="14" width="7" bestFit="1" customWidth="1"/>
    <col min="15" max="15" width="5.7109375" bestFit="1" customWidth="1"/>
  </cols>
  <sheetData>
    <row r="1" spans="1:15" x14ac:dyDescent="0.25">
      <c r="A1" s="11" t="s">
        <v>4</v>
      </c>
      <c r="B1" s="11"/>
      <c r="C1" s="11"/>
      <c r="D1" s="11"/>
      <c r="E1" s="11"/>
      <c r="F1" s="11"/>
      <c r="G1" s="11"/>
      <c r="I1" s="11" t="s">
        <v>364</v>
      </c>
      <c r="J1" s="11"/>
      <c r="K1" s="11"/>
      <c r="L1" s="11"/>
      <c r="M1" s="11"/>
      <c r="N1" s="11"/>
      <c r="O1" s="11"/>
    </row>
    <row r="2" spans="1:15" x14ac:dyDescent="0.25">
      <c r="A2" s="22" t="s">
        <v>19</v>
      </c>
      <c r="B2" s="26" t="s">
        <v>20</v>
      </c>
      <c r="C2" s="26" t="s">
        <v>21</v>
      </c>
      <c r="D2" s="26" t="s">
        <v>22</v>
      </c>
      <c r="E2" s="26" t="s">
        <v>23</v>
      </c>
      <c r="F2" s="26" t="s">
        <v>24</v>
      </c>
      <c r="G2" s="27" t="s">
        <v>25</v>
      </c>
      <c r="I2" s="22" t="s">
        <v>19</v>
      </c>
      <c r="J2" s="26" t="s">
        <v>20</v>
      </c>
      <c r="K2" s="26" t="s">
        <v>21</v>
      </c>
      <c r="L2" s="26" t="s">
        <v>22</v>
      </c>
      <c r="M2" s="26" t="s">
        <v>23</v>
      </c>
      <c r="N2" s="26" t="s">
        <v>24</v>
      </c>
      <c r="O2" s="27" t="s">
        <v>25</v>
      </c>
    </row>
    <row r="3" spans="1:15" x14ac:dyDescent="0.25">
      <c r="A3" s="23" t="s">
        <v>26</v>
      </c>
      <c r="B3" s="4" t="str">
        <f>VLOOKUP(A3,'f Excel formulas for calculatio'!A:G,2,FALSE)</f>
        <v>Brother Laser Printer</v>
      </c>
      <c r="C3" s="4" t="str">
        <f>VLOOKUP(A3,'f Excel formulas for calculatio'!A:G,3,FALSE)</f>
        <v>Electronics</v>
      </c>
      <c r="D3" s="4" t="str">
        <f>VLOOKUP(A3,'f Excel formulas for calculatio'!A:G,4,FALSE)</f>
        <v>Computer</v>
      </c>
      <c r="E3" s="4" t="str">
        <f>VLOOKUP(A3,'f Excel formulas for calculatio'!A:G,5,FALSE)</f>
        <v>Hunt Inc</v>
      </c>
      <c r="F3" s="4">
        <f>VLOOKUP(A3,'f Excel formulas for calculatio'!A:G,6,FALSE)</f>
        <v>112.42</v>
      </c>
      <c r="G3" s="4">
        <f>VLOOKUP(A3,'f Excel formulas for calculatio'!A:G,7,FALSE)</f>
        <v>416</v>
      </c>
      <c r="I3" s="23" t="s">
        <v>26</v>
      </c>
      <c r="J3" s="4" t="str">
        <f>_xlfn.XLOOKUP(I3,A3,B3)</f>
        <v>Brother Laser Printer</v>
      </c>
      <c r="K3" s="4" t="str">
        <f t="shared" ref="K3:O3" si="0">_xlfn.XLOOKUP(J3,B3,C3)</f>
        <v>Electronics</v>
      </c>
      <c r="L3" s="4" t="str">
        <f t="shared" si="0"/>
        <v>Computer</v>
      </c>
      <c r="M3" s="4" t="str">
        <f t="shared" si="0"/>
        <v>Hunt Inc</v>
      </c>
      <c r="N3" s="4">
        <f t="shared" si="0"/>
        <v>112.42</v>
      </c>
      <c r="O3" s="4">
        <f t="shared" si="0"/>
        <v>416</v>
      </c>
    </row>
    <row r="4" spans="1:15" x14ac:dyDescent="0.25">
      <c r="A4" s="24" t="s">
        <v>31</v>
      </c>
      <c r="B4" s="4" t="str">
        <f>VLOOKUP(A4,'f Excel formulas for calculatio'!A:G,2,FALSE)</f>
        <v>Men's Graphic T-Shirt</v>
      </c>
      <c r="C4" s="4" t="str">
        <f>VLOOKUP(A4,'f Excel formulas for calculatio'!A:G,3,FALSE)</f>
        <v>Clothing</v>
      </c>
      <c r="D4" s="4" t="str">
        <f>VLOOKUP(A4,'f Excel formulas for calculatio'!A:G,4,FALSE)</f>
        <v>Tops</v>
      </c>
      <c r="E4" s="4" t="str">
        <f>VLOOKUP(A4,'f Excel formulas for calculatio'!A:G,5,FALSE)</f>
        <v>Terry-Moore</v>
      </c>
      <c r="F4" s="4">
        <f>VLOOKUP(A4,'f Excel formulas for calculatio'!A:G,6,FALSE)</f>
        <v>342.56</v>
      </c>
      <c r="G4" s="4">
        <f>VLOOKUP(A4,'f Excel formulas for calculatio'!A:G,7,FALSE)</f>
        <v>181</v>
      </c>
      <c r="I4" s="24" t="s">
        <v>31</v>
      </c>
      <c r="J4" s="4" t="str">
        <f t="shared" ref="J4:J67" si="1">_xlfn.XLOOKUP(I4,A4,B4)</f>
        <v>Men's Graphic T-Shirt</v>
      </c>
      <c r="K4" s="4" t="str">
        <f t="shared" ref="K4:K67" si="2">_xlfn.XLOOKUP(J4,B4,C4)</f>
        <v>Clothing</v>
      </c>
      <c r="L4" s="4" t="str">
        <f t="shared" ref="L4:L67" si="3">_xlfn.XLOOKUP(K4,C4,D4)</f>
        <v>Tops</v>
      </c>
      <c r="M4" s="4" t="str">
        <f t="shared" ref="M4:M67" si="4">_xlfn.XLOOKUP(L4,D4,E4)</f>
        <v>Terry-Moore</v>
      </c>
      <c r="N4" s="4">
        <f t="shared" ref="N4:N67" si="5">_xlfn.XLOOKUP(M4,E4,F4)</f>
        <v>342.56</v>
      </c>
      <c r="O4" s="4">
        <f t="shared" ref="O4:O67" si="6">_xlfn.XLOOKUP(N4,F4,G4)</f>
        <v>181</v>
      </c>
    </row>
    <row r="5" spans="1:15" x14ac:dyDescent="0.25">
      <c r="A5" s="23" t="s">
        <v>36</v>
      </c>
      <c r="B5" s="4" t="str">
        <f>VLOOKUP(A5,'f Excel formulas for calculatio'!A:G,2,FALSE)</f>
        <v>Women's Casual Hoodie</v>
      </c>
      <c r="C5" s="4" t="str">
        <f>VLOOKUP(A5,'f Excel formulas for calculatio'!A:G,3,FALSE)</f>
        <v>Clothing</v>
      </c>
      <c r="D5" s="4" t="str">
        <f>VLOOKUP(A5,'f Excel formulas for calculatio'!A:G,4,FALSE)</f>
        <v>Outerwear</v>
      </c>
      <c r="E5" s="4" t="str">
        <f>VLOOKUP(A5,'f Excel formulas for calculatio'!A:G,5,FALSE)</f>
        <v>Sims Inc</v>
      </c>
      <c r="F5" s="4">
        <f>VLOOKUP(A5,'f Excel formulas for calculatio'!A:G,6,FALSE)</f>
        <v>0</v>
      </c>
      <c r="G5" s="4">
        <f>VLOOKUP(A5,'f Excel formulas for calculatio'!A:G,7,FALSE)</f>
        <v>352</v>
      </c>
      <c r="I5" s="23" t="s">
        <v>36</v>
      </c>
      <c r="J5" s="4" t="str">
        <f t="shared" si="1"/>
        <v>Women's Casual Hoodie</v>
      </c>
      <c r="K5" s="4" t="str">
        <f t="shared" si="2"/>
        <v>Clothing</v>
      </c>
      <c r="L5" s="4" t="str">
        <f t="shared" si="3"/>
        <v>Outerwear</v>
      </c>
      <c r="M5" s="4" t="str">
        <f t="shared" si="4"/>
        <v>Sims Inc</v>
      </c>
      <c r="N5" s="4">
        <f t="shared" si="5"/>
        <v>0</v>
      </c>
      <c r="O5" s="4">
        <f t="shared" si="6"/>
        <v>352</v>
      </c>
    </row>
    <row r="6" spans="1:15" x14ac:dyDescent="0.25">
      <c r="A6" s="24" t="s">
        <v>357</v>
      </c>
      <c r="B6" s="4" t="str">
        <f>VLOOKUP(A6,'f Excel formulas for calculatio'!A:G,2,FALSE)</f>
        <v>Men's Running Jacket</v>
      </c>
      <c r="C6" s="4" t="str">
        <f>VLOOKUP(A6,'f Excel formulas for calculatio'!A:G,3,FALSE)</f>
        <v>Clothing</v>
      </c>
      <c r="D6" s="4" t="str">
        <f>VLOOKUP(A6,'f Excel formulas for calculatio'!A:G,4,FALSE)</f>
        <v>Outerwear</v>
      </c>
      <c r="E6" s="4" t="str">
        <f>VLOOKUP(A6,'f Excel formulas for calculatio'!A:G,5,FALSE)</f>
        <v>Pineda Ltd</v>
      </c>
      <c r="F6" s="4">
        <f>VLOOKUP(A6,'f Excel formulas for calculatio'!A:G,6,FALSE)</f>
        <v>364.67</v>
      </c>
      <c r="G6" s="4">
        <f>VLOOKUP(A6,'f Excel formulas for calculatio'!A:G,7,FALSE)</f>
        <v>452</v>
      </c>
      <c r="I6" s="24" t="s">
        <v>357</v>
      </c>
      <c r="J6" s="4" t="str">
        <f t="shared" si="1"/>
        <v>Men's Running Jacket</v>
      </c>
      <c r="K6" s="4" t="str">
        <f t="shared" si="2"/>
        <v>Clothing</v>
      </c>
      <c r="L6" s="4" t="str">
        <f t="shared" si="3"/>
        <v>Outerwear</v>
      </c>
      <c r="M6" s="4" t="str">
        <f t="shared" si="4"/>
        <v>Pineda Ltd</v>
      </c>
      <c r="N6" s="4">
        <f t="shared" si="5"/>
        <v>364.67</v>
      </c>
      <c r="O6" s="4">
        <f t="shared" si="6"/>
        <v>452</v>
      </c>
    </row>
    <row r="7" spans="1:15" x14ac:dyDescent="0.25">
      <c r="A7" s="23" t="s">
        <v>43</v>
      </c>
      <c r="B7" s="4" t="str">
        <f>VLOOKUP(A7,'f Excel formulas for calculatio'!A:G,2,FALSE)</f>
        <v>Women's Yoga Pants</v>
      </c>
      <c r="C7" s="4" t="str">
        <f>VLOOKUP(A7,'f Excel formulas for calculatio'!A:G,3,FALSE)</f>
        <v>Clothing</v>
      </c>
      <c r="D7" s="4" t="str">
        <f>VLOOKUP(A7,'f Excel formulas for calculatio'!A:G,4,FALSE)</f>
        <v>Bottoms</v>
      </c>
      <c r="E7" s="4" t="str">
        <f>VLOOKUP(A7,'f Excel formulas for calculatio'!A:G,5,FALSE)</f>
        <v>Gonzales-Davis</v>
      </c>
      <c r="F7" s="4">
        <f>VLOOKUP(A7,'f Excel formulas for calculatio'!A:G,6,FALSE)</f>
        <v>306.45999999999998</v>
      </c>
      <c r="G7" s="4">
        <f>VLOOKUP(A7,'f Excel formulas for calculatio'!A:G,7,FALSE)</f>
        <v>487</v>
      </c>
      <c r="I7" s="23" t="s">
        <v>43</v>
      </c>
      <c r="J7" s="4" t="str">
        <f t="shared" si="1"/>
        <v>Women's Yoga Pants</v>
      </c>
      <c r="K7" s="4" t="str">
        <f t="shared" si="2"/>
        <v>Clothing</v>
      </c>
      <c r="L7" s="4" t="str">
        <f t="shared" si="3"/>
        <v>Bottoms</v>
      </c>
      <c r="M7" s="4" t="str">
        <f t="shared" si="4"/>
        <v>Gonzales-Davis</v>
      </c>
      <c r="N7" s="4">
        <f t="shared" si="5"/>
        <v>306.45999999999998</v>
      </c>
      <c r="O7" s="4">
        <f t="shared" si="6"/>
        <v>487</v>
      </c>
    </row>
    <row r="8" spans="1:15" x14ac:dyDescent="0.25">
      <c r="A8" s="24" t="s">
        <v>47</v>
      </c>
      <c r="B8" s="4" t="str">
        <f>VLOOKUP(A8,'f Excel formulas for calculatio'!A:G,2,FALSE)</f>
        <v>Men's Leather Belt</v>
      </c>
      <c r="C8" s="4" t="str">
        <f>VLOOKUP(A8,'f Excel formulas for calculatio'!A:G,3,FALSE)</f>
        <v>Clothing</v>
      </c>
      <c r="D8" s="4" t="str">
        <f>VLOOKUP(A8,'f Excel formulas for calculatio'!A:G,4,FALSE)</f>
        <v>Accessories</v>
      </c>
      <c r="E8" s="4" t="str">
        <f>VLOOKUP(A8,'f Excel formulas for calculatio'!A:G,5,FALSE)</f>
        <v>Baldwin, Garza and Gonzalez</v>
      </c>
      <c r="F8" s="4">
        <f>VLOOKUP(A8,'f Excel formulas for calculatio'!A:G,6,FALSE)</f>
        <v>261</v>
      </c>
      <c r="G8" s="4">
        <f>VLOOKUP(A8,'f Excel formulas for calculatio'!A:G,7,FALSE)</f>
        <v>59</v>
      </c>
      <c r="I8" s="24" t="s">
        <v>47</v>
      </c>
      <c r="J8" s="4" t="str">
        <f t="shared" si="1"/>
        <v>Men's Leather Belt</v>
      </c>
      <c r="K8" s="4" t="str">
        <f t="shared" si="2"/>
        <v>Clothing</v>
      </c>
      <c r="L8" s="4" t="str">
        <f t="shared" si="3"/>
        <v>Accessories</v>
      </c>
      <c r="M8" s="4" t="str">
        <f t="shared" si="4"/>
        <v>Baldwin, Garza and Gonzalez</v>
      </c>
      <c r="N8" s="4">
        <f t="shared" si="5"/>
        <v>261</v>
      </c>
      <c r="O8" s="4">
        <f t="shared" si="6"/>
        <v>59</v>
      </c>
    </row>
    <row r="9" spans="1:15" x14ac:dyDescent="0.25">
      <c r="A9" s="23" t="s">
        <v>51</v>
      </c>
      <c r="B9" s="4" t="str">
        <f>VLOOKUP(A9,'f Excel formulas for calculatio'!A:G,2,FALSE)</f>
        <v>Herbal Face Moisturizer</v>
      </c>
      <c r="C9" s="4" t="str">
        <f>VLOOKUP(A9,'f Excel formulas for calculatio'!A:G,3,FALSE)</f>
        <v>Beauty</v>
      </c>
      <c r="D9" s="4" t="str">
        <f>VLOOKUP(A9,'f Excel formulas for calculatio'!A:G,4,FALSE)</f>
        <v>Skincare</v>
      </c>
      <c r="E9" s="4" t="str">
        <f>VLOOKUP(A9,'f Excel formulas for calculatio'!A:G,5,FALSE)</f>
        <v>Davidson PLC</v>
      </c>
      <c r="F9" s="4">
        <f>VLOOKUP(A9,'f Excel formulas for calculatio'!A:G,6,FALSE)</f>
        <v>312.8</v>
      </c>
      <c r="G9" s="4">
        <f>VLOOKUP(A9,'f Excel formulas for calculatio'!A:G,7,FALSE)</f>
        <v>350</v>
      </c>
      <c r="I9" s="23" t="s">
        <v>51</v>
      </c>
      <c r="J9" s="4" t="str">
        <f t="shared" si="1"/>
        <v>Herbal Face Moisturizer</v>
      </c>
      <c r="K9" s="4" t="str">
        <f t="shared" si="2"/>
        <v>Beauty</v>
      </c>
      <c r="L9" s="4" t="str">
        <f t="shared" si="3"/>
        <v>Skincare</v>
      </c>
      <c r="M9" s="4" t="str">
        <f t="shared" si="4"/>
        <v>Davidson PLC</v>
      </c>
      <c r="N9" s="4">
        <f t="shared" si="5"/>
        <v>312.8</v>
      </c>
      <c r="O9" s="4">
        <f t="shared" si="6"/>
        <v>350</v>
      </c>
    </row>
    <row r="10" spans="1:15" x14ac:dyDescent="0.25">
      <c r="A10" s="24" t="s">
        <v>56</v>
      </c>
      <c r="B10" s="4" t="str">
        <f>VLOOKUP(A10,'f Excel formulas for calculatio'!A:G,2,FALSE)</f>
        <v>LED Table Lamp</v>
      </c>
      <c r="C10" s="4" t="str">
        <f>VLOOKUP(A10,'f Excel formulas for calculatio'!A:G,3,FALSE)</f>
        <v>Home</v>
      </c>
      <c r="D10" s="4" t="str">
        <f>VLOOKUP(A10,'f Excel formulas for calculatio'!A:G,4,FALSE)</f>
        <v>Lighting</v>
      </c>
      <c r="E10" s="4" t="str">
        <f>VLOOKUP(A10,'f Excel formulas for calculatio'!A:G,5,FALSE)</f>
        <v>Harrell LLC</v>
      </c>
      <c r="F10" s="4">
        <f>VLOOKUP(A10,'f Excel formulas for calculatio'!A:G,6,FALSE)</f>
        <v>218.86</v>
      </c>
      <c r="G10" s="4">
        <f>VLOOKUP(A10,'f Excel formulas for calculatio'!A:G,7,FALSE)</f>
        <v>170</v>
      </c>
      <c r="I10" s="24" t="s">
        <v>56</v>
      </c>
      <c r="J10" s="4" t="str">
        <f t="shared" si="1"/>
        <v>LED Table Lamp</v>
      </c>
      <c r="K10" s="4" t="str">
        <f t="shared" si="2"/>
        <v>Home</v>
      </c>
      <c r="L10" s="4" t="str">
        <f t="shared" si="3"/>
        <v>Lighting</v>
      </c>
      <c r="M10" s="4" t="str">
        <f t="shared" si="4"/>
        <v>Harrell LLC</v>
      </c>
      <c r="N10" s="4">
        <f t="shared" si="5"/>
        <v>218.86</v>
      </c>
      <c r="O10" s="4">
        <f t="shared" si="6"/>
        <v>170</v>
      </c>
    </row>
    <row r="11" spans="1:15" x14ac:dyDescent="0.25">
      <c r="A11" s="23" t="s">
        <v>61</v>
      </c>
      <c r="B11" s="4" t="str">
        <f>VLOOKUP(A11,'f Excel formulas for calculatio'!A:G,2,FALSE)</f>
        <v>Wireless Bluetooth Earbuds</v>
      </c>
      <c r="C11" s="4" t="str">
        <f>VLOOKUP(A11,'f Excel formulas for calculatio'!A:G,3,FALSE)</f>
        <v>Electronics</v>
      </c>
      <c r="D11" s="4" t="str">
        <f>VLOOKUP(A11,'f Excel formulas for calculatio'!A:G,4,FALSE)</f>
        <v>Audio</v>
      </c>
      <c r="E11" s="4" t="str">
        <f>VLOOKUP(A11,'f Excel formulas for calculatio'!A:G,5,FALSE)</f>
        <v>Perez-Johnston</v>
      </c>
      <c r="F11" s="4">
        <f>VLOOKUP(A11,'f Excel formulas for calculatio'!A:G,6,FALSE)</f>
        <v>439.07</v>
      </c>
      <c r="G11" s="4">
        <f>VLOOKUP(A11,'f Excel formulas for calculatio'!A:G,7,FALSE)</f>
        <v>142</v>
      </c>
      <c r="I11" s="23" t="s">
        <v>61</v>
      </c>
      <c r="J11" s="4" t="str">
        <f t="shared" si="1"/>
        <v>Wireless Bluetooth Earbuds</v>
      </c>
      <c r="K11" s="4" t="str">
        <f t="shared" si="2"/>
        <v>Electronics</v>
      </c>
      <c r="L11" s="4" t="str">
        <f t="shared" si="3"/>
        <v>Audio</v>
      </c>
      <c r="M11" s="4" t="str">
        <f t="shared" si="4"/>
        <v>Perez-Johnston</v>
      </c>
      <c r="N11" s="4">
        <f t="shared" si="5"/>
        <v>439.07</v>
      </c>
      <c r="O11" s="4">
        <f t="shared" si="6"/>
        <v>142</v>
      </c>
    </row>
    <row r="12" spans="1:15" x14ac:dyDescent="0.25">
      <c r="A12" s="24" t="s">
        <v>65</v>
      </c>
      <c r="B12" s="4" t="str">
        <f>VLOOKUP(A12,'f Excel formulas for calculatio'!A:G,2,FALSE)</f>
        <v>Adjustable Dumbbell Set</v>
      </c>
      <c r="C12" s="4" t="str">
        <f>VLOOKUP(A12,'f Excel formulas for calculatio'!A:G,3,FALSE)</f>
        <v>Sports</v>
      </c>
      <c r="D12" s="4" t="str">
        <f>VLOOKUP(A12,'f Excel formulas for calculatio'!A:G,4,FALSE)</f>
        <v>Fitness</v>
      </c>
      <c r="E12" s="4" t="str">
        <f>VLOOKUP(A12,'f Excel formulas for calculatio'!A:G,5,FALSE)</f>
        <v>Hill PLC</v>
      </c>
      <c r="F12" s="4">
        <f>VLOOKUP(A12,'f Excel formulas for calculatio'!A:G,6,FALSE)</f>
        <v>495.72</v>
      </c>
      <c r="G12" s="4">
        <f>VLOOKUP(A12,'f Excel formulas for calculatio'!A:G,7,FALSE)</f>
        <v>323</v>
      </c>
      <c r="I12" s="24" t="s">
        <v>65</v>
      </c>
      <c r="J12" s="4" t="str">
        <f t="shared" si="1"/>
        <v>Adjustable Dumbbell Set</v>
      </c>
      <c r="K12" s="4" t="str">
        <f t="shared" si="2"/>
        <v>Sports</v>
      </c>
      <c r="L12" s="4" t="str">
        <f t="shared" si="3"/>
        <v>Fitness</v>
      </c>
      <c r="M12" s="4" t="str">
        <f t="shared" si="4"/>
        <v>Hill PLC</v>
      </c>
      <c r="N12" s="4">
        <f t="shared" si="5"/>
        <v>495.72</v>
      </c>
      <c r="O12" s="4">
        <f t="shared" si="6"/>
        <v>323</v>
      </c>
    </row>
    <row r="13" spans="1:15" x14ac:dyDescent="0.25">
      <c r="A13" s="23" t="s">
        <v>70</v>
      </c>
      <c r="B13" s="4" t="str">
        <f>VLOOKUP(A13,'f Excel formulas for calculatio'!A:G,2,FALSE)</f>
        <v>Ceramic Kitchen Bowl Set</v>
      </c>
      <c r="C13" s="4" t="str">
        <f>VLOOKUP(A13,'f Excel formulas for calculatio'!A:G,3,FALSE)</f>
        <v>Home</v>
      </c>
      <c r="D13" s="4" t="str">
        <f>VLOOKUP(A13,'f Excel formulas for calculatio'!A:G,4,FALSE)</f>
        <v>Kitchen</v>
      </c>
      <c r="E13" s="4" t="str">
        <f>VLOOKUP(A13,'f Excel formulas for calculatio'!A:G,5,FALSE)</f>
        <v>Hamilton Group</v>
      </c>
      <c r="F13" s="4">
        <f>VLOOKUP(A13,'f Excel formulas for calculatio'!A:G,6,FALSE)</f>
        <v>298.86</v>
      </c>
      <c r="G13" s="4">
        <f>VLOOKUP(A13,'f Excel formulas for calculatio'!A:G,7,FALSE)</f>
        <v>308</v>
      </c>
      <c r="I13" s="23" t="s">
        <v>70</v>
      </c>
      <c r="J13" s="4" t="str">
        <f t="shared" si="1"/>
        <v>Ceramic Kitchen Bowl Set</v>
      </c>
      <c r="K13" s="4" t="str">
        <f t="shared" si="2"/>
        <v>Home</v>
      </c>
      <c r="L13" s="4" t="str">
        <f t="shared" si="3"/>
        <v>Kitchen</v>
      </c>
      <c r="M13" s="4" t="str">
        <f t="shared" si="4"/>
        <v>Hamilton Group</v>
      </c>
      <c r="N13" s="4">
        <f t="shared" si="5"/>
        <v>298.86</v>
      </c>
      <c r="O13" s="4">
        <f t="shared" si="6"/>
        <v>308</v>
      </c>
    </row>
    <row r="14" spans="1:15" x14ac:dyDescent="0.25">
      <c r="A14" s="24" t="s">
        <v>74</v>
      </c>
      <c r="B14" s="4" t="str">
        <f>VLOOKUP(A14,'f Excel formulas for calculatio'!A:G,2,FALSE)</f>
        <v>HD Smart TV Stick</v>
      </c>
      <c r="C14" s="4" t="str">
        <f>VLOOKUP(A14,'f Excel formulas for calculatio'!A:G,3,FALSE)</f>
        <v>Electronics</v>
      </c>
      <c r="D14" s="4" t="str">
        <f>VLOOKUP(A14,'f Excel formulas for calculatio'!A:G,4,FALSE)</f>
        <v>Accessories</v>
      </c>
      <c r="E14" s="4" t="str">
        <f>VLOOKUP(A14,'f Excel formulas for calculatio'!A:G,5,FALSE)</f>
        <v>Gibson, Hobbs and Weaver</v>
      </c>
      <c r="F14" s="4">
        <f>VLOOKUP(A14,'f Excel formulas for calculatio'!A:G,6,FALSE)</f>
        <v>449.4</v>
      </c>
      <c r="G14" s="4">
        <f>VLOOKUP(A14,'f Excel formulas for calculatio'!A:G,7,FALSE)</f>
        <v>0</v>
      </c>
      <c r="I14" s="24" t="s">
        <v>74</v>
      </c>
      <c r="J14" s="4" t="str">
        <f t="shared" si="1"/>
        <v>HD Smart TV Stick</v>
      </c>
      <c r="K14" s="4" t="str">
        <f t="shared" si="2"/>
        <v>Electronics</v>
      </c>
      <c r="L14" s="4" t="str">
        <f t="shared" si="3"/>
        <v>Accessories</v>
      </c>
      <c r="M14" s="4" t="str">
        <f t="shared" si="4"/>
        <v>Gibson, Hobbs and Weaver</v>
      </c>
      <c r="N14" s="4">
        <f t="shared" si="5"/>
        <v>449.4</v>
      </c>
      <c r="O14" s="4">
        <f t="shared" si="6"/>
        <v>0</v>
      </c>
    </row>
    <row r="15" spans="1:15" x14ac:dyDescent="0.25">
      <c r="A15" s="23" t="s">
        <v>77</v>
      </c>
      <c r="B15" s="4" t="str">
        <f>VLOOKUP(A15,'f Excel formulas for calculatio'!A:G,2,FALSE)</f>
        <v>Hair Strengthening Shampoo</v>
      </c>
      <c r="C15" s="4" t="str">
        <f>VLOOKUP(A15,'f Excel formulas for calculatio'!A:G,3,FALSE)</f>
        <v>Beauty</v>
      </c>
      <c r="D15" s="4" t="str">
        <f>VLOOKUP(A15,'f Excel formulas for calculatio'!A:G,4,FALSE)</f>
        <v>Haircare</v>
      </c>
      <c r="E15" s="4" t="str">
        <f>VLOOKUP(A15,'f Excel formulas for calculatio'!A:G,5,FALSE)</f>
        <v>Rice LLC</v>
      </c>
      <c r="F15" s="4">
        <f>VLOOKUP(A15,'f Excel formulas for calculatio'!A:G,6,FALSE)</f>
        <v>115.82</v>
      </c>
      <c r="G15" s="4">
        <f>VLOOKUP(A15,'f Excel formulas for calculatio'!A:G,7,FALSE)</f>
        <v>460</v>
      </c>
      <c r="I15" s="23" t="s">
        <v>77</v>
      </c>
      <c r="J15" s="4" t="str">
        <f t="shared" si="1"/>
        <v>Hair Strengthening Shampoo</v>
      </c>
      <c r="K15" s="4" t="str">
        <f t="shared" si="2"/>
        <v>Beauty</v>
      </c>
      <c r="L15" s="4" t="str">
        <f t="shared" si="3"/>
        <v>Haircare</v>
      </c>
      <c r="M15" s="4" t="str">
        <f t="shared" si="4"/>
        <v>Rice LLC</v>
      </c>
      <c r="N15" s="4">
        <f t="shared" si="5"/>
        <v>115.82</v>
      </c>
      <c r="O15" s="4">
        <f t="shared" si="6"/>
        <v>460</v>
      </c>
    </row>
    <row r="16" spans="1:15" x14ac:dyDescent="0.25">
      <c r="A16" s="24" t="s">
        <v>81</v>
      </c>
      <c r="B16" s="4" t="str">
        <f>VLOOKUP(A16,'f Excel formulas for calculatio'!A:G,2,FALSE)</f>
        <v>USB-C Fast Charger</v>
      </c>
      <c r="C16" s="4" t="str">
        <f>VLOOKUP(A16,'f Excel formulas for calculatio'!A:G,3,FALSE)</f>
        <v>Electronics</v>
      </c>
      <c r="D16" s="4" t="str">
        <f>VLOOKUP(A16,'f Excel formulas for calculatio'!A:G,4,FALSE)</f>
        <v>Accessories</v>
      </c>
      <c r="E16" s="4" t="str">
        <f>VLOOKUP(A16,'f Excel formulas for calculatio'!A:G,5,FALSE)</f>
        <v>Dawson-Perkins</v>
      </c>
      <c r="F16" s="4">
        <f>VLOOKUP(A16,'f Excel formulas for calculatio'!A:G,6,FALSE)</f>
        <v>242.23</v>
      </c>
      <c r="G16" s="4">
        <f>VLOOKUP(A16,'f Excel formulas for calculatio'!A:G,7,FALSE)</f>
        <v>453</v>
      </c>
      <c r="I16" s="24" t="s">
        <v>81</v>
      </c>
      <c r="J16" s="4" t="str">
        <f t="shared" si="1"/>
        <v>USB-C Fast Charger</v>
      </c>
      <c r="K16" s="4" t="str">
        <f t="shared" si="2"/>
        <v>Electronics</v>
      </c>
      <c r="L16" s="4" t="str">
        <f t="shared" si="3"/>
        <v>Accessories</v>
      </c>
      <c r="M16" s="4" t="str">
        <f t="shared" si="4"/>
        <v>Dawson-Perkins</v>
      </c>
      <c r="N16" s="4">
        <f t="shared" si="5"/>
        <v>242.23</v>
      </c>
      <c r="O16" s="4">
        <f t="shared" si="6"/>
        <v>453</v>
      </c>
    </row>
    <row r="17" spans="1:15" x14ac:dyDescent="0.25">
      <c r="A17" s="23" t="s">
        <v>84</v>
      </c>
      <c r="B17" s="4" t="str">
        <f>VLOOKUP(A17,'f Excel formulas for calculatio'!A:G,2,FALSE)</f>
        <v>Decorative Wall Mirror</v>
      </c>
      <c r="C17" s="4" t="str">
        <f>VLOOKUP(A17,'f Excel formulas for calculatio'!A:G,3,FALSE)</f>
        <v>Home</v>
      </c>
      <c r="D17" s="4" t="str">
        <f>VLOOKUP(A17,'f Excel formulas for calculatio'!A:G,4,FALSE)</f>
        <v>Decor</v>
      </c>
      <c r="E17" s="4" t="str">
        <f>VLOOKUP(A17,'f Excel formulas for calculatio'!A:G,5,FALSE)</f>
        <v>Luna, Anderson and Bowman</v>
      </c>
      <c r="F17" s="4">
        <f>VLOOKUP(A17,'f Excel formulas for calculatio'!A:G,6,FALSE)</f>
        <v>48.01</v>
      </c>
      <c r="G17" s="4">
        <f>VLOOKUP(A17,'f Excel formulas for calculatio'!A:G,7,FALSE)</f>
        <v>439</v>
      </c>
      <c r="I17" s="23" t="s">
        <v>84</v>
      </c>
      <c r="J17" s="4" t="str">
        <f t="shared" si="1"/>
        <v>Decorative Wall Mirror</v>
      </c>
      <c r="K17" s="4" t="str">
        <f t="shared" si="2"/>
        <v>Home</v>
      </c>
      <c r="L17" s="4" t="str">
        <f t="shared" si="3"/>
        <v>Decor</v>
      </c>
      <c r="M17" s="4" t="str">
        <f t="shared" si="4"/>
        <v>Luna, Anderson and Bowman</v>
      </c>
      <c r="N17" s="4">
        <f t="shared" si="5"/>
        <v>48.01</v>
      </c>
      <c r="O17" s="4">
        <f t="shared" si="6"/>
        <v>439</v>
      </c>
    </row>
    <row r="18" spans="1:15" x14ac:dyDescent="0.25">
      <c r="A18" s="24" t="s">
        <v>88</v>
      </c>
      <c r="B18" s="4" t="str">
        <f>VLOOKUP(A18,'f Excel formulas for calculatio'!A:G,2,FALSE)</f>
        <v>4K Home Projector</v>
      </c>
      <c r="C18" s="4" t="str">
        <f>VLOOKUP(A18,'f Excel formulas for calculatio'!A:G,3,FALSE)</f>
        <v>Electronics</v>
      </c>
      <c r="D18" s="4" t="str">
        <f>VLOOKUP(A18,'f Excel formulas for calculatio'!A:G,4,FALSE)</f>
        <v>Appliances</v>
      </c>
      <c r="E18" s="4" t="str">
        <f>VLOOKUP(A18,'f Excel formulas for calculatio'!A:G,5,FALSE)</f>
        <v>Thomas LLC</v>
      </c>
      <c r="F18" s="4">
        <f>VLOOKUP(A18,'f Excel formulas for calculatio'!A:G,6,FALSE)</f>
        <v>465.34</v>
      </c>
      <c r="G18" s="4">
        <f>VLOOKUP(A18,'f Excel formulas for calculatio'!A:G,7,FALSE)</f>
        <v>301</v>
      </c>
      <c r="I18" s="24" t="s">
        <v>88</v>
      </c>
      <c r="J18" s="4" t="str">
        <f t="shared" si="1"/>
        <v>4K Home Projector</v>
      </c>
      <c r="K18" s="4" t="str">
        <f t="shared" si="2"/>
        <v>Electronics</v>
      </c>
      <c r="L18" s="4" t="str">
        <f t="shared" si="3"/>
        <v>Appliances</v>
      </c>
      <c r="M18" s="4" t="str">
        <f t="shared" si="4"/>
        <v>Thomas LLC</v>
      </c>
      <c r="N18" s="4">
        <f t="shared" si="5"/>
        <v>465.34</v>
      </c>
      <c r="O18" s="4">
        <f t="shared" si="6"/>
        <v>301</v>
      </c>
    </row>
    <row r="19" spans="1:15" x14ac:dyDescent="0.25">
      <c r="A19" s="23" t="s">
        <v>358</v>
      </c>
      <c r="B19" s="4" t="str">
        <f>VLOOKUP(A19,'f Excel formulas for calculatio'!A:G,2,FALSE)</f>
        <v>Beard Grooming Kit</v>
      </c>
      <c r="C19" s="4" t="str">
        <f>VLOOKUP(A19,'f Excel formulas for calculatio'!A:G,3,FALSE)</f>
        <v>Beauty</v>
      </c>
      <c r="D19" s="4" t="str">
        <f>VLOOKUP(A19,'f Excel formulas for calculatio'!A:G,4,FALSE)</f>
        <v>Grooming</v>
      </c>
      <c r="E19" s="4" t="str">
        <f>VLOOKUP(A19,'f Excel formulas for calculatio'!A:G,5,FALSE)</f>
        <v>Erickson-Green</v>
      </c>
      <c r="F19" s="4">
        <f>VLOOKUP(A19,'f Excel formulas for calculatio'!A:G,6,FALSE)</f>
        <v>337.42</v>
      </c>
      <c r="G19" s="4">
        <f>VLOOKUP(A19,'f Excel formulas for calculatio'!A:G,7,FALSE)</f>
        <v>256</v>
      </c>
      <c r="I19" s="23" t="s">
        <v>358</v>
      </c>
      <c r="J19" s="4" t="str">
        <f t="shared" si="1"/>
        <v>Beard Grooming Kit</v>
      </c>
      <c r="K19" s="4" t="str">
        <f t="shared" si="2"/>
        <v>Beauty</v>
      </c>
      <c r="L19" s="4" t="str">
        <f t="shared" si="3"/>
        <v>Grooming</v>
      </c>
      <c r="M19" s="4" t="str">
        <f t="shared" si="4"/>
        <v>Erickson-Green</v>
      </c>
      <c r="N19" s="4">
        <f t="shared" si="5"/>
        <v>337.42</v>
      </c>
      <c r="O19" s="4">
        <f t="shared" si="6"/>
        <v>256</v>
      </c>
    </row>
    <row r="20" spans="1:15" x14ac:dyDescent="0.25">
      <c r="A20" s="24" t="s">
        <v>96</v>
      </c>
      <c r="B20" s="4" t="str">
        <f>VLOOKUP(A20,'f Excel formulas for calculatio'!A:G,2,FALSE)</f>
        <v>Soccer Training Cone Set</v>
      </c>
      <c r="C20" s="4" t="str">
        <f>VLOOKUP(A20,'f Excel formulas for calculatio'!A:G,3,FALSE)</f>
        <v>Sports</v>
      </c>
      <c r="D20" s="4" t="str">
        <f>VLOOKUP(A20,'f Excel formulas for calculatio'!A:G,4,FALSE)</f>
        <v>Accessories</v>
      </c>
      <c r="E20" s="4" t="str">
        <f>VLOOKUP(A20,'f Excel formulas for calculatio'!A:G,5,FALSE)</f>
        <v>Ford, Murphy and Wilson</v>
      </c>
      <c r="F20" s="4">
        <f>VLOOKUP(A20,'f Excel formulas for calculatio'!A:G,6,FALSE)</f>
        <v>144.53</v>
      </c>
      <c r="G20" s="4">
        <f>VLOOKUP(A20,'f Excel formulas for calculatio'!A:G,7,FALSE)</f>
        <v>367</v>
      </c>
      <c r="I20" s="24" t="s">
        <v>96</v>
      </c>
      <c r="J20" s="4" t="str">
        <f t="shared" si="1"/>
        <v>Soccer Training Cone Set</v>
      </c>
      <c r="K20" s="4" t="str">
        <f t="shared" si="2"/>
        <v>Sports</v>
      </c>
      <c r="L20" s="4" t="str">
        <f t="shared" si="3"/>
        <v>Accessories</v>
      </c>
      <c r="M20" s="4" t="str">
        <f t="shared" si="4"/>
        <v>Ford, Murphy and Wilson</v>
      </c>
      <c r="N20" s="4">
        <f t="shared" si="5"/>
        <v>144.53</v>
      </c>
      <c r="O20" s="4">
        <f t="shared" si="6"/>
        <v>367</v>
      </c>
    </row>
    <row r="21" spans="1:15" x14ac:dyDescent="0.25">
      <c r="A21" s="23" t="s">
        <v>99</v>
      </c>
      <c r="B21" s="4" t="str">
        <f>VLOOKUP(A21,'f Excel formulas for calculatio'!A:G,2,FALSE)</f>
        <v>Women's Denim Jeans</v>
      </c>
      <c r="C21" s="4" t="str">
        <f>VLOOKUP(A21,'f Excel formulas for calculatio'!A:G,3,FALSE)</f>
        <v>Clothing</v>
      </c>
      <c r="D21" s="4" t="str">
        <f>VLOOKUP(A21,'f Excel formulas for calculatio'!A:G,4,FALSE)</f>
        <v>Bottoms</v>
      </c>
      <c r="E21" s="4" t="str">
        <f>VLOOKUP(A21,'f Excel formulas for calculatio'!A:G,5,FALSE)</f>
        <v>Guerra-Hendrix</v>
      </c>
      <c r="F21" s="4">
        <f>VLOOKUP(A21,'f Excel formulas for calculatio'!A:G,6,FALSE)</f>
        <v>0</v>
      </c>
      <c r="G21" s="4">
        <f>VLOOKUP(A21,'f Excel formulas for calculatio'!A:G,7,FALSE)</f>
        <v>343</v>
      </c>
      <c r="I21" s="23" t="s">
        <v>99</v>
      </c>
      <c r="J21" s="4" t="str">
        <f t="shared" si="1"/>
        <v>Women's Denim Jeans</v>
      </c>
      <c r="K21" s="4" t="str">
        <f t="shared" si="2"/>
        <v>Clothing</v>
      </c>
      <c r="L21" s="4" t="str">
        <f t="shared" si="3"/>
        <v>Bottoms</v>
      </c>
      <c r="M21" s="4" t="str">
        <f t="shared" si="4"/>
        <v>Guerra-Hendrix</v>
      </c>
      <c r="N21" s="4">
        <f t="shared" si="5"/>
        <v>0</v>
      </c>
      <c r="O21" s="4">
        <f t="shared" si="6"/>
        <v>343</v>
      </c>
    </row>
    <row r="22" spans="1:15" x14ac:dyDescent="0.25">
      <c r="A22" s="24" t="s">
        <v>102</v>
      </c>
      <c r="B22" s="4" t="str">
        <f>VLOOKUP(A22,'f Excel formulas for calculatio'!A:G,2,FALSE)</f>
        <v>Knee Support Brace</v>
      </c>
      <c r="C22" s="4" t="str">
        <f>VLOOKUP(A22,'f Excel formulas for calculatio'!A:G,3,FALSE)</f>
        <v>Sports</v>
      </c>
      <c r="D22" s="4" t="str">
        <f>VLOOKUP(A22,'f Excel formulas for calculatio'!A:G,4,FALSE)</f>
        <v>Equipment</v>
      </c>
      <c r="E22" s="4" t="str">
        <f>VLOOKUP(A22,'f Excel formulas for calculatio'!A:G,5,FALSE)</f>
        <v>May-Reese</v>
      </c>
      <c r="F22" s="4">
        <f>VLOOKUP(A22,'f Excel formulas for calculatio'!A:G,6,FALSE)</f>
        <v>21.34</v>
      </c>
      <c r="G22" s="4">
        <f>VLOOKUP(A22,'f Excel formulas for calculatio'!A:G,7,FALSE)</f>
        <v>65</v>
      </c>
      <c r="I22" s="24" t="s">
        <v>102</v>
      </c>
      <c r="J22" s="4" t="str">
        <f t="shared" si="1"/>
        <v>Knee Support Brace</v>
      </c>
      <c r="K22" s="4" t="str">
        <f t="shared" si="2"/>
        <v>Sports</v>
      </c>
      <c r="L22" s="4" t="str">
        <f t="shared" si="3"/>
        <v>Equipment</v>
      </c>
      <c r="M22" s="4" t="str">
        <f t="shared" si="4"/>
        <v>May-Reese</v>
      </c>
      <c r="N22" s="4">
        <f t="shared" si="5"/>
        <v>21.34</v>
      </c>
      <c r="O22" s="4">
        <f t="shared" si="6"/>
        <v>65</v>
      </c>
    </row>
    <row r="23" spans="1:15" x14ac:dyDescent="0.25">
      <c r="A23" s="23" t="s">
        <v>106</v>
      </c>
      <c r="B23" s="4" t="str">
        <f>VLOOKUP(A23,'f Excel formulas for calculatio'!A:G,2,FALSE)</f>
        <v>Outdoor Sports Water Bottle</v>
      </c>
      <c r="C23" s="4" t="str">
        <f>VLOOKUP(A23,'f Excel formulas for calculatio'!A:G,3,FALSE)</f>
        <v>Sports</v>
      </c>
      <c r="D23" s="4" t="str">
        <f>VLOOKUP(A23,'f Excel formulas for calculatio'!A:G,4,FALSE)</f>
        <v>Accessories</v>
      </c>
      <c r="E23" s="4" t="str">
        <f>VLOOKUP(A23,'f Excel formulas for calculatio'!A:G,5,FALSE)</f>
        <v>Soto-Ellis</v>
      </c>
      <c r="F23" s="4">
        <f>VLOOKUP(A23,'f Excel formulas for calculatio'!A:G,6,FALSE)</f>
        <v>131.51</v>
      </c>
      <c r="G23" s="4">
        <f>VLOOKUP(A23,'f Excel formulas for calculatio'!A:G,7,FALSE)</f>
        <v>0</v>
      </c>
      <c r="I23" s="23" t="s">
        <v>106</v>
      </c>
      <c r="J23" s="4" t="str">
        <f t="shared" si="1"/>
        <v>Outdoor Sports Water Bottle</v>
      </c>
      <c r="K23" s="4" t="str">
        <f t="shared" si="2"/>
        <v>Sports</v>
      </c>
      <c r="L23" s="4" t="str">
        <f t="shared" si="3"/>
        <v>Accessories</v>
      </c>
      <c r="M23" s="4" t="str">
        <f t="shared" si="4"/>
        <v>Soto-Ellis</v>
      </c>
      <c r="N23" s="4">
        <f t="shared" si="5"/>
        <v>131.51</v>
      </c>
      <c r="O23" s="4">
        <f t="shared" si="6"/>
        <v>0</v>
      </c>
    </row>
    <row r="24" spans="1:15" x14ac:dyDescent="0.25">
      <c r="A24" s="24" t="s">
        <v>109</v>
      </c>
      <c r="B24" s="4" t="str">
        <f>VLOOKUP(A24,'f Excel formulas for calculatio'!A:G,2,FALSE)</f>
        <v>Multi-Purpose Storage Box</v>
      </c>
      <c r="C24" s="4" t="str">
        <f>VLOOKUP(A24,'f Excel formulas for calculatio'!A:G,3,FALSE)</f>
        <v>Home</v>
      </c>
      <c r="D24" s="4" t="str">
        <f>VLOOKUP(A24,'f Excel formulas for calculatio'!A:G,4,FALSE)</f>
        <v>Storage</v>
      </c>
      <c r="E24" s="4" t="str">
        <f>VLOOKUP(A24,'f Excel formulas for calculatio'!A:G,5,FALSE)</f>
        <v>Gardner-Montes</v>
      </c>
      <c r="F24" s="4">
        <f>VLOOKUP(A24,'f Excel formulas for calculatio'!A:G,6,FALSE)</f>
        <v>123.46</v>
      </c>
      <c r="G24" s="4">
        <f>VLOOKUP(A24,'f Excel formulas for calculatio'!A:G,7,FALSE)</f>
        <v>76</v>
      </c>
      <c r="I24" s="24" t="s">
        <v>109</v>
      </c>
      <c r="J24" s="4" t="str">
        <f t="shared" si="1"/>
        <v>Multi-Purpose Storage Box</v>
      </c>
      <c r="K24" s="4" t="str">
        <f t="shared" si="2"/>
        <v>Home</v>
      </c>
      <c r="L24" s="4" t="str">
        <f t="shared" si="3"/>
        <v>Storage</v>
      </c>
      <c r="M24" s="4" t="str">
        <f t="shared" si="4"/>
        <v>Gardner-Montes</v>
      </c>
      <c r="N24" s="4">
        <f t="shared" si="5"/>
        <v>123.46</v>
      </c>
      <c r="O24" s="4">
        <f t="shared" si="6"/>
        <v>76</v>
      </c>
    </row>
    <row r="25" spans="1:15" x14ac:dyDescent="0.25">
      <c r="A25" s="23" t="s">
        <v>113</v>
      </c>
      <c r="B25" s="4" t="str">
        <f>VLOOKUP(A25,'f Excel formulas for calculatio'!A:G,2,FALSE)</f>
        <v>Carbon Fiber Tennis Racket</v>
      </c>
      <c r="C25" s="4" t="str">
        <f>VLOOKUP(A25,'f Excel formulas for calculatio'!A:G,3,FALSE)</f>
        <v>Sports</v>
      </c>
      <c r="D25" s="4" t="str">
        <f>VLOOKUP(A25,'f Excel formulas for calculatio'!A:G,4,FALSE)</f>
        <v>Equipment</v>
      </c>
      <c r="E25" s="4" t="str">
        <f>VLOOKUP(A25,'f Excel formulas for calculatio'!A:G,5,FALSE)</f>
        <v>Flores, Pineda and Rodriguez</v>
      </c>
      <c r="F25" s="4">
        <f>VLOOKUP(A25,'f Excel formulas for calculatio'!A:G,6,FALSE)</f>
        <v>484.62</v>
      </c>
      <c r="G25" s="4">
        <f>VLOOKUP(A25,'f Excel formulas for calculatio'!A:G,7,FALSE)</f>
        <v>432</v>
      </c>
      <c r="I25" s="23" t="s">
        <v>113</v>
      </c>
      <c r="J25" s="4" t="str">
        <f t="shared" si="1"/>
        <v>Carbon Fiber Tennis Racket</v>
      </c>
      <c r="K25" s="4" t="str">
        <f t="shared" si="2"/>
        <v>Sports</v>
      </c>
      <c r="L25" s="4" t="str">
        <f t="shared" si="3"/>
        <v>Equipment</v>
      </c>
      <c r="M25" s="4" t="str">
        <f t="shared" si="4"/>
        <v>Flores, Pineda and Rodriguez</v>
      </c>
      <c r="N25" s="4">
        <f t="shared" si="5"/>
        <v>484.62</v>
      </c>
      <c r="O25" s="4">
        <f t="shared" si="6"/>
        <v>432</v>
      </c>
    </row>
    <row r="26" spans="1:15" x14ac:dyDescent="0.25">
      <c r="A26" s="24" t="s">
        <v>116</v>
      </c>
      <c r="B26" s="4" t="str">
        <f>VLOOKUP(A26,'f Excel formulas for calculatio'!A:G,2,FALSE)</f>
        <v>Men's Formal Shirt</v>
      </c>
      <c r="C26" s="4" t="str">
        <f>VLOOKUP(A26,'f Excel formulas for calculatio'!A:G,3,FALSE)</f>
        <v>Clothing</v>
      </c>
      <c r="D26" s="4" t="str">
        <f>VLOOKUP(A26,'f Excel formulas for calculatio'!A:G,4,FALSE)</f>
        <v>Tops</v>
      </c>
      <c r="E26" s="4" t="str">
        <f>VLOOKUP(A26,'f Excel formulas for calculatio'!A:G,5,FALSE)</f>
        <v>Moon, Mora and Santos</v>
      </c>
      <c r="F26" s="4">
        <f>VLOOKUP(A26,'f Excel formulas for calculatio'!A:G,6,FALSE)</f>
        <v>0</v>
      </c>
      <c r="G26" s="4">
        <f>VLOOKUP(A26,'f Excel formulas for calculatio'!A:G,7,FALSE)</f>
        <v>360</v>
      </c>
      <c r="I26" s="24" t="s">
        <v>116</v>
      </c>
      <c r="J26" s="4" t="str">
        <f t="shared" si="1"/>
        <v>Men's Formal Shirt</v>
      </c>
      <c r="K26" s="4" t="str">
        <f t="shared" si="2"/>
        <v>Clothing</v>
      </c>
      <c r="L26" s="4" t="str">
        <f t="shared" si="3"/>
        <v>Tops</v>
      </c>
      <c r="M26" s="4" t="str">
        <f t="shared" si="4"/>
        <v>Moon, Mora and Santos</v>
      </c>
      <c r="N26" s="4">
        <f t="shared" si="5"/>
        <v>0</v>
      </c>
      <c r="O26" s="4">
        <f t="shared" si="6"/>
        <v>360</v>
      </c>
    </row>
    <row r="27" spans="1:15" x14ac:dyDescent="0.25">
      <c r="A27" s="23" t="s">
        <v>119</v>
      </c>
      <c r="B27" s="4" t="str">
        <f>VLOOKUP(A27,'f Excel formulas for calculatio'!A:G,2,FALSE)</f>
        <v>Foldable Camping Chair</v>
      </c>
      <c r="C27" s="4" t="str">
        <f>VLOOKUP(A27,'f Excel formulas for calculatio'!A:G,3,FALSE)</f>
        <v>Sports</v>
      </c>
      <c r="D27" s="4" t="str">
        <f>VLOOKUP(A27,'f Excel formulas for calculatio'!A:G,4,FALSE)</f>
        <v>Outdoor</v>
      </c>
      <c r="E27" s="4" t="str">
        <f>VLOOKUP(A27,'f Excel formulas for calculatio'!A:G,5,FALSE)</f>
        <v>Cook Ltd</v>
      </c>
      <c r="F27" s="4">
        <f>VLOOKUP(A27,'f Excel formulas for calculatio'!A:G,6,FALSE)</f>
        <v>166.06</v>
      </c>
      <c r="G27" s="4">
        <f>VLOOKUP(A27,'f Excel formulas for calculatio'!A:G,7,FALSE)</f>
        <v>340</v>
      </c>
      <c r="I27" s="23" t="s">
        <v>119</v>
      </c>
      <c r="J27" s="4" t="str">
        <f t="shared" si="1"/>
        <v>Foldable Camping Chair</v>
      </c>
      <c r="K27" s="4" t="str">
        <f t="shared" si="2"/>
        <v>Sports</v>
      </c>
      <c r="L27" s="4" t="str">
        <f t="shared" si="3"/>
        <v>Outdoor</v>
      </c>
      <c r="M27" s="4" t="str">
        <f t="shared" si="4"/>
        <v>Cook Ltd</v>
      </c>
      <c r="N27" s="4">
        <f t="shared" si="5"/>
        <v>166.06</v>
      </c>
      <c r="O27" s="4">
        <f t="shared" si="6"/>
        <v>340</v>
      </c>
    </row>
    <row r="28" spans="1:15" x14ac:dyDescent="0.25">
      <c r="A28" s="24" t="s">
        <v>123</v>
      </c>
      <c r="B28" s="4" t="str">
        <f>VLOOKUP(A28,'f Excel formulas for calculatio'!A:G,2,FALSE)</f>
        <v>Women's Scarf Set</v>
      </c>
      <c r="C28" s="4" t="str">
        <f>VLOOKUP(A28,'f Excel formulas for calculatio'!A:G,3,FALSE)</f>
        <v>Clothing</v>
      </c>
      <c r="D28" s="4" t="str">
        <f>VLOOKUP(A28,'f Excel formulas for calculatio'!A:G,4,FALSE)</f>
        <v>Accessories</v>
      </c>
      <c r="E28" s="4" t="str">
        <f>VLOOKUP(A28,'f Excel formulas for calculatio'!A:G,5,FALSE)</f>
        <v>Brown and Sons</v>
      </c>
      <c r="F28" s="4">
        <f>VLOOKUP(A28,'f Excel formulas for calculatio'!A:G,6,FALSE)</f>
        <v>174.02</v>
      </c>
      <c r="G28" s="4">
        <f>VLOOKUP(A28,'f Excel formulas for calculatio'!A:G,7,FALSE)</f>
        <v>268</v>
      </c>
      <c r="I28" s="24" t="s">
        <v>123</v>
      </c>
      <c r="J28" s="4" t="str">
        <f t="shared" si="1"/>
        <v>Women's Scarf Set</v>
      </c>
      <c r="K28" s="4" t="str">
        <f t="shared" si="2"/>
        <v>Clothing</v>
      </c>
      <c r="L28" s="4" t="str">
        <f t="shared" si="3"/>
        <v>Accessories</v>
      </c>
      <c r="M28" s="4" t="str">
        <f t="shared" si="4"/>
        <v>Brown and Sons</v>
      </c>
      <c r="N28" s="4">
        <f t="shared" si="5"/>
        <v>174.02</v>
      </c>
      <c r="O28" s="4">
        <f t="shared" si="6"/>
        <v>268</v>
      </c>
    </row>
    <row r="29" spans="1:15" x14ac:dyDescent="0.25">
      <c r="A29" s="23" t="s">
        <v>126</v>
      </c>
      <c r="B29" s="4" t="str">
        <f>VLOOKUP(A29,'f Excel formulas for calculatio'!A:G,2,FALSE)</f>
        <v>Wireless Bluetooth Speaker</v>
      </c>
      <c r="C29" s="4" t="str">
        <f>VLOOKUP(A29,'f Excel formulas for calculatio'!A:G,3,FALSE)</f>
        <v>Electronics</v>
      </c>
      <c r="D29" s="4" t="str">
        <f>VLOOKUP(A29,'f Excel formulas for calculatio'!A:G,4,FALSE)</f>
        <v>Audio</v>
      </c>
      <c r="E29" s="4" t="str">
        <f>VLOOKUP(A29,'f Excel formulas for calculatio'!A:G,5,FALSE)</f>
        <v>Reed-Schmidt</v>
      </c>
      <c r="F29" s="4">
        <f>VLOOKUP(A29,'f Excel formulas for calculatio'!A:G,6,FALSE)</f>
        <v>322.41000000000003</v>
      </c>
      <c r="G29" s="4">
        <f>VLOOKUP(A29,'f Excel formulas for calculatio'!A:G,7,FALSE)</f>
        <v>213</v>
      </c>
      <c r="I29" s="23" t="s">
        <v>126</v>
      </c>
      <c r="J29" s="4" t="str">
        <f t="shared" si="1"/>
        <v>Wireless Bluetooth Speaker</v>
      </c>
      <c r="K29" s="4" t="str">
        <f t="shared" si="2"/>
        <v>Electronics</v>
      </c>
      <c r="L29" s="4" t="str">
        <f t="shared" si="3"/>
        <v>Audio</v>
      </c>
      <c r="M29" s="4" t="str">
        <f t="shared" si="4"/>
        <v>Reed-Schmidt</v>
      </c>
      <c r="N29" s="4">
        <f t="shared" si="5"/>
        <v>322.41000000000003</v>
      </c>
      <c r="O29" s="4">
        <f t="shared" si="6"/>
        <v>213</v>
      </c>
    </row>
    <row r="30" spans="1:15" x14ac:dyDescent="0.25">
      <c r="A30" s="24" t="s">
        <v>129</v>
      </c>
      <c r="B30" s="4" t="str">
        <f>VLOOKUP(A30,'f Excel formulas for calculatio'!A:G,2,FALSE)</f>
        <v>Decorative Floor Vase</v>
      </c>
      <c r="C30" s="4" t="str">
        <f>VLOOKUP(A30,'f Excel formulas for calculatio'!A:G,3,FALSE)</f>
        <v>Home</v>
      </c>
      <c r="D30" s="4" t="str">
        <f>VLOOKUP(A30,'f Excel formulas for calculatio'!A:G,4,FALSE)</f>
        <v>Decor</v>
      </c>
      <c r="E30" s="4" t="str">
        <f>VLOOKUP(A30,'f Excel formulas for calculatio'!A:G,5,FALSE)</f>
        <v>Khan, Jones and Paul</v>
      </c>
      <c r="F30" s="4">
        <f>VLOOKUP(A30,'f Excel formulas for calculatio'!A:G,6,FALSE)</f>
        <v>0</v>
      </c>
      <c r="G30" s="4">
        <f>VLOOKUP(A30,'f Excel formulas for calculatio'!A:G,7,FALSE)</f>
        <v>378</v>
      </c>
      <c r="I30" s="24" t="s">
        <v>129</v>
      </c>
      <c r="J30" s="4" t="str">
        <f t="shared" si="1"/>
        <v>Decorative Floor Vase</v>
      </c>
      <c r="K30" s="4" t="str">
        <f t="shared" si="2"/>
        <v>Home</v>
      </c>
      <c r="L30" s="4" t="str">
        <f t="shared" si="3"/>
        <v>Decor</v>
      </c>
      <c r="M30" s="4" t="str">
        <f t="shared" si="4"/>
        <v>Khan, Jones and Paul</v>
      </c>
      <c r="N30" s="4">
        <f t="shared" si="5"/>
        <v>0</v>
      </c>
      <c r="O30" s="4">
        <f t="shared" si="6"/>
        <v>378</v>
      </c>
    </row>
    <row r="31" spans="1:15" x14ac:dyDescent="0.25">
      <c r="A31" s="23" t="s">
        <v>132</v>
      </c>
      <c r="B31" s="4" t="str">
        <f>VLOOKUP(A31,'f Excel formulas for calculatio'!A:G,2,FALSE)</f>
        <v>Sports Stopwatch Timer</v>
      </c>
      <c r="C31" s="4" t="str">
        <f>VLOOKUP(A31,'f Excel formulas for calculatio'!A:G,3,FALSE)</f>
        <v>Sports</v>
      </c>
      <c r="D31" s="4" t="str">
        <f>VLOOKUP(A31,'f Excel formulas for calculatio'!A:G,4,FALSE)</f>
        <v>Accessories</v>
      </c>
      <c r="E31" s="4" t="str">
        <f>VLOOKUP(A31,'f Excel formulas for calculatio'!A:G,5,FALSE)</f>
        <v>Burns-Hansen</v>
      </c>
      <c r="F31" s="4">
        <f>VLOOKUP(A31,'f Excel formulas for calculatio'!A:G,6,FALSE)</f>
        <v>38.76</v>
      </c>
      <c r="G31" s="4">
        <f>VLOOKUP(A31,'f Excel formulas for calculatio'!A:G,7,FALSE)</f>
        <v>137</v>
      </c>
      <c r="I31" s="23" t="s">
        <v>132</v>
      </c>
      <c r="J31" s="4" t="str">
        <f t="shared" si="1"/>
        <v>Sports Stopwatch Timer</v>
      </c>
      <c r="K31" s="4" t="str">
        <f t="shared" si="2"/>
        <v>Sports</v>
      </c>
      <c r="L31" s="4" t="str">
        <f t="shared" si="3"/>
        <v>Accessories</v>
      </c>
      <c r="M31" s="4" t="str">
        <f t="shared" si="4"/>
        <v>Burns-Hansen</v>
      </c>
      <c r="N31" s="4">
        <f t="shared" si="5"/>
        <v>38.76</v>
      </c>
      <c r="O31" s="4">
        <f t="shared" si="6"/>
        <v>137</v>
      </c>
    </row>
    <row r="32" spans="1:15" x14ac:dyDescent="0.25">
      <c r="A32" s="24" t="s">
        <v>135</v>
      </c>
      <c r="B32" s="4" t="str">
        <f>VLOOKUP(A32,'f Excel formulas for calculatio'!A:G,2,FALSE)</f>
        <v>Fabric Sofa Throw Blanket</v>
      </c>
      <c r="C32" s="4" t="str">
        <f>VLOOKUP(A32,'f Excel formulas for calculatio'!A:G,3,FALSE)</f>
        <v>Home</v>
      </c>
      <c r="D32" s="4" t="str">
        <f>VLOOKUP(A32,'f Excel formulas for calculatio'!A:G,4,FALSE)</f>
        <v>Decor</v>
      </c>
      <c r="E32" s="4" t="str">
        <f>VLOOKUP(A32,'f Excel formulas for calculatio'!A:G,5,FALSE)</f>
        <v>Hoffman Group</v>
      </c>
      <c r="F32" s="4">
        <f>VLOOKUP(A32,'f Excel formulas for calculatio'!A:G,6,FALSE)</f>
        <v>218.48</v>
      </c>
      <c r="G32" s="4">
        <f>VLOOKUP(A32,'f Excel formulas for calculatio'!A:G,7,FALSE)</f>
        <v>276</v>
      </c>
      <c r="I32" s="24" t="s">
        <v>135</v>
      </c>
      <c r="J32" s="4" t="str">
        <f t="shared" si="1"/>
        <v>Fabric Sofa Throw Blanket</v>
      </c>
      <c r="K32" s="4" t="str">
        <f t="shared" si="2"/>
        <v>Home</v>
      </c>
      <c r="L32" s="4" t="str">
        <f t="shared" si="3"/>
        <v>Decor</v>
      </c>
      <c r="M32" s="4" t="str">
        <f t="shared" si="4"/>
        <v>Hoffman Group</v>
      </c>
      <c r="N32" s="4">
        <f t="shared" si="5"/>
        <v>218.48</v>
      </c>
      <c r="O32" s="4">
        <f t="shared" si="6"/>
        <v>276</v>
      </c>
    </row>
    <row r="33" spans="1:15" x14ac:dyDescent="0.25">
      <c r="A33" s="23" t="s">
        <v>138</v>
      </c>
      <c r="B33" s="4" t="str">
        <f>VLOOKUP(A33,'f Excel formulas for calculatio'!A:G,2,FALSE)</f>
        <v>Stainless Steel Cutlery Set</v>
      </c>
      <c r="C33" s="4" t="str">
        <f>VLOOKUP(A33,'f Excel formulas for calculatio'!A:G,3,FALSE)</f>
        <v>Home</v>
      </c>
      <c r="D33" s="4" t="str">
        <f>VLOOKUP(A33,'f Excel formulas for calculatio'!A:G,4,FALSE)</f>
        <v>Kitchen</v>
      </c>
      <c r="E33" s="4" t="str">
        <f>VLOOKUP(A33,'f Excel formulas for calculatio'!A:G,5,FALSE)</f>
        <v>Stevens, Fernandez and Martin</v>
      </c>
      <c r="F33" s="4">
        <f>VLOOKUP(A33,'f Excel formulas for calculatio'!A:G,6,FALSE)</f>
        <v>19.52</v>
      </c>
      <c r="G33" s="4">
        <f>VLOOKUP(A33,'f Excel formulas for calculatio'!A:G,7,FALSE)</f>
        <v>57</v>
      </c>
      <c r="I33" s="23" t="s">
        <v>138</v>
      </c>
      <c r="J33" s="4" t="str">
        <f t="shared" si="1"/>
        <v>Stainless Steel Cutlery Set</v>
      </c>
      <c r="K33" s="4" t="str">
        <f t="shared" si="2"/>
        <v>Home</v>
      </c>
      <c r="L33" s="4" t="str">
        <f t="shared" si="3"/>
        <v>Kitchen</v>
      </c>
      <c r="M33" s="4" t="str">
        <f t="shared" si="4"/>
        <v>Stevens, Fernandez and Martin</v>
      </c>
      <c r="N33" s="4">
        <f t="shared" si="5"/>
        <v>19.52</v>
      </c>
      <c r="O33" s="4">
        <f t="shared" si="6"/>
        <v>57</v>
      </c>
    </row>
    <row r="34" spans="1:15" x14ac:dyDescent="0.25">
      <c r="A34" s="24" t="s">
        <v>141</v>
      </c>
      <c r="B34" s="4" t="str">
        <f>VLOOKUP(A34,'f Excel formulas for calculatio'!A:G,2,FALSE)</f>
        <v>Basketball</v>
      </c>
      <c r="C34" s="4" t="str">
        <f>VLOOKUP(A34,'f Excel formulas for calculatio'!A:G,3,FALSE)</f>
        <v>Sports</v>
      </c>
      <c r="D34" s="4" t="str">
        <f>VLOOKUP(A34,'f Excel formulas for calculatio'!A:G,4,FALSE)</f>
        <v>Team Sports</v>
      </c>
      <c r="E34" s="4" t="str">
        <f>VLOOKUP(A34,'f Excel formulas for calculatio'!A:G,5,FALSE)</f>
        <v>Nolan-Snow</v>
      </c>
      <c r="F34" s="4">
        <f>VLOOKUP(A34,'f Excel formulas for calculatio'!A:G,6,FALSE)</f>
        <v>204.39</v>
      </c>
      <c r="G34" s="4">
        <f>VLOOKUP(A34,'f Excel formulas for calculatio'!A:G,7,FALSE)</f>
        <v>281</v>
      </c>
      <c r="I34" s="24" t="s">
        <v>141</v>
      </c>
      <c r="J34" s="4" t="str">
        <f t="shared" si="1"/>
        <v>Basketball</v>
      </c>
      <c r="K34" s="4" t="str">
        <f t="shared" si="2"/>
        <v>Sports</v>
      </c>
      <c r="L34" s="4" t="str">
        <f t="shared" si="3"/>
        <v>Team Sports</v>
      </c>
      <c r="M34" s="4" t="str">
        <f t="shared" si="4"/>
        <v>Nolan-Snow</v>
      </c>
      <c r="N34" s="4">
        <f t="shared" si="5"/>
        <v>204.39</v>
      </c>
      <c r="O34" s="4">
        <f t="shared" si="6"/>
        <v>281</v>
      </c>
    </row>
    <row r="35" spans="1:15" x14ac:dyDescent="0.25">
      <c r="A35" s="23" t="s">
        <v>145</v>
      </c>
      <c r="B35" s="4" t="str">
        <f>VLOOKUP(A35,'f Excel formulas for calculatio'!A:G,2,FALSE)</f>
        <v>Vitamin C Face Serum</v>
      </c>
      <c r="C35" s="4" t="str">
        <f>VLOOKUP(A35,'f Excel formulas for calculatio'!A:G,3,FALSE)</f>
        <v>Beauty</v>
      </c>
      <c r="D35" s="4" t="str">
        <f>VLOOKUP(A35,'f Excel formulas for calculatio'!A:G,4,FALSE)</f>
        <v>Skincare</v>
      </c>
      <c r="E35" s="4" t="str">
        <f>VLOOKUP(A35,'f Excel formulas for calculatio'!A:G,5,FALSE)</f>
        <v>Griffin Ltd</v>
      </c>
      <c r="F35" s="4">
        <f>VLOOKUP(A35,'f Excel formulas for calculatio'!A:G,6,FALSE)</f>
        <v>283.83</v>
      </c>
      <c r="G35" s="4">
        <f>VLOOKUP(A35,'f Excel formulas for calculatio'!A:G,7,FALSE)</f>
        <v>244</v>
      </c>
      <c r="I35" s="23" t="s">
        <v>145</v>
      </c>
      <c r="J35" s="4" t="str">
        <f t="shared" si="1"/>
        <v>Vitamin C Face Serum</v>
      </c>
      <c r="K35" s="4" t="str">
        <f t="shared" si="2"/>
        <v>Beauty</v>
      </c>
      <c r="L35" s="4" t="str">
        <f t="shared" si="3"/>
        <v>Skincare</v>
      </c>
      <c r="M35" s="4" t="str">
        <f t="shared" si="4"/>
        <v>Griffin Ltd</v>
      </c>
      <c r="N35" s="4">
        <f t="shared" si="5"/>
        <v>283.83</v>
      </c>
      <c r="O35" s="4">
        <f t="shared" si="6"/>
        <v>244</v>
      </c>
    </row>
    <row r="36" spans="1:15" x14ac:dyDescent="0.25">
      <c r="A36" s="24" t="s">
        <v>148</v>
      </c>
      <c r="B36" s="4" t="str">
        <f>VLOOKUP(A36,'f Excel formulas for calculatio'!A:G,2,FALSE)</f>
        <v>Modern Wall Clock</v>
      </c>
      <c r="C36" s="4" t="str">
        <f>VLOOKUP(A36,'f Excel formulas for calculatio'!A:G,3,FALSE)</f>
        <v>Home</v>
      </c>
      <c r="D36" s="4" t="str">
        <f>VLOOKUP(A36,'f Excel formulas for calculatio'!A:G,4,FALSE)</f>
        <v>Decor</v>
      </c>
      <c r="E36" s="4" t="str">
        <f>VLOOKUP(A36,'f Excel formulas for calculatio'!A:G,5,FALSE)</f>
        <v>Weiss-Watson</v>
      </c>
      <c r="F36" s="4">
        <f>VLOOKUP(A36,'f Excel formulas for calculatio'!A:G,6,FALSE)</f>
        <v>179.77</v>
      </c>
      <c r="G36" s="4">
        <f>VLOOKUP(A36,'f Excel formulas for calculatio'!A:G,7,FALSE)</f>
        <v>305</v>
      </c>
      <c r="I36" s="24" t="s">
        <v>148</v>
      </c>
      <c r="J36" s="4" t="str">
        <f t="shared" si="1"/>
        <v>Modern Wall Clock</v>
      </c>
      <c r="K36" s="4" t="str">
        <f t="shared" si="2"/>
        <v>Home</v>
      </c>
      <c r="L36" s="4" t="str">
        <f t="shared" si="3"/>
        <v>Decor</v>
      </c>
      <c r="M36" s="4" t="str">
        <f t="shared" si="4"/>
        <v>Weiss-Watson</v>
      </c>
      <c r="N36" s="4">
        <f t="shared" si="5"/>
        <v>179.77</v>
      </c>
      <c r="O36" s="4">
        <f t="shared" si="6"/>
        <v>305</v>
      </c>
    </row>
    <row r="37" spans="1:15" x14ac:dyDescent="0.25">
      <c r="A37" s="23" t="s">
        <v>151</v>
      </c>
      <c r="B37" s="4" t="str">
        <f>VLOOKUP(A37,'f Excel formulas for calculatio'!A:G,2,FALSE)</f>
        <v>Gaming Mechanical Keyboard</v>
      </c>
      <c r="C37" s="4" t="str">
        <f>VLOOKUP(A37,'f Excel formulas for calculatio'!A:G,3,FALSE)</f>
        <v>Electronics</v>
      </c>
      <c r="D37" s="4" t="str">
        <f>VLOOKUP(A37,'f Excel formulas for calculatio'!A:G,4,FALSE)</f>
        <v>Computer</v>
      </c>
      <c r="E37" s="4" t="str">
        <f>VLOOKUP(A37,'f Excel formulas for calculatio'!A:G,5,FALSE)</f>
        <v>Lucero LLC</v>
      </c>
      <c r="F37" s="4">
        <f>VLOOKUP(A37,'f Excel formulas for calculatio'!A:G,6,FALSE)</f>
        <v>419.28</v>
      </c>
      <c r="G37" s="4">
        <f>VLOOKUP(A37,'f Excel formulas for calculatio'!A:G,7,FALSE)</f>
        <v>86</v>
      </c>
      <c r="I37" s="23" t="s">
        <v>151</v>
      </c>
      <c r="J37" s="4" t="str">
        <f t="shared" si="1"/>
        <v>Gaming Mechanical Keyboard</v>
      </c>
      <c r="K37" s="4" t="str">
        <f t="shared" si="2"/>
        <v>Electronics</v>
      </c>
      <c r="L37" s="4" t="str">
        <f t="shared" si="3"/>
        <v>Computer</v>
      </c>
      <c r="M37" s="4" t="str">
        <f t="shared" si="4"/>
        <v>Lucero LLC</v>
      </c>
      <c r="N37" s="4">
        <f t="shared" si="5"/>
        <v>419.28</v>
      </c>
      <c r="O37" s="4">
        <f t="shared" si="6"/>
        <v>86</v>
      </c>
    </row>
    <row r="38" spans="1:15" x14ac:dyDescent="0.25">
      <c r="A38" s="24" t="s">
        <v>154</v>
      </c>
      <c r="B38" s="4" t="str">
        <f>VLOOKUP(A38,'f Excel formulas for calculatio'!A:G,2,FALSE)</f>
        <v>Bedroom Table Lamp</v>
      </c>
      <c r="C38" s="4" t="str">
        <f>VLOOKUP(A38,'f Excel formulas for calculatio'!A:G,3,FALSE)</f>
        <v>Home</v>
      </c>
      <c r="D38" s="4" t="str">
        <f>VLOOKUP(A38,'f Excel formulas for calculatio'!A:G,4,FALSE)</f>
        <v>Lighting</v>
      </c>
      <c r="E38" s="4" t="str">
        <f>VLOOKUP(A38,'f Excel formulas for calculatio'!A:G,5,FALSE)</f>
        <v>Jones LLC</v>
      </c>
      <c r="F38" s="4">
        <f>VLOOKUP(A38,'f Excel formulas for calculatio'!A:G,6,FALSE)</f>
        <v>382.22</v>
      </c>
      <c r="G38" s="4">
        <f>VLOOKUP(A38,'f Excel formulas for calculatio'!A:G,7,FALSE)</f>
        <v>329</v>
      </c>
      <c r="I38" s="24" t="s">
        <v>154</v>
      </c>
      <c r="J38" s="4" t="str">
        <f t="shared" si="1"/>
        <v>Bedroom Table Lamp</v>
      </c>
      <c r="K38" s="4" t="str">
        <f t="shared" si="2"/>
        <v>Home</v>
      </c>
      <c r="L38" s="4" t="str">
        <f t="shared" si="3"/>
        <v>Lighting</v>
      </c>
      <c r="M38" s="4" t="str">
        <f t="shared" si="4"/>
        <v>Jones LLC</v>
      </c>
      <c r="N38" s="4">
        <f t="shared" si="5"/>
        <v>382.22</v>
      </c>
      <c r="O38" s="4">
        <f t="shared" si="6"/>
        <v>329</v>
      </c>
    </row>
    <row r="39" spans="1:15" x14ac:dyDescent="0.25">
      <c r="A39" s="23" t="s">
        <v>157</v>
      </c>
      <c r="B39" s="4" t="str">
        <f>VLOOKUP(A39,'f Excel formulas for calculatio'!A:G,2,FALSE)</f>
        <v>Women's Summer Dress</v>
      </c>
      <c r="C39" s="4" t="str">
        <f>VLOOKUP(A39,'f Excel formulas for calculatio'!A:G,3,FALSE)</f>
        <v>Clothing</v>
      </c>
      <c r="D39" s="4" t="str">
        <f>VLOOKUP(A39,'f Excel formulas for calculatio'!A:G,4,FALSE)</f>
        <v>Tops</v>
      </c>
      <c r="E39" s="4" t="str">
        <f>VLOOKUP(A39,'f Excel formulas for calculatio'!A:G,5,FALSE)</f>
        <v>Smith-Mills</v>
      </c>
      <c r="F39" s="4">
        <f>VLOOKUP(A39,'f Excel formulas for calculatio'!A:G,6,FALSE)</f>
        <v>223.43</v>
      </c>
      <c r="G39" s="4">
        <f>VLOOKUP(A39,'f Excel formulas for calculatio'!A:G,7,FALSE)</f>
        <v>154</v>
      </c>
      <c r="I39" s="23" t="s">
        <v>157</v>
      </c>
      <c r="J39" s="4" t="str">
        <f t="shared" si="1"/>
        <v>Women's Summer Dress</v>
      </c>
      <c r="K39" s="4" t="str">
        <f t="shared" si="2"/>
        <v>Clothing</v>
      </c>
      <c r="L39" s="4" t="str">
        <f t="shared" si="3"/>
        <v>Tops</v>
      </c>
      <c r="M39" s="4" t="str">
        <f t="shared" si="4"/>
        <v>Smith-Mills</v>
      </c>
      <c r="N39" s="4">
        <f t="shared" si="5"/>
        <v>223.43</v>
      </c>
      <c r="O39" s="4">
        <f t="shared" si="6"/>
        <v>154</v>
      </c>
    </row>
    <row r="40" spans="1:15" x14ac:dyDescent="0.25">
      <c r="A40" s="24" t="s">
        <v>160</v>
      </c>
      <c r="B40" s="4" t="str">
        <f>VLOOKUP(A40,'f Excel formulas for calculatio'!A:G,2,FALSE)</f>
        <v>Men's Casual Sneakers</v>
      </c>
      <c r="C40" s="4" t="str">
        <f>VLOOKUP(A40,'f Excel formulas for calculatio'!A:G,3,FALSE)</f>
        <v>Clothing</v>
      </c>
      <c r="D40" s="4" t="str">
        <f>VLOOKUP(A40,'f Excel formulas for calculatio'!A:G,4,FALSE)</f>
        <v>Footwear</v>
      </c>
      <c r="E40" s="4" t="str">
        <f>VLOOKUP(A40,'f Excel formulas for calculatio'!A:G,5,FALSE)</f>
        <v>Hogan-Lee</v>
      </c>
      <c r="F40" s="4">
        <f>VLOOKUP(A40,'f Excel formulas for calculatio'!A:G,6,FALSE)</f>
        <v>353.47</v>
      </c>
      <c r="G40" s="4">
        <f>VLOOKUP(A40,'f Excel formulas for calculatio'!A:G,7,FALSE)</f>
        <v>214</v>
      </c>
      <c r="I40" s="24" t="s">
        <v>160</v>
      </c>
      <c r="J40" s="4" t="str">
        <f t="shared" si="1"/>
        <v>Men's Casual Sneakers</v>
      </c>
      <c r="K40" s="4" t="str">
        <f t="shared" si="2"/>
        <v>Clothing</v>
      </c>
      <c r="L40" s="4" t="str">
        <f t="shared" si="3"/>
        <v>Footwear</v>
      </c>
      <c r="M40" s="4" t="str">
        <f t="shared" si="4"/>
        <v>Hogan-Lee</v>
      </c>
      <c r="N40" s="4">
        <f t="shared" si="5"/>
        <v>353.47</v>
      </c>
      <c r="O40" s="4">
        <f t="shared" si="6"/>
        <v>214</v>
      </c>
    </row>
    <row r="41" spans="1:15" x14ac:dyDescent="0.25">
      <c r="A41" s="23" t="s">
        <v>164</v>
      </c>
      <c r="B41" s="4" t="str">
        <f>VLOOKUP(A41,'f Excel formulas for calculatio'!A:G,2,FALSE)</f>
        <v>Sports Water Hydration Pack</v>
      </c>
      <c r="C41" s="4" t="str">
        <f>VLOOKUP(A41,'f Excel formulas for calculatio'!A:G,3,FALSE)</f>
        <v>Sports</v>
      </c>
      <c r="D41" s="4" t="str">
        <f>VLOOKUP(A41,'f Excel formulas for calculatio'!A:G,4,FALSE)</f>
        <v>Outdoor</v>
      </c>
      <c r="E41" s="4" t="str">
        <f>VLOOKUP(A41,'f Excel formulas for calculatio'!A:G,5,FALSE)</f>
        <v>Sims-Smith</v>
      </c>
      <c r="F41" s="4">
        <f>VLOOKUP(A41,'f Excel formulas for calculatio'!A:G,6,FALSE)</f>
        <v>135.61000000000001</v>
      </c>
      <c r="G41" s="4">
        <f>VLOOKUP(A41,'f Excel formulas for calculatio'!A:G,7,FALSE)</f>
        <v>394</v>
      </c>
      <c r="I41" s="23" t="s">
        <v>164</v>
      </c>
      <c r="J41" s="4" t="str">
        <f t="shared" si="1"/>
        <v>Sports Water Hydration Pack</v>
      </c>
      <c r="K41" s="4" t="str">
        <f t="shared" si="2"/>
        <v>Sports</v>
      </c>
      <c r="L41" s="4" t="str">
        <f t="shared" si="3"/>
        <v>Outdoor</v>
      </c>
      <c r="M41" s="4" t="str">
        <f t="shared" si="4"/>
        <v>Sims-Smith</v>
      </c>
      <c r="N41" s="4">
        <f t="shared" si="5"/>
        <v>135.61000000000001</v>
      </c>
      <c r="O41" s="4">
        <f t="shared" si="6"/>
        <v>394</v>
      </c>
    </row>
    <row r="42" spans="1:15" x14ac:dyDescent="0.25">
      <c r="A42" s="24" t="s">
        <v>167</v>
      </c>
      <c r="B42" s="4" t="str">
        <f>VLOOKUP(A42,'f Excel formulas for calculatio'!A:G,2,FALSE)</f>
        <v>Portable Power Bank</v>
      </c>
      <c r="C42" s="4" t="str">
        <f>VLOOKUP(A42,'f Excel formulas for calculatio'!A:G,3,FALSE)</f>
        <v>Electronics</v>
      </c>
      <c r="D42" s="4" t="str">
        <f>VLOOKUP(A42,'f Excel formulas for calculatio'!A:G,4,FALSE)</f>
        <v>Mobile</v>
      </c>
      <c r="E42" s="4" t="str">
        <f>VLOOKUP(A42,'f Excel formulas for calculatio'!A:G,5,FALSE)</f>
        <v>Cummings and Sons</v>
      </c>
      <c r="F42" s="4">
        <f>VLOOKUP(A42,'f Excel formulas for calculatio'!A:G,6,FALSE)</f>
        <v>326.06</v>
      </c>
      <c r="G42" s="4">
        <f>VLOOKUP(A42,'f Excel formulas for calculatio'!A:G,7,FALSE)</f>
        <v>301</v>
      </c>
      <c r="I42" s="24" t="s">
        <v>167</v>
      </c>
      <c r="J42" s="4" t="str">
        <f t="shared" si="1"/>
        <v>Portable Power Bank</v>
      </c>
      <c r="K42" s="4" t="str">
        <f t="shared" si="2"/>
        <v>Electronics</v>
      </c>
      <c r="L42" s="4" t="str">
        <f t="shared" si="3"/>
        <v>Mobile</v>
      </c>
      <c r="M42" s="4" t="str">
        <f t="shared" si="4"/>
        <v>Cummings and Sons</v>
      </c>
      <c r="N42" s="4">
        <f t="shared" si="5"/>
        <v>326.06</v>
      </c>
      <c r="O42" s="4">
        <f t="shared" si="6"/>
        <v>301</v>
      </c>
    </row>
    <row r="43" spans="1:15" x14ac:dyDescent="0.25">
      <c r="A43" s="23" t="s">
        <v>171</v>
      </c>
      <c r="B43" s="4" t="str">
        <f>VLOOKUP(A43,'f Excel formulas for calculatio'!A:G,2,FALSE)</f>
        <v>Noise-Canceling Headphones</v>
      </c>
      <c r="C43" s="4" t="str">
        <f>VLOOKUP(A43,'f Excel formulas for calculatio'!A:G,3,FALSE)</f>
        <v>Electronics</v>
      </c>
      <c r="D43" s="4" t="str">
        <f>VLOOKUP(A43,'f Excel formulas for calculatio'!A:G,4,FALSE)</f>
        <v>Audio</v>
      </c>
      <c r="E43" s="4" t="str">
        <f>VLOOKUP(A43,'f Excel formulas for calculatio'!A:G,5,FALSE)</f>
        <v>Taylor-Hart</v>
      </c>
      <c r="F43" s="4">
        <f>VLOOKUP(A43,'f Excel formulas for calculatio'!A:G,6,FALSE)</f>
        <v>38.520000000000003</v>
      </c>
      <c r="G43" s="4">
        <f>VLOOKUP(A43,'f Excel formulas for calculatio'!A:G,7,FALSE)</f>
        <v>378</v>
      </c>
      <c r="I43" s="23" t="s">
        <v>171</v>
      </c>
      <c r="J43" s="4" t="str">
        <f t="shared" si="1"/>
        <v>Noise-Canceling Headphones</v>
      </c>
      <c r="K43" s="4" t="str">
        <f t="shared" si="2"/>
        <v>Electronics</v>
      </c>
      <c r="L43" s="4" t="str">
        <f t="shared" si="3"/>
        <v>Audio</v>
      </c>
      <c r="M43" s="4" t="str">
        <f t="shared" si="4"/>
        <v>Taylor-Hart</v>
      </c>
      <c r="N43" s="4">
        <f t="shared" si="5"/>
        <v>38.520000000000003</v>
      </c>
      <c r="O43" s="4">
        <f t="shared" si="6"/>
        <v>378</v>
      </c>
    </row>
    <row r="44" spans="1:15" x14ac:dyDescent="0.25">
      <c r="A44" s="24" t="s">
        <v>174</v>
      </c>
      <c r="B44" s="4" t="str">
        <f>VLOOKUP(A44,'f Excel formulas for calculatio'!A:G,2,FALSE)</f>
        <v>Yoga Exercise Mat</v>
      </c>
      <c r="C44" s="4" t="str">
        <f>VLOOKUP(A44,'f Excel formulas for calculatio'!A:G,3,FALSE)</f>
        <v>Sports</v>
      </c>
      <c r="D44" s="4" t="str">
        <f>VLOOKUP(A44,'f Excel formulas for calculatio'!A:G,4,FALSE)</f>
        <v>Fitness</v>
      </c>
      <c r="E44" s="4" t="str">
        <f>VLOOKUP(A44,'f Excel formulas for calculatio'!A:G,5,FALSE)</f>
        <v>Carroll, Long and Mendoza</v>
      </c>
      <c r="F44" s="4">
        <f>VLOOKUP(A44,'f Excel formulas for calculatio'!A:G,6,FALSE)</f>
        <v>313.26</v>
      </c>
      <c r="G44" s="4">
        <f>VLOOKUP(A44,'f Excel formulas for calculatio'!A:G,7,FALSE)</f>
        <v>369</v>
      </c>
      <c r="I44" s="24" t="s">
        <v>174</v>
      </c>
      <c r="J44" s="4" t="str">
        <f t="shared" si="1"/>
        <v>Yoga Exercise Mat</v>
      </c>
      <c r="K44" s="4" t="str">
        <f t="shared" si="2"/>
        <v>Sports</v>
      </c>
      <c r="L44" s="4" t="str">
        <f t="shared" si="3"/>
        <v>Fitness</v>
      </c>
      <c r="M44" s="4" t="str">
        <f t="shared" si="4"/>
        <v>Carroll, Long and Mendoza</v>
      </c>
      <c r="N44" s="4">
        <f t="shared" si="5"/>
        <v>313.26</v>
      </c>
      <c r="O44" s="4">
        <f t="shared" si="6"/>
        <v>369</v>
      </c>
    </row>
    <row r="45" spans="1:15" x14ac:dyDescent="0.25">
      <c r="A45" s="23" t="s">
        <v>177</v>
      </c>
      <c r="B45" s="4" t="str">
        <f>VLOOKUP(A45,'f Excel formulas for calculatio'!A:G,2,FALSE)</f>
        <v>Smart Home WiFi Camera</v>
      </c>
      <c r="C45" s="4" t="str">
        <f>VLOOKUP(A45,'f Excel formulas for calculatio'!A:G,3,FALSE)</f>
        <v>Electronics</v>
      </c>
      <c r="D45" s="4" t="str">
        <f>VLOOKUP(A45,'f Excel formulas for calculatio'!A:G,4,FALSE)</f>
        <v>Accessories</v>
      </c>
      <c r="E45" s="4" t="str">
        <f>VLOOKUP(A45,'f Excel formulas for calculatio'!A:G,5,FALSE)</f>
        <v>Holmes LLC</v>
      </c>
      <c r="F45" s="4">
        <f>VLOOKUP(A45,'f Excel formulas for calculatio'!A:G,6,FALSE)</f>
        <v>450.71</v>
      </c>
      <c r="G45" s="4">
        <f>VLOOKUP(A45,'f Excel formulas for calculatio'!A:G,7,FALSE)</f>
        <v>389</v>
      </c>
      <c r="I45" s="23" t="s">
        <v>177</v>
      </c>
      <c r="J45" s="4" t="str">
        <f t="shared" si="1"/>
        <v>Smart Home WiFi Camera</v>
      </c>
      <c r="K45" s="4" t="str">
        <f t="shared" si="2"/>
        <v>Electronics</v>
      </c>
      <c r="L45" s="4" t="str">
        <f t="shared" si="3"/>
        <v>Accessories</v>
      </c>
      <c r="M45" s="4" t="str">
        <f t="shared" si="4"/>
        <v>Holmes LLC</v>
      </c>
      <c r="N45" s="4">
        <f t="shared" si="5"/>
        <v>450.71</v>
      </c>
      <c r="O45" s="4">
        <f t="shared" si="6"/>
        <v>389</v>
      </c>
    </row>
    <row r="46" spans="1:15" x14ac:dyDescent="0.25">
      <c r="A46" s="24" t="s">
        <v>180</v>
      </c>
      <c r="B46" s="4" t="str">
        <f>VLOOKUP(A46,'f Excel formulas for calculatio'!A:G,2,FALSE)</f>
        <v>USB External Hard Drive</v>
      </c>
      <c r="C46" s="4" t="str">
        <f>VLOOKUP(A46,'f Excel formulas for calculatio'!A:G,3,FALSE)</f>
        <v>Electronics</v>
      </c>
      <c r="D46" s="4" t="str">
        <f>VLOOKUP(A46,'f Excel formulas for calculatio'!A:G,4,FALSE)</f>
        <v>Computer</v>
      </c>
      <c r="E46" s="4" t="str">
        <f>VLOOKUP(A46,'f Excel formulas for calculatio'!A:G,5,FALSE)</f>
        <v>Robinson Inc</v>
      </c>
      <c r="F46" s="4">
        <f>VLOOKUP(A46,'f Excel formulas for calculatio'!A:G,6,FALSE)</f>
        <v>253.33</v>
      </c>
      <c r="G46" s="4">
        <f>VLOOKUP(A46,'f Excel formulas for calculatio'!A:G,7,FALSE)</f>
        <v>266</v>
      </c>
      <c r="I46" s="24" t="s">
        <v>180</v>
      </c>
      <c r="J46" s="4" t="str">
        <f t="shared" si="1"/>
        <v>USB External Hard Drive</v>
      </c>
      <c r="K46" s="4" t="str">
        <f t="shared" si="2"/>
        <v>Electronics</v>
      </c>
      <c r="L46" s="4" t="str">
        <f t="shared" si="3"/>
        <v>Computer</v>
      </c>
      <c r="M46" s="4" t="str">
        <f t="shared" si="4"/>
        <v>Robinson Inc</v>
      </c>
      <c r="N46" s="4">
        <f t="shared" si="5"/>
        <v>253.33</v>
      </c>
      <c r="O46" s="4">
        <f t="shared" si="6"/>
        <v>266</v>
      </c>
    </row>
    <row r="47" spans="1:15" x14ac:dyDescent="0.25">
      <c r="A47" s="23" t="s">
        <v>183</v>
      </c>
      <c r="B47" s="4" t="str">
        <f>VLOOKUP(A47,'f Excel formulas for calculatio'!A:G,2,FALSE)</f>
        <v>Adjustable Jump Rope</v>
      </c>
      <c r="C47" s="4" t="str">
        <f>VLOOKUP(A47,'f Excel formulas for calculatio'!A:G,3,FALSE)</f>
        <v>Sports</v>
      </c>
      <c r="D47" s="4" t="str">
        <f>VLOOKUP(A47,'f Excel formulas for calculatio'!A:G,4,FALSE)</f>
        <v>Fitness</v>
      </c>
      <c r="E47" s="4" t="str">
        <f>VLOOKUP(A47,'f Excel formulas for calculatio'!A:G,5,FALSE)</f>
        <v>Cox Inc</v>
      </c>
      <c r="F47" s="4">
        <f>VLOOKUP(A47,'f Excel formulas for calculatio'!A:G,6,FALSE)</f>
        <v>167.12</v>
      </c>
      <c r="G47" s="4">
        <f>VLOOKUP(A47,'f Excel formulas for calculatio'!A:G,7,FALSE)</f>
        <v>316</v>
      </c>
      <c r="I47" s="23" t="s">
        <v>183</v>
      </c>
      <c r="J47" s="4" t="str">
        <f t="shared" si="1"/>
        <v>Adjustable Jump Rope</v>
      </c>
      <c r="K47" s="4" t="str">
        <f t="shared" si="2"/>
        <v>Sports</v>
      </c>
      <c r="L47" s="4" t="str">
        <f t="shared" si="3"/>
        <v>Fitness</v>
      </c>
      <c r="M47" s="4" t="str">
        <f t="shared" si="4"/>
        <v>Cox Inc</v>
      </c>
      <c r="N47" s="4">
        <f t="shared" si="5"/>
        <v>167.12</v>
      </c>
      <c r="O47" s="4">
        <f t="shared" si="6"/>
        <v>316</v>
      </c>
    </row>
    <row r="48" spans="1:15" x14ac:dyDescent="0.25">
      <c r="A48" s="24" t="s">
        <v>186</v>
      </c>
      <c r="B48" s="4" t="str">
        <f>VLOOKUP(A48,'f Excel formulas for calculatio'!A:G,2,FALSE)</f>
        <v>High-Grip Football</v>
      </c>
      <c r="C48" s="4" t="str">
        <f>VLOOKUP(A48,'f Excel formulas for calculatio'!A:G,3,FALSE)</f>
        <v>Sports</v>
      </c>
      <c r="D48" s="4" t="str">
        <f>VLOOKUP(A48,'f Excel formulas for calculatio'!A:G,4,FALSE)</f>
        <v>Team Sports</v>
      </c>
      <c r="E48" s="4" t="str">
        <f>VLOOKUP(A48,'f Excel formulas for calculatio'!A:G,5,FALSE)</f>
        <v>Bridges, Banks and Cummings</v>
      </c>
      <c r="F48" s="4">
        <f>VLOOKUP(A48,'f Excel formulas for calculatio'!A:G,6,FALSE)</f>
        <v>318.91000000000003</v>
      </c>
      <c r="G48" s="4">
        <f>VLOOKUP(A48,'f Excel formulas for calculatio'!A:G,7,FALSE)</f>
        <v>114</v>
      </c>
      <c r="I48" s="24" t="s">
        <v>186</v>
      </c>
      <c r="J48" s="4" t="str">
        <f t="shared" si="1"/>
        <v>High-Grip Football</v>
      </c>
      <c r="K48" s="4" t="str">
        <f t="shared" si="2"/>
        <v>Sports</v>
      </c>
      <c r="L48" s="4" t="str">
        <f t="shared" si="3"/>
        <v>Team Sports</v>
      </c>
      <c r="M48" s="4" t="str">
        <f t="shared" si="4"/>
        <v>Bridges, Banks and Cummings</v>
      </c>
      <c r="N48" s="4">
        <f t="shared" si="5"/>
        <v>318.91000000000003</v>
      </c>
      <c r="O48" s="4">
        <f t="shared" si="6"/>
        <v>114</v>
      </c>
    </row>
    <row r="49" spans="1:15" x14ac:dyDescent="0.25">
      <c r="A49" s="23" t="s">
        <v>189</v>
      </c>
      <c r="B49" s="4" t="str">
        <f>VLOOKUP(A49,'f Excel formulas for calculatio'!A:G,2,FALSE)</f>
        <v>Men's Winter Jacket</v>
      </c>
      <c r="C49" s="4" t="str">
        <f>VLOOKUP(A49,'f Excel formulas for calculatio'!A:G,3,FALSE)</f>
        <v>Clothing</v>
      </c>
      <c r="D49" s="4" t="str">
        <f>VLOOKUP(A49,'f Excel formulas for calculatio'!A:G,4,FALSE)</f>
        <v>Outerwear</v>
      </c>
      <c r="E49" s="4" t="str">
        <f>VLOOKUP(A49,'f Excel formulas for calculatio'!A:G,5,FALSE)</f>
        <v>Kelly, Smith and Perez</v>
      </c>
      <c r="F49" s="4">
        <f>VLOOKUP(A49,'f Excel formulas for calculatio'!A:G,6,FALSE)</f>
        <v>167.34</v>
      </c>
      <c r="G49" s="4">
        <f>VLOOKUP(A49,'f Excel formulas for calculatio'!A:G,7,FALSE)</f>
        <v>296</v>
      </c>
      <c r="I49" s="23" t="s">
        <v>189</v>
      </c>
      <c r="J49" s="4" t="str">
        <f t="shared" si="1"/>
        <v>Men's Winter Jacket</v>
      </c>
      <c r="K49" s="4" t="str">
        <f t="shared" si="2"/>
        <v>Clothing</v>
      </c>
      <c r="L49" s="4" t="str">
        <f t="shared" si="3"/>
        <v>Outerwear</v>
      </c>
      <c r="M49" s="4" t="str">
        <f t="shared" si="4"/>
        <v>Kelly, Smith and Perez</v>
      </c>
      <c r="N49" s="4">
        <f t="shared" si="5"/>
        <v>167.34</v>
      </c>
      <c r="O49" s="4">
        <f t="shared" si="6"/>
        <v>296</v>
      </c>
    </row>
    <row r="50" spans="1:15" x14ac:dyDescent="0.25">
      <c r="A50" s="24" t="s">
        <v>192</v>
      </c>
      <c r="B50" s="4" t="str">
        <f>VLOOKUP(A50,'f Excel formulas for calculatio'!A:G,2,FALSE)</f>
        <v>Makeup Brush Set</v>
      </c>
      <c r="C50" s="4" t="str">
        <f>VLOOKUP(A50,'f Excel formulas for calculatio'!A:G,3,FALSE)</f>
        <v>Beauty</v>
      </c>
      <c r="D50" s="4" t="str">
        <f>VLOOKUP(A50,'f Excel formulas for calculatio'!A:G,4,FALSE)</f>
        <v>Makeup</v>
      </c>
      <c r="E50" s="4" t="str">
        <f>VLOOKUP(A50,'f Excel formulas for calculatio'!A:G,5,FALSE)</f>
        <v>Cook Inc</v>
      </c>
      <c r="F50" s="4">
        <f>VLOOKUP(A50,'f Excel formulas for calculatio'!A:G,6,FALSE)</f>
        <v>0</v>
      </c>
      <c r="G50" s="4">
        <f>VLOOKUP(A50,'f Excel formulas for calculatio'!A:G,7,FALSE)</f>
        <v>431</v>
      </c>
      <c r="I50" s="24" t="s">
        <v>192</v>
      </c>
      <c r="J50" s="4" t="str">
        <f t="shared" si="1"/>
        <v>Makeup Brush Set</v>
      </c>
      <c r="K50" s="4" t="str">
        <f t="shared" si="2"/>
        <v>Beauty</v>
      </c>
      <c r="L50" s="4" t="str">
        <f t="shared" si="3"/>
        <v>Makeup</v>
      </c>
      <c r="M50" s="4" t="str">
        <f t="shared" si="4"/>
        <v>Cook Inc</v>
      </c>
      <c r="N50" s="4">
        <f t="shared" si="5"/>
        <v>0</v>
      </c>
      <c r="O50" s="4">
        <f t="shared" si="6"/>
        <v>431</v>
      </c>
    </row>
    <row r="51" spans="1:15" x14ac:dyDescent="0.25">
      <c r="A51" s="23" t="s">
        <v>196</v>
      </c>
      <c r="B51" s="4" t="str">
        <f>VLOOKUP(A51,'f Excel formulas for calculatio'!A:G,2,FALSE)</f>
        <v>Car Dashboard Phone Holder</v>
      </c>
      <c r="C51" s="4" t="str">
        <f>VLOOKUP(A51,'f Excel formulas for calculatio'!A:G,3,FALSE)</f>
        <v>Electronics</v>
      </c>
      <c r="D51" s="4" t="str">
        <f>VLOOKUP(A51,'f Excel formulas for calculatio'!A:G,4,FALSE)</f>
        <v>Accessories</v>
      </c>
      <c r="E51" s="4" t="str">
        <f>VLOOKUP(A51,'f Excel formulas for calculatio'!A:G,5,FALSE)</f>
        <v>Byrd, Stewart and Valdez</v>
      </c>
      <c r="F51" s="4">
        <f>VLOOKUP(A51,'f Excel formulas for calculatio'!A:G,6,FALSE)</f>
        <v>177.98</v>
      </c>
      <c r="G51" s="4">
        <f>VLOOKUP(A51,'f Excel formulas for calculatio'!A:G,7,FALSE)</f>
        <v>103</v>
      </c>
      <c r="I51" s="23" t="s">
        <v>196</v>
      </c>
      <c r="J51" s="4" t="str">
        <f t="shared" si="1"/>
        <v>Car Dashboard Phone Holder</v>
      </c>
      <c r="K51" s="4" t="str">
        <f t="shared" si="2"/>
        <v>Electronics</v>
      </c>
      <c r="L51" s="4" t="str">
        <f t="shared" si="3"/>
        <v>Accessories</v>
      </c>
      <c r="M51" s="4" t="str">
        <f t="shared" si="4"/>
        <v>Byrd, Stewart and Valdez</v>
      </c>
      <c r="N51" s="4">
        <f t="shared" si="5"/>
        <v>177.98</v>
      </c>
      <c r="O51" s="4">
        <f t="shared" si="6"/>
        <v>103</v>
      </c>
    </row>
    <row r="52" spans="1:15" x14ac:dyDescent="0.25">
      <c r="A52" s="24" t="s">
        <v>199</v>
      </c>
      <c r="B52" s="4" t="str">
        <f>VLOOKUP(A52,'f Excel formulas for calculatio'!A:G,2,FALSE)</f>
        <v>Men's Roll-On Perfume</v>
      </c>
      <c r="C52" s="4" t="str">
        <f>VLOOKUP(A52,'f Excel formulas for calculatio'!A:G,3,FALSE)</f>
        <v>Beauty</v>
      </c>
      <c r="D52" s="4" t="str">
        <f>VLOOKUP(A52,'f Excel formulas for calculatio'!A:G,4,FALSE)</f>
        <v>Fragrance</v>
      </c>
      <c r="E52" s="4" t="str">
        <f>VLOOKUP(A52,'f Excel formulas for calculatio'!A:G,5,FALSE)</f>
        <v>Sullivan and Sons</v>
      </c>
      <c r="F52" s="4">
        <f>VLOOKUP(A52,'f Excel formulas for calculatio'!A:G,6,FALSE)</f>
        <v>43.29</v>
      </c>
      <c r="G52" s="4">
        <f>VLOOKUP(A52,'f Excel formulas for calculatio'!A:G,7,FALSE)</f>
        <v>267</v>
      </c>
      <c r="I52" s="24" t="s">
        <v>199</v>
      </c>
      <c r="J52" s="4" t="str">
        <f t="shared" si="1"/>
        <v>Men's Roll-On Perfume</v>
      </c>
      <c r="K52" s="4" t="str">
        <f t="shared" si="2"/>
        <v>Beauty</v>
      </c>
      <c r="L52" s="4" t="str">
        <f t="shared" si="3"/>
        <v>Fragrance</v>
      </c>
      <c r="M52" s="4" t="str">
        <f t="shared" si="4"/>
        <v>Sullivan and Sons</v>
      </c>
      <c r="N52" s="4">
        <f t="shared" si="5"/>
        <v>43.29</v>
      </c>
      <c r="O52" s="4">
        <f t="shared" si="6"/>
        <v>267</v>
      </c>
    </row>
    <row r="53" spans="1:15" x14ac:dyDescent="0.25">
      <c r="A53" s="23" t="s">
        <v>203</v>
      </c>
      <c r="B53" s="4" t="str">
        <f>VLOOKUP(A53,'f Excel formulas for calculatio'!A:G,2,FALSE)</f>
        <v>Boxing Hand Wraps</v>
      </c>
      <c r="C53" s="4" t="str">
        <f>VLOOKUP(A53,'f Excel formulas for calculatio'!A:G,3,FALSE)</f>
        <v>Sports</v>
      </c>
      <c r="D53" s="4" t="str">
        <f>VLOOKUP(A53,'f Excel formulas for calculatio'!A:G,4,FALSE)</f>
        <v>Fitness</v>
      </c>
      <c r="E53" s="4" t="str">
        <f>VLOOKUP(A53,'f Excel formulas for calculatio'!A:G,5,FALSE)</f>
        <v>Smith-King</v>
      </c>
      <c r="F53" s="4">
        <f>VLOOKUP(A53,'f Excel formulas for calculatio'!A:G,6,FALSE)</f>
        <v>190.29</v>
      </c>
      <c r="G53" s="4">
        <f>VLOOKUP(A53,'f Excel formulas for calculatio'!A:G,7,FALSE)</f>
        <v>260</v>
      </c>
      <c r="I53" s="23" t="s">
        <v>203</v>
      </c>
      <c r="J53" s="4" t="str">
        <f t="shared" si="1"/>
        <v>Boxing Hand Wraps</v>
      </c>
      <c r="K53" s="4" t="str">
        <f t="shared" si="2"/>
        <v>Sports</v>
      </c>
      <c r="L53" s="4" t="str">
        <f t="shared" si="3"/>
        <v>Fitness</v>
      </c>
      <c r="M53" s="4" t="str">
        <f t="shared" si="4"/>
        <v>Smith-King</v>
      </c>
      <c r="N53" s="4">
        <f t="shared" si="5"/>
        <v>190.29</v>
      </c>
      <c r="O53" s="4">
        <f t="shared" si="6"/>
        <v>260</v>
      </c>
    </row>
    <row r="54" spans="1:15" x14ac:dyDescent="0.25">
      <c r="A54" s="24" t="s">
        <v>206</v>
      </c>
      <c r="B54" s="4" t="str">
        <f>VLOOKUP(A54,'f Excel formulas for calculatio'!A:G,2,FALSE)</f>
        <v>HDMI Cable – 2m</v>
      </c>
      <c r="C54" s="4" t="str">
        <f>VLOOKUP(A54,'f Excel formulas for calculatio'!A:G,3,FALSE)</f>
        <v>Electronics</v>
      </c>
      <c r="D54" s="4" t="str">
        <f>VLOOKUP(A54,'f Excel formulas for calculatio'!A:G,4,FALSE)</f>
        <v>Accessories</v>
      </c>
      <c r="E54" s="4" t="str">
        <f>VLOOKUP(A54,'f Excel formulas for calculatio'!A:G,5,FALSE)</f>
        <v>Bautista, Green and Hale</v>
      </c>
      <c r="F54" s="4">
        <f>VLOOKUP(A54,'f Excel formulas for calculatio'!A:G,6,FALSE)</f>
        <v>88.49</v>
      </c>
      <c r="G54" s="4">
        <f>VLOOKUP(A54,'f Excel formulas for calculatio'!A:G,7,FALSE)</f>
        <v>246</v>
      </c>
      <c r="I54" s="24" t="s">
        <v>206</v>
      </c>
      <c r="J54" s="4" t="str">
        <f t="shared" si="1"/>
        <v>HDMI Cable – 2m</v>
      </c>
      <c r="K54" s="4" t="str">
        <f t="shared" si="2"/>
        <v>Electronics</v>
      </c>
      <c r="L54" s="4" t="str">
        <f t="shared" si="3"/>
        <v>Accessories</v>
      </c>
      <c r="M54" s="4" t="str">
        <f t="shared" si="4"/>
        <v>Bautista, Green and Hale</v>
      </c>
      <c r="N54" s="4">
        <f t="shared" si="5"/>
        <v>88.49</v>
      </c>
      <c r="O54" s="4">
        <f t="shared" si="6"/>
        <v>246</v>
      </c>
    </row>
    <row r="55" spans="1:15" x14ac:dyDescent="0.25">
      <c r="A55" s="23" t="s">
        <v>209</v>
      </c>
      <c r="B55" s="4" t="str">
        <f>VLOOKUP(A55,'f Excel formulas for calculatio'!A:G,2,FALSE)</f>
        <v>Rugby Ball</v>
      </c>
      <c r="C55" s="4" t="str">
        <f>VLOOKUP(A55,'f Excel formulas for calculatio'!A:G,3,FALSE)</f>
        <v>Sports</v>
      </c>
      <c r="D55" s="4" t="str">
        <f>VLOOKUP(A55,'f Excel formulas for calculatio'!A:G,4,FALSE)</f>
        <v>Team Sports</v>
      </c>
      <c r="E55" s="4" t="str">
        <f>VLOOKUP(A55,'f Excel formulas for calculatio'!A:G,5,FALSE)</f>
        <v>Harris Inc</v>
      </c>
      <c r="F55" s="4">
        <f>VLOOKUP(A55,'f Excel formulas for calculatio'!A:G,6,FALSE)</f>
        <v>212.26</v>
      </c>
      <c r="G55" s="4">
        <f>VLOOKUP(A55,'f Excel formulas for calculatio'!A:G,7,FALSE)</f>
        <v>82</v>
      </c>
      <c r="I55" s="23" t="s">
        <v>209</v>
      </c>
      <c r="J55" s="4" t="str">
        <f t="shared" si="1"/>
        <v>Rugby Ball</v>
      </c>
      <c r="K55" s="4" t="str">
        <f t="shared" si="2"/>
        <v>Sports</v>
      </c>
      <c r="L55" s="4" t="str">
        <f t="shared" si="3"/>
        <v>Team Sports</v>
      </c>
      <c r="M55" s="4" t="str">
        <f t="shared" si="4"/>
        <v>Harris Inc</v>
      </c>
      <c r="N55" s="4">
        <f t="shared" si="5"/>
        <v>212.26</v>
      </c>
      <c r="O55" s="4">
        <f t="shared" si="6"/>
        <v>82</v>
      </c>
    </row>
    <row r="56" spans="1:15" x14ac:dyDescent="0.25">
      <c r="A56" s="24" t="s">
        <v>212</v>
      </c>
      <c r="B56" s="4" t="str">
        <f>VLOOKUP(A56,'f Excel formulas for calculatio'!A:G,2,FALSE)</f>
        <v>Men's Track Pants</v>
      </c>
      <c r="C56" s="4" t="str">
        <f>VLOOKUP(A56,'f Excel formulas for calculatio'!A:G,3,FALSE)</f>
        <v>Clothing</v>
      </c>
      <c r="D56" s="4" t="str">
        <f>VLOOKUP(A56,'f Excel formulas for calculatio'!A:G,4,FALSE)</f>
        <v>Bottoms</v>
      </c>
      <c r="E56" s="4" t="str">
        <f>VLOOKUP(A56,'f Excel formulas for calculatio'!A:G,5,FALSE)</f>
        <v>Hamilton, Woods and Walker</v>
      </c>
      <c r="F56" s="4">
        <f>VLOOKUP(A56,'f Excel formulas for calculatio'!A:G,6,FALSE)</f>
        <v>386.56</v>
      </c>
      <c r="G56" s="4">
        <f>VLOOKUP(A56,'f Excel formulas for calculatio'!A:G,7,FALSE)</f>
        <v>125</v>
      </c>
      <c r="I56" s="24" t="s">
        <v>212</v>
      </c>
      <c r="J56" s="4" t="str">
        <f t="shared" si="1"/>
        <v>Men's Track Pants</v>
      </c>
      <c r="K56" s="4" t="str">
        <f t="shared" si="2"/>
        <v>Clothing</v>
      </c>
      <c r="L56" s="4" t="str">
        <f t="shared" si="3"/>
        <v>Bottoms</v>
      </c>
      <c r="M56" s="4" t="str">
        <f t="shared" si="4"/>
        <v>Hamilton, Woods and Walker</v>
      </c>
      <c r="N56" s="4">
        <f t="shared" si="5"/>
        <v>386.56</v>
      </c>
      <c r="O56" s="4">
        <f t="shared" si="6"/>
        <v>125</v>
      </c>
    </row>
    <row r="57" spans="1:15" x14ac:dyDescent="0.25">
      <c r="A57" s="23" t="s">
        <v>215</v>
      </c>
      <c r="B57" s="4" t="str">
        <f>VLOOKUP(A57,'f Excel formulas for calculatio'!A:G,2,FALSE)</f>
        <v>Sports Stopwatch Pro</v>
      </c>
      <c r="C57" s="4" t="str">
        <f>VLOOKUP(A57,'f Excel formulas for calculatio'!A:G,3,FALSE)</f>
        <v>Sports</v>
      </c>
      <c r="D57" s="4" t="str">
        <f>VLOOKUP(A57,'f Excel formulas for calculatio'!A:G,4,FALSE)</f>
        <v>Accessories</v>
      </c>
      <c r="E57" s="4" t="str">
        <f>VLOOKUP(A57,'f Excel formulas for calculatio'!A:G,5,FALSE)</f>
        <v>Thompson-French</v>
      </c>
      <c r="F57" s="4">
        <f>VLOOKUP(A57,'f Excel formulas for calculatio'!A:G,6,FALSE)</f>
        <v>434.84</v>
      </c>
      <c r="G57" s="4">
        <f>VLOOKUP(A57,'f Excel formulas for calculatio'!A:G,7,FALSE)</f>
        <v>185</v>
      </c>
      <c r="I57" s="23" t="s">
        <v>215</v>
      </c>
      <c r="J57" s="4" t="str">
        <f t="shared" si="1"/>
        <v>Sports Stopwatch Pro</v>
      </c>
      <c r="K57" s="4" t="str">
        <f t="shared" si="2"/>
        <v>Sports</v>
      </c>
      <c r="L57" s="4" t="str">
        <f t="shared" si="3"/>
        <v>Accessories</v>
      </c>
      <c r="M57" s="4" t="str">
        <f t="shared" si="4"/>
        <v>Thompson-French</v>
      </c>
      <c r="N57" s="4">
        <f t="shared" si="5"/>
        <v>434.84</v>
      </c>
      <c r="O57" s="4">
        <f t="shared" si="6"/>
        <v>185</v>
      </c>
    </row>
    <row r="58" spans="1:15" x14ac:dyDescent="0.25">
      <c r="A58" s="24" t="s">
        <v>218</v>
      </c>
      <c r="B58" s="4" t="str">
        <f>VLOOKUP(A58,'f Excel formulas for calculatio'!A:G,2,FALSE)</f>
        <v>Ceramic Plant Pot</v>
      </c>
      <c r="C58" s="4" t="str">
        <f>VLOOKUP(A58,'f Excel formulas for calculatio'!A:G,3,FALSE)</f>
        <v>Home</v>
      </c>
      <c r="D58" s="4" t="str">
        <f>VLOOKUP(A58,'f Excel formulas for calculatio'!A:G,4,FALSE)</f>
        <v>Decor</v>
      </c>
      <c r="E58" s="4" t="str">
        <f>VLOOKUP(A58,'f Excel formulas for calculatio'!A:G,5,FALSE)</f>
        <v>Hatfield, Baird and Torres</v>
      </c>
      <c r="F58" s="4">
        <f>VLOOKUP(A58,'f Excel formulas for calculatio'!A:G,6,FALSE)</f>
        <v>81.75</v>
      </c>
      <c r="G58" s="4">
        <f>VLOOKUP(A58,'f Excel formulas for calculatio'!A:G,7,FALSE)</f>
        <v>0</v>
      </c>
      <c r="I58" s="24" t="s">
        <v>218</v>
      </c>
      <c r="J58" s="4" t="str">
        <f t="shared" si="1"/>
        <v>Ceramic Plant Pot</v>
      </c>
      <c r="K58" s="4" t="str">
        <f t="shared" si="2"/>
        <v>Home</v>
      </c>
      <c r="L58" s="4" t="str">
        <f t="shared" si="3"/>
        <v>Decor</v>
      </c>
      <c r="M58" s="4" t="str">
        <f t="shared" si="4"/>
        <v>Hatfield, Baird and Torres</v>
      </c>
      <c r="N58" s="4">
        <f t="shared" si="5"/>
        <v>81.75</v>
      </c>
      <c r="O58" s="4">
        <f t="shared" si="6"/>
        <v>0</v>
      </c>
    </row>
    <row r="59" spans="1:15" x14ac:dyDescent="0.25">
      <c r="A59" s="23" t="s">
        <v>221</v>
      </c>
      <c r="B59" s="4" t="str">
        <f>VLOOKUP(A59,'f Excel formulas for calculatio'!A:G,2,FALSE)</f>
        <v>Premium Blanket Throw</v>
      </c>
      <c r="C59" s="4" t="str">
        <f>VLOOKUP(A59,'f Excel formulas for calculatio'!A:G,3,FALSE)</f>
        <v>Home</v>
      </c>
      <c r="D59" s="4" t="str">
        <f>VLOOKUP(A59,'f Excel formulas for calculatio'!A:G,4,FALSE)</f>
        <v>Decor</v>
      </c>
      <c r="E59" s="4" t="str">
        <f>VLOOKUP(A59,'f Excel formulas for calculatio'!A:G,5,FALSE)</f>
        <v>Hernandez, Kennedy and Porter</v>
      </c>
      <c r="F59" s="4">
        <f>VLOOKUP(A59,'f Excel formulas for calculatio'!A:G,6,FALSE)</f>
        <v>461.47</v>
      </c>
      <c r="G59" s="4">
        <f>VLOOKUP(A59,'f Excel formulas for calculatio'!A:G,7,FALSE)</f>
        <v>190</v>
      </c>
      <c r="I59" s="23" t="s">
        <v>221</v>
      </c>
      <c r="J59" s="4" t="str">
        <f t="shared" si="1"/>
        <v>Premium Blanket Throw</v>
      </c>
      <c r="K59" s="4" t="str">
        <f t="shared" si="2"/>
        <v>Home</v>
      </c>
      <c r="L59" s="4" t="str">
        <f t="shared" si="3"/>
        <v>Decor</v>
      </c>
      <c r="M59" s="4" t="str">
        <f t="shared" si="4"/>
        <v>Hernandez, Kennedy and Porter</v>
      </c>
      <c r="N59" s="4">
        <f t="shared" si="5"/>
        <v>461.47</v>
      </c>
      <c r="O59" s="4">
        <f t="shared" si="6"/>
        <v>190</v>
      </c>
    </row>
    <row r="60" spans="1:15" x14ac:dyDescent="0.25">
      <c r="A60" s="24" t="s">
        <v>224</v>
      </c>
      <c r="B60" s="4" t="str">
        <f>VLOOKUP(A60,'f Excel formulas for calculatio'!A:G,2,FALSE)</f>
        <v>Foam Roller</v>
      </c>
      <c r="C60" s="4" t="str">
        <f>VLOOKUP(A60,'f Excel formulas for calculatio'!A:G,3,FALSE)</f>
        <v>Sports</v>
      </c>
      <c r="D60" s="4" t="str">
        <f>VLOOKUP(A60,'f Excel formulas for calculatio'!A:G,4,FALSE)</f>
        <v>Fitness</v>
      </c>
      <c r="E60" s="4" t="str">
        <f>VLOOKUP(A60,'f Excel formulas for calculatio'!A:G,5,FALSE)</f>
        <v>Atkinson, Camacho and Oliver</v>
      </c>
      <c r="F60" s="4">
        <f>VLOOKUP(A60,'f Excel formulas for calculatio'!A:G,6,FALSE)</f>
        <v>30.62</v>
      </c>
      <c r="G60" s="4">
        <f>VLOOKUP(A60,'f Excel formulas for calculatio'!A:G,7,FALSE)</f>
        <v>138</v>
      </c>
      <c r="I60" s="24" t="s">
        <v>224</v>
      </c>
      <c r="J60" s="4" t="str">
        <f t="shared" si="1"/>
        <v>Foam Roller</v>
      </c>
      <c r="K60" s="4" t="str">
        <f t="shared" si="2"/>
        <v>Sports</v>
      </c>
      <c r="L60" s="4" t="str">
        <f t="shared" si="3"/>
        <v>Fitness</v>
      </c>
      <c r="M60" s="4" t="str">
        <f t="shared" si="4"/>
        <v>Atkinson, Camacho and Oliver</v>
      </c>
      <c r="N60" s="4">
        <f t="shared" si="5"/>
        <v>30.62</v>
      </c>
      <c r="O60" s="4">
        <f t="shared" si="6"/>
        <v>138</v>
      </c>
    </row>
    <row r="61" spans="1:15" x14ac:dyDescent="0.25">
      <c r="A61" s="23" t="s">
        <v>227</v>
      </c>
      <c r="B61" s="4" t="str">
        <f>VLOOKUP(A61,'f Excel formulas for calculatio'!A:G,2,FALSE)</f>
        <v>Womens Cotton Scarf</v>
      </c>
      <c r="C61" s="4" t="str">
        <f>VLOOKUP(A61,'f Excel formulas for calculatio'!A:G,3,FALSE)</f>
        <v>Clothing</v>
      </c>
      <c r="D61" s="4" t="str">
        <f>VLOOKUP(A61,'f Excel formulas for calculatio'!A:G,4,FALSE)</f>
        <v>Accessories</v>
      </c>
      <c r="E61" s="4" t="str">
        <f>VLOOKUP(A61,'f Excel formulas for calculatio'!A:G,5,FALSE)</f>
        <v>Shepherd-Gould</v>
      </c>
      <c r="F61" s="4">
        <f>VLOOKUP(A61,'f Excel formulas for calculatio'!A:G,6,FALSE)</f>
        <v>113.83</v>
      </c>
      <c r="G61" s="4">
        <f>VLOOKUP(A61,'f Excel formulas for calculatio'!A:G,7,FALSE)</f>
        <v>485</v>
      </c>
      <c r="I61" s="23" t="s">
        <v>227</v>
      </c>
      <c r="J61" s="4" t="str">
        <f t="shared" si="1"/>
        <v>Womens Cotton Scarf</v>
      </c>
      <c r="K61" s="4" t="str">
        <f t="shared" si="2"/>
        <v>Clothing</v>
      </c>
      <c r="L61" s="4" t="str">
        <f t="shared" si="3"/>
        <v>Accessories</v>
      </c>
      <c r="M61" s="4" t="str">
        <f t="shared" si="4"/>
        <v>Shepherd-Gould</v>
      </c>
      <c r="N61" s="4">
        <f t="shared" si="5"/>
        <v>113.83</v>
      </c>
      <c r="O61" s="4">
        <f t="shared" si="6"/>
        <v>485</v>
      </c>
    </row>
    <row r="62" spans="1:15" x14ac:dyDescent="0.25">
      <c r="A62" s="24" t="s">
        <v>230</v>
      </c>
      <c r="B62" s="4" t="str">
        <f>VLOOKUP(A62,'f Excel formulas for calculatio'!A:G,2,FALSE)</f>
        <v>Men's Hair Styling Gel</v>
      </c>
      <c r="C62" s="4" t="str">
        <f>VLOOKUP(A62,'f Excel formulas for calculatio'!A:G,3,FALSE)</f>
        <v>Beauty</v>
      </c>
      <c r="D62" s="4" t="str">
        <f>VLOOKUP(A62,'f Excel formulas for calculatio'!A:G,4,FALSE)</f>
        <v>Haircare</v>
      </c>
      <c r="E62" s="4" t="str">
        <f>VLOOKUP(A62,'f Excel formulas for calculatio'!A:G,5,FALSE)</f>
        <v>Cline-Mccarthy</v>
      </c>
      <c r="F62" s="4">
        <f>VLOOKUP(A62,'f Excel formulas for calculatio'!A:G,6,FALSE)</f>
        <v>17.309999999999999</v>
      </c>
      <c r="G62" s="4">
        <f>VLOOKUP(A62,'f Excel formulas for calculatio'!A:G,7,FALSE)</f>
        <v>399</v>
      </c>
      <c r="I62" s="24" t="s">
        <v>230</v>
      </c>
      <c r="J62" s="4" t="str">
        <f t="shared" si="1"/>
        <v>Men's Hair Styling Gel</v>
      </c>
      <c r="K62" s="4" t="str">
        <f t="shared" si="2"/>
        <v>Beauty</v>
      </c>
      <c r="L62" s="4" t="str">
        <f t="shared" si="3"/>
        <v>Haircare</v>
      </c>
      <c r="M62" s="4" t="str">
        <f t="shared" si="4"/>
        <v>Cline-Mccarthy</v>
      </c>
      <c r="N62" s="4">
        <f t="shared" si="5"/>
        <v>17.309999999999999</v>
      </c>
      <c r="O62" s="4">
        <f t="shared" si="6"/>
        <v>399</v>
      </c>
    </row>
    <row r="63" spans="1:15" x14ac:dyDescent="0.25">
      <c r="A63" s="23" t="s">
        <v>233</v>
      </c>
      <c r="B63" s="4" t="str">
        <f>VLOOKUP(A63,'f Excel formulas for calculatio'!A:G,2,FALSE)</f>
        <v>Luxury Perfume Spray</v>
      </c>
      <c r="C63" s="4" t="str">
        <f>VLOOKUP(A63,'f Excel formulas for calculatio'!A:G,3,FALSE)</f>
        <v>Beauty</v>
      </c>
      <c r="D63" s="4" t="str">
        <f>VLOOKUP(A63,'f Excel formulas for calculatio'!A:G,4,FALSE)</f>
        <v>Fragrance</v>
      </c>
      <c r="E63" s="4" t="str">
        <f>VLOOKUP(A63,'f Excel formulas for calculatio'!A:G,5,FALSE)</f>
        <v>Gibson, Green and Lopez</v>
      </c>
      <c r="F63" s="4">
        <f>VLOOKUP(A63,'f Excel formulas for calculatio'!A:G,6,FALSE)</f>
        <v>482.75</v>
      </c>
      <c r="G63" s="4">
        <f>VLOOKUP(A63,'f Excel formulas for calculatio'!A:G,7,FALSE)</f>
        <v>444</v>
      </c>
      <c r="I63" s="23" t="s">
        <v>233</v>
      </c>
      <c r="J63" s="4" t="str">
        <f t="shared" si="1"/>
        <v>Luxury Perfume Spray</v>
      </c>
      <c r="K63" s="4" t="str">
        <f t="shared" si="2"/>
        <v>Beauty</v>
      </c>
      <c r="L63" s="4" t="str">
        <f t="shared" si="3"/>
        <v>Fragrance</v>
      </c>
      <c r="M63" s="4" t="str">
        <f t="shared" si="4"/>
        <v>Gibson, Green and Lopez</v>
      </c>
      <c r="N63" s="4">
        <f t="shared" si="5"/>
        <v>482.75</v>
      </c>
      <c r="O63" s="4">
        <f t="shared" si="6"/>
        <v>444</v>
      </c>
    </row>
    <row r="64" spans="1:15" x14ac:dyDescent="0.25">
      <c r="A64" s="24" t="s">
        <v>236</v>
      </c>
      <c r="B64" s="4" t="str">
        <f>VLOOKUP(A64,'f Excel formulas for calculatio'!A:G,2,FALSE)</f>
        <v>Tennis Ball 3-Pack</v>
      </c>
      <c r="C64" s="4" t="str">
        <f>VLOOKUP(A64,'f Excel formulas for calculatio'!A:G,3,FALSE)</f>
        <v>Sports</v>
      </c>
      <c r="D64" s="4" t="str">
        <f>VLOOKUP(A64,'f Excel formulas for calculatio'!A:G,4,FALSE)</f>
        <v>Equipment</v>
      </c>
      <c r="E64" s="4" t="str">
        <f>VLOOKUP(A64,'f Excel formulas for calculatio'!A:G,5,FALSE)</f>
        <v>Lopez LLC</v>
      </c>
      <c r="F64" s="4">
        <f>VLOOKUP(A64,'f Excel formulas for calculatio'!A:G,6,FALSE)</f>
        <v>103.45</v>
      </c>
      <c r="G64" s="4">
        <f>VLOOKUP(A64,'f Excel formulas for calculatio'!A:G,7,FALSE)</f>
        <v>465</v>
      </c>
      <c r="I64" s="24" t="s">
        <v>236</v>
      </c>
      <c r="J64" s="4" t="str">
        <f t="shared" si="1"/>
        <v>Tennis Ball 3-Pack</v>
      </c>
      <c r="K64" s="4" t="str">
        <f t="shared" si="2"/>
        <v>Sports</v>
      </c>
      <c r="L64" s="4" t="str">
        <f t="shared" si="3"/>
        <v>Equipment</v>
      </c>
      <c r="M64" s="4" t="str">
        <f t="shared" si="4"/>
        <v>Lopez LLC</v>
      </c>
      <c r="N64" s="4">
        <f t="shared" si="5"/>
        <v>103.45</v>
      </c>
      <c r="O64" s="4">
        <f t="shared" si="6"/>
        <v>465</v>
      </c>
    </row>
    <row r="65" spans="1:15" x14ac:dyDescent="0.25">
      <c r="A65" s="23" t="s">
        <v>239</v>
      </c>
      <c r="B65" s="4" t="str">
        <f>VLOOKUP(A65,'f Excel formulas for calculatio'!A:G,2,FALSE)</f>
        <v>Laptop Cooling Pad</v>
      </c>
      <c r="C65" s="4" t="str">
        <f>VLOOKUP(A65,'f Excel formulas for calculatio'!A:G,3,FALSE)</f>
        <v>Electronics</v>
      </c>
      <c r="D65" s="4" t="str">
        <f>VLOOKUP(A65,'f Excel formulas for calculatio'!A:G,4,FALSE)</f>
        <v>Computer</v>
      </c>
      <c r="E65" s="4" t="str">
        <f>VLOOKUP(A65,'f Excel formulas for calculatio'!A:G,5,FALSE)</f>
        <v>Murray, Gould and Ware</v>
      </c>
      <c r="F65" s="4">
        <f>VLOOKUP(A65,'f Excel formulas for calculatio'!A:G,6,FALSE)</f>
        <v>86.42</v>
      </c>
      <c r="G65" s="4">
        <f>VLOOKUP(A65,'f Excel formulas for calculatio'!A:G,7,FALSE)</f>
        <v>222</v>
      </c>
      <c r="I65" s="23" t="s">
        <v>239</v>
      </c>
      <c r="J65" s="4" t="str">
        <f t="shared" si="1"/>
        <v>Laptop Cooling Pad</v>
      </c>
      <c r="K65" s="4" t="str">
        <f t="shared" si="2"/>
        <v>Electronics</v>
      </c>
      <c r="L65" s="4" t="str">
        <f t="shared" si="3"/>
        <v>Computer</v>
      </c>
      <c r="M65" s="4" t="str">
        <f t="shared" si="4"/>
        <v>Murray, Gould and Ware</v>
      </c>
      <c r="N65" s="4">
        <f t="shared" si="5"/>
        <v>86.42</v>
      </c>
      <c r="O65" s="4">
        <f t="shared" si="6"/>
        <v>222</v>
      </c>
    </row>
    <row r="66" spans="1:15" x14ac:dyDescent="0.25">
      <c r="A66" s="24" t="s">
        <v>242</v>
      </c>
      <c r="B66" s="4" t="str">
        <f>VLOOKUP(A66,'f Excel formulas for calculatio'!A:G,2,FALSE)</f>
        <v>Organic Sunscreen Lotion</v>
      </c>
      <c r="C66" s="4" t="str">
        <f>VLOOKUP(A66,'f Excel formulas for calculatio'!A:G,3,FALSE)</f>
        <v>Beauty</v>
      </c>
      <c r="D66" s="4" t="str">
        <f>VLOOKUP(A66,'f Excel formulas for calculatio'!A:G,4,FALSE)</f>
        <v>Skincare</v>
      </c>
      <c r="E66" s="4" t="str">
        <f>VLOOKUP(A66,'f Excel formulas for calculatio'!A:G,5,FALSE)</f>
        <v>Anderson-Riley</v>
      </c>
      <c r="F66" s="4">
        <f>VLOOKUP(A66,'f Excel formulas for calculatio'!A:G,6,FALSE)</f>
        <v>266.86</v>
      </c>
      <c r="G66" s="4">
        <f>VLOOKUP(A66,'f Excel formulas for calculatio'!A:G,7,FALSE)</f>
        <v>458</v>
      </c>
      <c r="I66" s="24" t="s">
        <v>242</v>
      </c>
      <c r="J66" s="4" t="str">
        <f t="shared" si="1"/>
        <v>Organic Sunscreen Lotion</v>
      </c>
      <c r="K66" s="4" t="str">
        <f t="shared" si="2"/>
        <v>Beauty</v>
      </c>
      <c r="L66" s="4" t="str">
        <f t="shared" si="3"/>
        <v>Skincare</v>
      </c>
      <c r="M66" s="4" t="str">
        <f t="shared" si="4"/>
        <v>Anderson-Riley</v>
      </c>
      <c r="N66" s="4">
        <f t="shared" si="5"/>
        <v>266.86</v>
      </c>
      <c r="O66" s="4">
        <f t="shared" si="6"/>
        <v>458</v>
      </c>
    </row>
    <row r="67" spans="1:15" x14ac:dyDescent="0.25">
      <c r="A67" s="23" t="s">
        <v>245</v>
      </c>
      <c r="B67" s="4" t="str">
        <f>VLOOKUP(A67,'f Excel formulas for calculatio'!A:G,2,FALSE)</f>
        <v>Matte Lipstick Set</v>
      </c>
      <c r="C67" s="4" t="str">
        <f>VLOOKUP(A67,'f Excel formulas for calculatio'!A:G,3,FALSE)</f>
        <v>Beauty</v>
      </c>
      <c r="D67" s="4" t="str">
        <f>VLOOKUP(A67,'f Excel formulas for calculatio'!A:G,4,FALSE)</f>
        <v>Makeup</v>
      </c>
      <c r="E67" s="4" t="str">
        <f>VLOOKUP(A67,'f Excel formulas for calculatio'!A:G,5,FALSE)</f>
        <v>Zhang Inc</v>
      </c>
      <c r="F67" s="4">
        <f>VLOOKUP(A67,'f Excel formulas for calculatio'!A:G,6,FALSE)</f>
        <v>299.11</v>
      </c>
      <c r="G67" s="4">
        <f>VLOOKUP(A67,'f Excel formulas for calculatio'!A:G,7,FALSE)</f>
        <v>118</v>
      </c>
      <c r="I67" s="23" t="s">
        <v>245</v>
      </c>
      <c r="J67" s="4" t="str">
        <f t="shared" si="1"/>
        <v>Matte Lipstick Set</v>
      </c>
      <c r="K67" s="4" t="str">
        <f t="shared" si="2"/>
        <v>Beauty</v>
      </c>
      <c r="L67" s="4" t="str">
        <f t="shared" si="3"/>
        <v>Makeup</v>
      </c>
      <c r="M67" s="4" t="str">
        <f t="shared" si="4"/>
        <v>Zhang Inc</v>
      </c>
      <c r="N67" s="4">
        <f t="shared" si="5"/>
        <v>299.11</v>
      </c>
      <c r="O67" s="4">
        <f t="shared" si="6"/>
        <v>118</v>
      </c>
    </row>
    <row r="68" spans="1:15" x14ac:dyDescent="0.25">
      <c r="A68" s="24" t="s">
        <v>248</v>
      </c>
      <c r="B68" s="4" t="str">
        <f>VLOOKUP(A68,'f Excel formulas for calculatio'!A:G,2,FALSE)</f>
        <v>Adjustable Dumbbells 20kg</v>
      </c>
      <c r="C68" s="4" t="str">
        <f>VLOOKUP(A68,'f Excel formulas for calculatio'!A:G,3,FALSE)</f>
        <v>Sports</v>
      </c>
      <c r="D68" s="4" t="str">
        <f>VLOOKUP(A68,'f Excel formulas for calculatio'!A:G,4,FALSE)</f>
        <v>Fitness</v>
      </c>
      <c r="E68" s="4" t="str">
        <f>VLOOKUP(A68,'f Excel formulas for calculatio'!A:G,5,FALSE)</f>
        <v>Montgomery, Benton and Miller</v>
      </c>
      <c r="F68" s="4">
        <f>VLOOKUP(A68,'f Excel formulas for calculatio'!A:G,6,FALSE)</f>
        <v>240.63</v>
      </c>
      <c r="G68" s="4">
        <f>VLOOKUP(A68,'f Excel formulas for calculatio'!A:G,7,FALSE)</f>
        <v>423</v>
      </c>
      <c r="I68" s="24" t="s">
        <v>248</v>
      </c>
      <c r="J68" s="4" t="str">
        <f t="shared" ref="J68:J102" si="7">_xlfn.XLOOKUP(I68,A68,B68)</f>
        <v>Adjustable Dumbbells 20kg</v>
      </c>
      <c r="K68" s="4" t="str">
        <f t="shared" ref="K68:K102" si="8">_xlfn.XLOOKUP(J68,B68,C68)</f>
        <v>Sports</v>
      </c>
      <c r="L68" s="4" t="str">
        <f t="shared" ref="L68:L102" si="9">_xlfn.XLOOKUP(K68,C68,D68)</f>
        <v>Fitness</v>
      </c>
      <c r="M68" s="4" t="str">
        <f t="shared" ref="M68:M102" si="10">_xlfn.XLOOKUP(L68,D68,E68)</f>
        <v>Montgomery, Benton and Miller</v>
      </c>
      <c r="N68" s="4">
        <f t="shared" ref="N68:N102" si="11">_xlfn.XLOOKUP(M68,E68,F68)</f>
        <v>240.63</v>
      </c>
      <c r="O68" s="4">
        <f t="shared" ref="O68:O102" si="12">_xlfn.XLOOKUP(N68,F68,G68)</f>
        <v>423</v>
      </c>
    </row>
    <row r="69" spans="1:15" x14ac:dyDescent="0.25">
      <c r="A69" s="23" t="s">
        <v>251</v>
      </c>
      <c r="B69" s="4" t="str">
        <f>VLOOKUP(A69,'f Excel formulas for calculatio'!A:G,2,FALSE)</f>
        <v>Women's Hair Dryer Brush</v>
      </c>
      <c r="C69" s="4" t="str">
        <f>VLOOKUP(A69,'f Excel formulas for calculatio'!A:G,3,FALSE)</f>
        <v>Beauty</v>
      </c>
      <c r="D69" s="4" t="str">
        <f>VLOOKUP(A69,'f Excel formulas for calculatio'!A:G,4,FALSE)</f>
        <v>Haircare</v>
      </c>
      <c r="E69" s="4" t="str">
        <f>VLOOKUP(A69,'f Excel formulas for calculatio'!A:G,5,FALSE)</f>
        <v>Torres, Spencer and Potter</v>
      </c>
      <c r="F69" s="4">
        <f>VLOOKUP(A69,'f Excel formulas for calculatio'!A:G,6,FALSE)</f>
        <v>340.39</v>
      </c>
      <c r="G69" s="4">
        <f>VLOOKUP(A69,'f Excel formulas for calculatio'!A:G,7,FALSE)</f>
        <v>177</v>
      </c>
      <c r="I69" s="23" t="s">
        <v>251</v>
      </c>
      <c r="J69" s="4" t="str">
        <f t="shared" si="7"/>
        <v>Women's Hair Dryer Brush</v>
      </c>
      <c r="K69" s="4" t="str">
        <f t="shared" si="8"/>
        <v>Beauty</v>
      </c>
      <c r="L69" s="4" t="str">
        <f t="shared" si="9"/>
        <v>Haircare</v>
      </c>
      <c r="M69" s="4" t="str">
        <f t="shared" si="10"/>
        <v>Torres, Spencer and Potter</v>
      </c>
      <c r="N69" s="4">
        <f t="shared" si="11"/>
        <v>340.39</v>
      </c>
      <c r="O69" s="4">
        <f t="shared" si="12"/>
        <v>177</v>
      </c>
    </row>
    <row r="70" spans="1:15" x14ac:dyDescent="0.25">
      <c r="A70" s="24" t="s">
        <v>254</v>
      </c>
      <c r="B70" s="4" t="str">
        <f>VLOOKUP(A70,'f Excel formulas for calculatio'!A:G,2,FALSE)</f>
        <v>Smart LED Light Strip</v>
      </c>
      <c r="C70" s="4" t="str">
        <f>VLOOKUP(A70,'f Excel formulas for calculatio'!A:G,3,FALSE)</f>
        <v>Electronics</v>
      </c>
      <c r="D70" s="4" t="str">
        <f>VLOOKUP(A70,'f Excel formulas for calculatio'!A:G,4,FALSE)</f>
        <v>Accessories</v>
      </c>
      <c r="E70" s="4" t="str">
        <f>VLOOKUP(A70,'f Excel formulas for calculatio'!A:G,5,FALSE)</f>
        <v>Flores-Davis</v>
      </c>
      <c r="F70" s="4">
        <f>VLOOKUP(A70,'f Excel formulas for calculatio'!A:G,6,FALSE)</f>
        <v>349.17</v>
      </c>
      <c r="G70" s="4">
        <f>VLOOKUP(A70,'f Excel formulas for calculatio'!A:G,7,FALSE)</f>
        <v>476</v>
      </c>
      <c r="I70" s="24" t="s">
        <v>254</v>
      </c>
      <c r="J70" s="4" t="str">
        <f t="shared" si="7"/>
        <v>Smart LED Light Strip</v>
      </c>
      <c r="K70" s="4" t="str">
        <f t="shared" si="8"/>
        <v>Electronics</v>
      </c>
      <c r="L70" s="4" t="str">
        <f t="shared" si="9"/>
        <v>Accessories</v>
      </c>
      <c r="M70" s="4" t="str">
        <f t="shared" si="10"/>
        <v>Flores-Davis</v>
      </c>
      <c r="N70" s="4">
        <f t="shared" si="11"/>
        <v>349.17</v>
      </c>
      <c r="O70" s="4">
        <f t="shared" si="12"/>
        <v>476</v>
      </c>
    </row>
    <row r="71" spans="1:15" x14ac:dyDescent="0.25">
      <c r="A71" s="23" t="s">
        <v>257</v>
      </c>
      <c r="B71" s="4" t="str">
        <f>VLOOKUP(A71,'f Excel formulas for calculatio'!A:G,2,FALSE)</f>
        <v>Wooden Nightstand</v>
      </c>
      <c r="C71" s="4" t="str">
        <f>VLOOKUP(A71,'f Excel formulas for calculatio'!A:G,3,FALSE)</f>
        <v>Home</v>
      </c>
      <c r="D71" s="4" t="str">
        <f>VLOOKUP(A71,'f Excel formulas for calculatio'!A:G,4,FALSE)</f>
        <v>Furniture</v>
      </c>
      <c r="E71" s="4" t="str">
        <f>VLOOKUP(A71,'f Excel formulas for calculatio'!A:G,5,FALSE)</f>
        <v>Wolfe, Ross and Hester</v>
      </c>
      <c r="F71" s="4">
        <f>VLOOKUP(A71,'f Excel formulas for calculatio'!A:G,6,FALSE)</f>
        <v>243.7</v>
      </c>
      <c r="G71" s="4">
        <f>VLOOKUP(A71,'f Excel formulas for calculatio'!A:G,7,FALSE)</f>
        <v>130</v>
      </c>
      <c r="I71" s="23" t="s">
        <v>257</v>
      </c>
      <c r="J71" s="4" t="str">
        <f t="shared" si="7"/>
        <v>Wooden Nightstand</v>
      </c>
      <c r="K71" s="4" t="str">
        <f t="shared" si="8"/>
        <v>Home</v>
      </c>
      <c r="L71" s="4" t="str">
        <f t="shared" si="9"/>
        <v>Furniture</v>
      </c>
      <c r="M71" s="4" t="str">
        <f t="shared" si="10"/>
        <v>Wolfe, Ross and Hester</v>
      </c>
      <c r="N71" s="4">
        <f t="shared" si="11"/>
        <v>243.7</v>
      </c>
      <c r="O71" s="4">
        <f t="shared" si="12"/>
        <v>130</v>
      </c>
    </row>
    <row r="72" spans="1:15" x14ac:dyDescent="0.25">
      <c r="A72" s="24" t="s">
        <v>261</v>
      </c>
      <c r="B72" s="4" t="str">
        <f>VLOOKUP(A72,'f Excel formulas for calculatio'!A:G,2,FALSE)</f>
        <v>Men's Sports Shorts</v>
      </c>
      <c r="C72" s="4" t="str">
        <f>VLOOKUP(A72,'f Excel formulas for calculatio'!A:G,3,FALSE)</f>
        <v>Clothing</v>
      </c>
      <c r="D72" s="4" t="str">
        <f>VLOOKUP(A72,'f Excel formulas for calculatio'!A:G,4,FALSE)</f>
        <v>Bottoms</v>
      </c>
      <c r="E72" s="4" t="str">
        <f>VLOOKUP(A72,'f Excel formulas for calculatio'!A:G,5,FALSE)</f>
        <v>Fitzpatrick Ltd</v>
      </c>
      <c r="F72" s="4">
        <f>VLOOKUP(A72,'f Excel formulas for calculatio'!A:G,6,FALSE)</f>
        <v>218.22</v>
      </c>
      <c r="G72" s="4">
        <f>VLOOKUP(A72,'f Excel formulas for calculatio'!A:G,7,FALSE)</f>
        <v>224</v>
      </c>
      <c r="I72" s="24" t="s">
        <v>261</v>
      </c>
      <c r="J72" s="4" t="str">
        <f t="shared" si="7"/>
        <v>Men's Sports Shorts</v>
      </c>
      <c r="K72" s="4" t="str">
        <f t="shared" si="8"/>
        <v>Clothing</v>
      </c>
      <c r="L72" s="4" t="str">
        <f t="shared" si="9"/>
        <v>Bottoms</v>
      </c>
      <c r="M72" s="4" t="str">
        <f t="shared" si="10"/>
        <v>Fitzpatrick Ltd</v>
      </c>
      <c r="N72" s="4">
        <f t="shared" si="11"/>
        <v>218.22</v>
      </c>
      <c r="O72" s="4">
        <f t="shared" si="12"/>
        <v>224</v>
      </c>
    </row>
    <row r="73" spans="1:15" x14ac:dyDescent="0.25">
      <c r="A73" s="23" t="s">
        <v>264</v>
      </c>
      <c r="B73" s="4" t="str">
        <f>VLOOKUP(A73,'f Excel formulas for calculatio'!A:G,2,FALSE)</f>
        <v>Kitchen Storage Rack</v>
      </c>
      <c r="C73" s="4" t="str">
        <f>VLOOKUP(A73,'f Excel formulas for calculatio'!A:G,3,FALSE)</f>
        <v>Home</v>
      </c>
      <c r="D73" s="4" t="str">
        <f>VLOOKUP(A73,'f Excel formulas for calculatio'!A:G,4,FALSE)</f>
        <v>Storage</v>
      </c>
      <c r="E73" s="4" t="str">
        <f>VLOOKUP(A73,'f Excel formulas for calculatio'!A:G,5,FALSE)</f>
        <v>Duran Group</v>
      </c>
      <c r="F73" s="4">
        <f>VLOOKUP(A73,'f Excel formulas for calculatio'!A:G,6,FALSE)</f>
        <v>138.05000000000001</v>
      </c>
      <c r="G73" s="4">
        <f>VLOOKUP(A73,'f Excel formulas for calculatio'!A:G,7,FALSE)</f>
        <v>89</v>
      </c>
      <c r="I73" s="23" t="s">
        <v>264</v>
      </c>
      <c r="J73" s="4" t="str">
        <f t="shared" si="7"/>
        <v>Kitchen Storage Rack</v>
      </c>
      <c r="K73" s="4" t="str">
        <f t="shared" si="8"/>
        <v>Home</v>
      </c>
      <c r="L73" s="4" t="str">
        <f t="shared" si="9"/>
        <v>Storage</v>
      </c>
      <c r="M73" s="4" t="str">
        <f t="shared" si="10"/>
        <v>Duran Group</v>
      </c>
      <c r="N73" s="4">
        <f t="shared" si="11"/>
        <v>138.05000000000001</v>
      </c>
      <c r="O73" s="4">
        <f t="shared" si="12"/>
        <v>89</v>
      </c>
    </row>
    <row r="74" spans="1:15" x14ac:dyDescent="0.25">
      <c r="A74" s="24" t="s">
        <v>267</v>
      </c>
      <c r="B74" s="4" t="str">
        <f>VLOOKUP(A74,'f Excel formulas for calculatio'!A:G,2,FALSE)</f>
        <v>Hair Repair Oil Treatment</v>
      </c>
      <c r="C74" s="4" t="str">
        <f>VLOOKUP(A74,'f Excel formulas for calculatio'!A:G,3,FALSE)</f>
        <v>Beauty</v>
      </c>
      <c r="D74" s="4" t="str">
        <f>VLOOKUP(A74,'f Excel formulas for calculatio'!A:G,4,FALSE)</f>
        <v>Haircare</v>
      </c>
      <c r="E74" s="4" t="str">
        <f>VLOOKUP(A74,'f Excel formulas for calculatio'!A:G,5,FALSE)</f>
        <v>Hopkins Ltd</v>
      </c>
      <c r="F74" s="4">
        <f>VLOOKUP(A74,'f Excel formulas for calculatio'!A:G,6,FALSE)</f>
        <v>214.32</v>
      </c>
      <c r="G74" s="4">
        <f>VLOOKUP(A74,'f Excel formulas for calculatio'!A:G,7,FALSE)</f>
        <v>383</v>
      </c>
      <c r="I74" s="24" t="s">
        <v>267</v>
      </c>
      <c r="J74" s="4" t="str">
        <f t="shared" si="7"/>
        <v>Hair Repair Oil Treatment</v>
      </c>
      <c r="K74" s="4" t="str">
        <f t="shared" si="8"/>
        <v>Beauty</v>
      </c>
      <c r="L74" s="4" t="str">
        <f t="shared" si="9"/>
        <v>Haircare</v>
      </c>
      <c r="M74" s="4" t="str">
        <f t="shared" si="10"/>
        <v>Hopkins Ltd</v>
      </c>
      <c r="N74" s="4">
        <f t="shared" si="11"/>
        <v>214.32</v>
      </c>
      <c r="O74" s="4">
        <f t="shared" si="12"/>
        <v>383</v>
      </c>
    </row>
    <row r="75" spans="1:15" x14ac:dyDescent="0.25">
      <c r="A75" s="23" t="s">
        <v>270</v>
      </c>
      <c r="B75" s="4" t="str">
        <f>VLOOKUP(A75,'f Excel formulas for calculatio'!A:G,2,FALSE)</f>
        <v>Professional Jump Rope</v>
      </c>
      <c r="C75" s="4" t="str">
        <f>VLOOKUP(A75,'f Excel formulas for calculatio'!A:G,3,FALSE)</f>
        <v>Sports</v>
      </c>
      <c r="D75" s="4" t="str">
        <f>VLOOKUP(A75,'f Excel formulas for calculatio'!A:G,4,FALSE)</f>
        <v>Fitness</v>
      </c>
      <c r="E75" s="4" t="str">
        <f>VLOOKUP(A75,'f Excel formulas for calculatio'!A:G,5,FALSE)</f>
        <v>Davis PLC</v>
      </c>
      <c r="F75" s="4">
        <f>VLOOKUP(A75,'f Excel formulas for calculatio'!A:G,6,FALSE)</f>
        <v>477.61</v>
      </c>
      <c r="G75" s="4">
        <f>VLOOKUP(A75,'f Excel formulas for calculatio'!A:G,7,FALSE)</f>
        <v>300</v>
      </c>
      <c r="I75" s="23" t="s">
        <v>270</v>
      </c>
      <c r="J75" s="4" t="str">
        <f t="shared" si="7"/>
        <v>Professional Jump Rope</v>
      </c>
      <c r="K75" s="4" t="str">
        <f t="shared" si="8"/>
        <v>Sports</v>
      </c>
      <c r="L75" s="4" t="str">
        <f t="shared" si="9"/>
        <v>Fitness</v>
      </c>
      <c r="M75" s="4" t="str">
        <f t="shared" si="10"/>
        <v>Davis PLC</v>
      </c>
      <c r="N75" s="4">
        <f t="shared" si="11"/>
        <v>477.61</v>
      </c>
      <c r="O75" s="4">
        <f t="shared" si="12"/>
        <v>300</v>
      </c>
    </row>
    <row r="76" spans="1:15" x14ac:dyDescent="0.25">
      <c r="A76" s="24" t="s">
        <v>273</v>
      </c>
      <c r="B76" s="4" t="str">
        <f>VLOOKUP(A76,'f Excel formulas for calculatio'!A:G,2,FALSE)</f>
        <v>Shin Guards – Adult</v>
      </c>
      <c r="C76" s="4" t="str">
        <f>VLOOKUP(A76,'f Excel formulas for calculatio'!A:G,3,FALSE)</f>
        <v>Sports</v>
      </c>
      <c r="D76" s="4" t="str">
        <f>VLOOKUP(A76,'f Excel formulas for calculatio'!A:G,4,FALSE)</f>
        <v>Team Sports</v>
      </c>
      <c r="E76" s="4" t="str">
        <f>VLOOKUP(A76,'f Excel formulas for calculatio'!A:G,5,FALSE)</f>
        <v>French Ltd</v>
      </c>
      <c r="F76" s="4">
        <f>VLOOKUP(A76,'f Excel formulas for calculatio'!A:G,6,FALSE)</f>
        <v>107.06</v>
      </c>
      <c r="G76" s="4">
        <f>VLOOKUP(A76,'f Excel formulas for calculatio'!A:G,7,FALSE)</f>
        <v>359</v>
      </c>
      <c r="I76" s="24" t="s">
        <v>273</v>
      </c>
      <c r="J76" s="4" t="str">
        <f t="shared" si="7"/>
        <v>Shin Guards – Adult</v>
      </c>
      <c r="K76" s="4" t="str">
        <f t="shared" si="8"/>
        <v>Sports</v>
      </c>
      <c r="L76" s="4" t="str">
        <f t="shared" si="9"/>
        <v>Team Sports</v>
      </c>
      <c r="M76" s="4" t="str">
        <f t="shared" si="10"/>
        <v>French Ltd</v>
      </c>
      <c r="N76" s="4">
        <f t="shared" si="11"/>
        <v>107.06</v>
      </c>
      <c r="O76" s="4">
        <f t="shared" si="12"/>
        <v>359</v>
      </c>
    </row>
    <row r="77" spans="1:15" x14ac:dyDescent="0.25">
      <c r="A77" s="23" t="s">
        <v>276</v>
      </c>
      <c r="B77" s="4" t="str">
        <f>VLOOKUP(A77,'f Excel formulas for calculatio'!A:G,2,FALSE)</f>
        <v>Bluetooth Car Audio System</v>
      </c>
      <c r="C77" s="4" t="str">
        <f>VLOOKUP(A77,'f Excel formulas for calculatio'!A:G,3,FALSE)</f>
        <v>Electronics</v>
      </c>
      <c r="D77" s="4" t="str">
        <f>VLOOKUP(A77,'f Excel formulas for calculatio'!A:G,4,FALSE)</f>
        <v>Audio</v>
      </c>
      <c r="E77" s="4" t="str">
        <f>VLOOKUP(A77,'f Excel formulas for calculatio'!A:G,5,FALSE)</f>
        <v>Bruce-Bowen</v>
      </c>
      <c r="F77" s="4">
        <f>VLOOKUP(A77,'f Excel formulas for calculatio'!A:G,6,FALSE)</f>
        <v>403.71</v>
      </c>
      <c r="G77" s="4">
        <f>VLOOKUP(A77,'f Excel formulas for calculatio'!A:G,7,FALSE)</f>
        <v>159</v>
      </c>
      <c r="I77" s="23" t="s">
        <v>276</v>
      </c>
      <c r="J77" s="4" t="str">
        <f t="shared" si="7"/>
        <v>Bluetooth Car Audio System</v>
      </c>
      <c r="K77" s="4" t="str">
        <f t="shared" si="8"/>
        <v>Electronics</v>
      </c>
      <c r="L77" s="4" t="str">
        <f t="shared" si="9"/>
        <v>Audio</v>
      </c>
      <c r="M77" s="4" t="str">
        <f t="shared" si="10"/>
        <v>Bruce-Bowen</v>
      </c>
      <c r="N77" s="4">
        <f t="shared" si="11"/>
        <v>403.71</v>
      </c>
      <c r="O77" s="4">
        <f t="shared" si="12"/>
        <v>159</v>
      </c>
    </row>
    <row r="78" spans="1:15" x14ac:dyDescent="0.25">
      <c r="A78" s="24" t="s">
        <v>279</v>
      </c>
      <c r="B78" s="4" t="str">
        <f>VLOOKUP(A78,'f Excel formulas for calculatio'!A:G,2,FALSE)</f>
        <v>Women's Ankle Boots</v>
      </c>
      <c r="C78" s="4" t="str">
        <f>VLOOKUP(A78,'f Excel formulas for calculatio'!A:G,3,FALSE)</f>
        <v>Clothing</v>
      </c>
      <c r="D78" s="4" t="str">
        <f>VLOOKUP(A78,'f Excel formulas for calculatio'!A:G,4,FALSE)</f>
        <v>Footwear</v>
      </c>
      <c r="E78" s="4" t="str">
        <f>VLOOKUP(A78,'f Excel formulas for calculatio'!A:G,5,FALSE)</f>
        <v>Poole PLC</v>
      </c>
      <c r="F78" s="4">
        <f>VLOOKUP(A78,'f Excel formulas for calculatio'!A:G,6,FALSE)</f>
        <v>158.13999999999999</v>
      </c>
      <c r="G78" s="4">
        <f>VLOOKUP(A78,'f Excel formulas for calculatio'!A:G,7,FALSE)</f>
        <v>82</v>
      </c>
      <c r="I78" s="24" t="s">
        <v>279</v>
      </c>
      <c r="J78" s="4" t="str">
        <f t="shared" si="7"/>
        <v>Women's Ankle Boots</v>
      </c>
      <c r="K78" s="4" t="str">
        <f t="shared" si="8"/>
        <v>Clothing</v>
      </c>
      <c r="L78" s="4" t="str">
        <f t="shared" si="9"/>
        <v>Footwear</v>
      </c>
      <c r="M78" s="4" t="str">
        <f t="shared" si="10"/>
        <v>Poole PLC</v>
      </c>
      <c r="N78" s="4">
        <f t="shared" si="11"/>
        <v>158.13999999999999</v>
      </c>
      <c r="O78" s="4">
        <f t="shared" si="12"/>
        <v>82</v>
      </c>
    </row>
    <row r="79" spans="1:15" x14ac:dyDescent="0.25">
      <c r="A79" s="23" t="s">
        <v>282</v>
      </c>
      <c r="B79" s="4" t="str">
        <f>VLOOKUP(A79,'f Excel formulas for calculatio'!A:G,2,FALSE)</f>
        <v>Wireless Mouse</v>
      </c>
      <c r="C79" s="4" t="str">
        <f>VLOOKUP(A79,'f Excel formulas for calculatio'!A:G,3,FALSE)</f>
        <v>Electronics</v>
      </c>
      <c r="D79" s="4" t="str">
        <f>VLOOKUP(A79,'f Excel formulas for calculatio'!A:G,4,FALSE)</f>
        <v>Computer</v>
      </c>
      <c r="E79" s="4" t="str">
        <f>VLOOKUP(A79,'f Excel formulas for calculatio'!A:G,5,FALSE)</f>
        <v>Larson Ltd</v>
      </c>
      <c r="F79" s="4">
        <f>VLOOKUP(A79,'f Excel formulas for calculatio'!A:G,6,FALSE)</f>
        <v>392.89</v>
      </c>
      <c r="G79" s="4">
        <f>VLOOKUP(A79,'f Excel formulas for calculatio'!A:G,7,FALSE)</f>
        <v>320</v>
      </c>
      <c r="I79" s="23" t="s">
        <v>282</v>
      </c>
      <c r="J79" s="4" t="str">
        <f t="shared" si="7"/>
        <v>Wireless Mouse</v>
      </c>
      <c r="K79" s="4" t="str">
        <f t="shared" si="8"/>
        <v>Electronics</v>
      </c>
      <c r="L79" s="4" t="str">
        <f t="shared" si="9"/>
        <v>Computer</v>
      </c>
      <c r="M79" s="4" t="str">
        <f t="shared" si="10"/>
        <v>Larson Ltd</v>
      </c>
      <c r="N79" s="4">
        <f t="shared" si="11"/>
        <v>392.89</v>
      </c>
      <c r="O79" s="4">
        <f t="shared" si="12"/>
        <v>320</v>
      </c>
    </row>
    <row r="80" spans="1:15" x14ac:dyDescent="0.25">
      <c r="A80" s="24" t="s">
        <v>285</v>
      </c>
      <c r="B80" s="4" t="str">
        <f>VLOOKUP(A80,'f Excel formulas for calculatio'!A:G,2,FALSE)</f>
        <v>WiFi Mesh Router</v>
      </c>
      <c r="C80" s="4" t="str">
        <f>VLOOKUP(A80,'f Excel formulas for calculatio'!A:G,3,FALSE)</f>
        <v>Electronics</v>
      </c>
      <c r="D80" s="4" t="str">
        <f>VLOOKUP(A80,'f Excel formulas for calculatio'!A:G,4,FALSE)</f>
        <v>Appliances</v>
      </c>
      <c r="E80" s="4" t="str">
        <f>VLOOKUP(A80,'f Excel formulas for calculatio'!A:G,5,FALSE)</f>
        <v>White, Reeves and Woods</v>
      </c>
      <c r="F80" s="4">
        <f>VLOOKUP(A80,'f Excel formulas for calculatio'!A:G,6,FALSE)</f>
        <v>480.9</v>
      </c>
      <c r="G80" s="4">
        <f>VLOOKUP(A80,'f Excel formulas for calculatio'!A:G,7,FALSE)</f>
        <v>104</v>
      </c>
      <c r="I80" s="24" t="s">
        <v>285</v>
      </c>
      <c r="J80" s="4" t="str">
        <f t="shared" si="7"/>
        <v>WiFi Mesh Router</v>
      </c>
      <c r="K80" s="4" t="str">
        <f t="shared" si="8"/>
        <v>Electronics</v>
      </c>
      <c r="L80" s="4" t="str">
        <f t="shared" si="9"/>
        <v>Appliances</v>
      </c>
      <c r="M80" s="4" t="str">
        <f t="shared" si="10"/>
        <v>White, Reeves and Woods</v>
      </c>
      <c r="N80" s="4">
        <f t="shared" si="11"/>
        <v>480.9</v>
      </c>
      <c r="O80" s="4">
        <f t="shared" si="12"/>
        <v>104</v>
      </c>
    </row>
    <row r="81" spans="1:15" x14ac:dyDescent="0.25">
      <c r="A81" s="23" t="s">
        <v>288</v>
      </c>
      <c r="B81" s="4" t="str">
        <f>VLOOKUP(A81,'f Excel formulas for calculatio'!A:G,2,FALSE)</f>
        <v>Essential Oil Diffuser</v>
      </c>
      <c r="C81" s="4" t="str">
        <f>VLOOKUP(A81,'f Excel formulas for calculatio'!A:G,3,FALSE)</f>
        <v>Home</v>
      </c>
      <c r="D81" s="4" t="str">
        <f>VLOOKUP(A81,'f Excel formulas for calculatio'!A:G,4,FALSE)</f>
        <v>Decor</v>
      </c>
      <c r="E81" s="4" t="str">
        <f>VLOOKUP(A81,'f Excel formulas for calculatio'!A:G,5,FALSE)</f>
        <v>Hernandez Inc</v>
      </c>
      <c r="F81" s="4">
        <f>VLOOKUP(A81,'f Excel formulas for calculatio'!A:G,6,FALSE)</f>
        <v>325.26</v>
      </c>
      <c r="G81" s="4">
        <f>VLOOKUP(A81,'f Excel formulas for calculatio'!A:G,7,FALSE)</f>
        <v>400</v>
      </c>
      <c r="I81" s="23" t="s">
        <v>288</v>
      </c>
      <c r="J81" s="4" t="str">
        <f t="shared" si="7"/>
        <v>Essential Oil Diffuser</v>
      </c>
      <c r="K81" s="4" t="str">
        <f t="shared" si="8"/>
        <v>Home</v>
      </c>
      <c r="L81" s="4" t="str">
        <f t="shared" si="9"/>
        <v>Decor</v>
      </c>
      <c r="M81" s="4" t="str">
        <f t="shared" si="10"/>
        <v>Hernandez Inc</v>
      </c>
      <c r="N81" s="4">
        <f t="shared" si="11"/>
        <v>325.26</v>
      </c>
      <c r="O81" s="4">
        <f t="shared" si="12"/>
        <v>400</v>
      </c>
    </row>
    <row r="82" spans="1:15" x14ac:dyDescent="0.25">
      <c r="A82" s="24" t="s">
        <v>291</v>
      </c>
      <c r="B82" s="4" t="str">
        <f>VLOOKUP(A82,'f Excel formulas for calculatio'!A:G,2,FALSE)</f>
        <v>Decorative Lamp Shade</v>
      </c>
      <c r="C82" s="4" t="str">
        <f>VLOOKUP(A82,'f Excel formulas for calculatio'!A:G,3,FALSE)</f>
        <v>Home</v>
      </c>
      <c r="D82" s="4" t="str">
        <f>VLOOKUP(A82,'f Excel formulas for calculatio'!A:G,4,FALSE)</f>
        <v>Lighting</v>
      </c>
      <c r="E82" s="4" t="str">
        <f>VLOOKUP(A82,'f Excel formulas for calculatio'!A:G,5,FALSE)</f>
        <v>Ramirez-Hanson</v>
      </c>
      <c r="F82" s="4">
        <f>VLOOKUP(A82,'f Excel formulas for calculatio'!A:G,6,FALSE)</f>
        <v>228.53</v>
      </c>
      <c r="G82" s="4">
        <f>VLOOKUP(A82,'f Excel formulas for calculatio'!A:G,7,FALSE)</f>
        <v>469</v>
      </c>
      <c r="I82" s="24" t="s">
        <v>291</v>
      </c>
      <c r="J82" s="4" t="str">
        <f t="shared" si="7"/>
        <v>Decorative Lamp Shade</v>
      </c>
      <c r="K82" s="4" t="str">
        <f t="shared" si="8"/>
        <v>Home</v>
      </c>
      <c r="L82" s="4" t="str">
        <f t="shared" si="9"/>
        <v>Lighting</v>
      </c>
      <c r="M82" s="4" t="str">
        <f t="shared" si="10"/>
        <v>Ramirez-Hanson</v>
      </c>
      <c r="N82" s="4">
        <f t="shared" si="11"/>
        <v>228.53</v>
      </c>
      <c r="O82" s="4">
        <f t="shared" si="12"/>
        <v>469</v>
      </c>
    </row>
    <row r="83" spans="1:15" x14ac:dyDescent="0.25">
      <c r="A83" s="23" t="s">
        <v>294</v>
      </c>
      <c r="B83" s="4" t="str">
        <f>VLOOKUP(A83,'f Excel formulas for calculatio'!A:G,2,FALSE)</f>
        <v>Wall-Mounted Spice Rack</v>
      </c>
      <c r="C83" s="4" t="str">
        <f>VLOOKUP(A83,'f Excel formulas for calculatio'!A:G,3,FALSE)</f>
        <v>Home</v>
      </c>
      <c r="D83" s="4" t="str">
        <f>VLOOKUP(A83,'f Excel formulas for calculatio'!A:G,4,FALSE)</f>
        <v>Kitchen</v>
      </c>
      <c r="E83" s="4" t="str">
        <f>VLOOKUP(A83,'f Excel formulas for calculatio'!A:G,5,FALSE)</f>
        <v>Allison Ltd</v>
      </c>
      <c r="F83" s="4">
        <f>VLOOKUP(A83,'f Excel formulas for calculatio'!A:G,6,FALSE)</f>
        <v>143.43</v>
      </c>
      <c r="G83" s="4">
        <f>VLOOKUP(A83,'f Excel formulas for calculatio'!A:G,7,FALSE)</f>
        <v>58</v>
      </c>
      <c r="I83" s="23" t="s">
        <v>294</v>
      </c>
      <c r="J83" s="4" t="str">
        <f t="shared" si="7"/>
        <v>Wall-Mounted Spice Rack</v>
      </c>
      <c r="K83" s="4" t="str">
        <f t="shared" si="8"/>
        <v>Home</v>
      </c>
      <c r="L83" s="4" t="str">
        <f t="shared" si="9"/>
        <v>Kitchen</v>
      </c>
      <c r="M83" s="4" t="str">
        <f t="shared" si="10"/>
        <v>Allison Ltd</v>
      </c>
      <c r="N83" s="4">
        <f t="shared" si="11"/>
        <v>143.43</v>
      </c>
      <c r="O83" s="4">
        <f t="shared" si="12"/>
        <v>58</v>
      </c>
    </row>
    <row r="84" spans="1:15" x14ac:dyDescent="0.25">
      <c r="A84" s="24" t="s">
        <v>297</v>
      </c>
      <c r="B84" s="4" t="str">
        <f>VLOOKUP(A84,'f Excel formulas for calculatio'!A:G,2,FALSE)</f>
        <v>Badminton Racket Set</v>
      </c>
      <c r="C84" s="4" t="str">
        <f>VLOOKUP(A84,'f Excel formulas for calculatio'!A:G,3,FALSE)</f>
        <v>Sports</v>
      </c>
      <c r="D84" s="4" t="str">
        <f>VLOOKUP(A84,'f Excel formulas for calculatio'!A:G,4,FALSE)</f>
        <v>Equipment</v>
      </c>
      <c r="E84" s="4" t="str">
        <f>VLOOKUP(A84,'f Excel formulas for calculatio'!A:G,5,FALSE)</f>
        <v>Robinson-Brown</v>
      </c>
      <c r="F84" s="4">
        <f>VLOOKUP(A84,'f Excel formulas for calculatio'!A:G,6,FALSE)</f>
        <v>285.54000000000002</v>
      </c>
      <c r="G84" s="4">
        <f>VLOOKUP(A84,'f Excel formulas for calculatio'!A:G,7,FALSE)</f>
        <v>358</v>
      </c>
      <c r="I84" s="24" t="s">
        <v>297</v>
      </c>
      <c r="J84" s="4" t="str">
        <f t="shared" si="7"/>
        <v>Badminton Racket Set</v>
      </c>
      <c r="K84" s="4" t="str">
        <f t="shared" si="8"/>
        <v>Sports</v>
      </c>
      <c r="L84" s="4" t="str">
        <f t="shared" si="9"/>
        <v>Equipment</v>
      </c>
      <c r="M84" s="4" t="str">
        <f t="shared" si="10"/>
        <v>Robinson-Brown</v>
      </c>
      <c r="N84" s="4">
        <f t="shared" si="11"/>
        <v>285.54000000000002</v>
      </c>
      <c r="O84" s="4">
        <f t="shared" si="12"/>
        <v>358</v>
      </c>
    </row>
    <row r="85" spans="1:15" x14ac:dyDescent="0.25">
      <c r="A85" s="23" t="s">
        <v>300</v>
      </c>
      <c r="B85" s="4" t="str">
        <f>VLOOKUP(A85,'f Excel formulas for calculatio'!A:G,2,FALSE)</f>
        <v>Fitness Resistance Bands</v>
      </c>
      <c r="C85" s="4" t="str">
        <f>VLOOKUP(A85,'f Excel formulas for calculatio'!A:G,3,FALSE)</f>
        <v>Sports</v>
      </c>
      <c r="D85" s="4" t="str">
        <f>VLOOKUP(A85,'f Excel formulas for calculatio'!A:G,4,FALSE)</f>
        <v>Fitness</v>
      </c>
      <c r="E85" s="4" t="str">
        <f>VLOOKUP(A85,'f Excel formulas for calculatio'!A:G,5,FALSE)</f>
        <v>Reese-Watson</v>
      </c>
      <c r="F85" s="4">
        <f>VLOOKUP(A85,'f Excel formulas for calculatio'!A:G,6,FALSE)</f>
        <v>152.91999999999999</v>
      </c>
      <c r="G85" s="4">
        <f>VLOOKUP(A85,'f Excel formulas for calculatio'!A:G,7,FALSE)</f>
        <v>281</v>
      </c>
      <c r="I85" s="23" t="s">
        <v>300</v>
      </c>
      <c r="J85" s="4" t="str">
        <f t="shared" si="7"/>
        <v>Fitness Resistance Bands</v>
      </c>
      <c r="K85" s="4" t="str">
        <f t="shared" si="8"/>
        <v>Sports</v>
      </c>
      <c r="L85" s="4" t="str">
        <f t="shared" si="9"/>
        <v>Fitness</v>
      </c>
      <c r="M85" s="4" t="str">
        <f t="shared" si="10"/>
        <v>Reese-Watson</v>
      </c>
      <c r="N85" s="4">
        <f t="shared" si="11"/>
        <v>152.91999999999999</v>
      </c>
      <c r="O85" s="4">
        <f t="shared" si="12"/>
        <v>281</v>
      </c>
    </row>
    <row r="86" spans="1:15" x14ac:dyDescent="0.25">
      <c r="A86" s="24" t="s">
        <v>303</v>
      </c>
      <c r="B86" s="4" t="str">
        <f>VLOOKUP(A86,'f Excel formulas for calculatio'!A:G,2,FALSE)</f>
        <v>Hydrating Face Cleanser</v>
      </c>
      <c r="C86" s="4" t="str">
        <f>VLOOKUP(A86,'f Excel formulas for calculatio'!A:G,3,FALSE)</f>
        <v>Beauty</v>
      </c>
      <c r="D86" s="4" t="str">
        <f>VLOOKUP(A86,'f Excel formulas for calculatio'!A:G,4,FALSE)</f>
        <v>Skincare</v>
      </c>
      <c r="E86" s="4" t="str">
        <f>VLOOKUP(A86,'f Excel formulas for calculatio'!A:G,5,FALSE)</f>
        <v>Butler Group</v>
      </c>
      <c r="F86" s="4">
        <f>VLOOKUP(A86,'f Excel formulas for calculatio'!A:G,6,FALSE)</f>
        <v>0</v>
      </c>
      <c r="G86" s="4">
        <f>VLOOKUP(A86,'f Excel formulas for calculatio'!A:G,7,FALSE)</f>
        <v>159</v>
      </c>
      <c r="I86" s="24" t="s">
        <v>303</v>
      </c>
      <c r="J86" s="4" t="str">
        <f t="shared" si="7"/>
        <v>Hydrating Face Cleanser</v>
      </c>
      <c r="K86" s="4" t="str">
        <f t="shared" si="8"/>
        <v>Beauty</v>
      </c>
      <c r="L86" s="4" t="str">
        <f t="shared" si="9"/>
        <v>Skincare</v>
      </c>
      <c r="M86" s="4" t="str">
        <f t="shared" si="10"/>
        <v>Butler Group</v>
      </c>
      <c r="N86" s="4">
        <f t="shared" si="11"/>
        <v>0</v>
      </c>
      <c r="O86" s="4">
        <f t="shared" si="12"/>
        <v>159</v>
      </c>
    </row>
    <row r="87" spans="1:15" x14ac:dyDescent="0.25">
      <c r="A87" s="23" t="s">
        <v>306</v>
      </c>
      <c r="B87" s="4" t="str">
        <f>VLOOKUP(A87,'f Excel formulas for calculatio'!A:G,2,FALSE)</f>
        <v>Wooden Bookshelf</v>
      </c>
      <c r="C87" s="4" t="str">
        <f>VLOOKUP(A87,'f Excel formulas for calculatio'!A:G,3,FALSE)</f>
        <v>Home</v>
      </c>
      <c r="D87" s="4" t="str">
        <f>VLOOKUP(A87,'f Excel formulas for calculatio'!A:G,4,FALSE)</f>
        <v>Furniture</v>
      </c>
      <c r="E87" s="4" t="str">
        <f>VLOOKUP(A87,'f Excel formulas for calculatio'!A:G,5,FALSE)</f>
        <v>Collins-Stephenson</v>
      </c>
      <c r="F87" s="4">
        <f>VLOOKUP(A87,'f Excel formulas for calculatio'!A:G,6,FALSE)</f>
        <v>388.46</v>
      </c>
      <c r="G87" s="4">
        <f>VLOOKUP(A87,'f Excel formulas for calculatio'!A:G,7,FALSE)</f>
        <v>208</v>
      </c>
      <c r="I87" s="23" t="s">
        <v>306</v>
      </c>
      <c r="J87" s="4" t="str">
        <f t="shared" si="7"/>
        <v>Wooden Bookshelf</v>
      </c>
      <c r="K87" s="4" t="str">
        <f t="shared" si="8"/>
        <v>Home</v>
      </c>
      <c r="L87" s="4" t="str">
        <f t="shared" si="9"/>
        <v>Furniture</v>
      </c>
      <c r="M87" s="4" t="str">
        <f t="shared" si="10"/>
        <v>Collins-Stephenson</v>
      </c>
      <c r="N87" s="4">
        <f t="shared" si="11"/>
        <v>388.46</v>
      </c>
      <c r="O87" s="4">
        <f t="shared" si="12"/>
        <v>208</v>
      </c>
    </row>
    <row r="88" spans="1:15" x14ac:dyDescent="0.25">
      <c r="A88" s="24" t="s">
        <v>309</v>
      </c>
      <c r="B88" s="4" t="str">
        <f>VLOOKUP(A88,'f Excel formulas for calculatio'!A:G,2,FALSE)</f>
        <v>Women's Beanie Hat</v>
      </c>
      <c r="C88" s="4" t="str">
        <f>VLOOKUP(A88,'f Excel formulas for calculatio'!A:G,3,FALSE)</f>
        <v>Clothing</v>
      </c>
      <c r="D88" s="4" t="str">
        <f>VLOOKUP(A88,'f Excel formulas for calculatio'!A:G,4,FALSE)</f>
        <v>Accessories</v>
      </c>
      <c r="E88" s="4" t="str">
        <f>VLOOKUP(A88,'f Excel formulas for calculatio'!A:G,5,FALSE)</f>
        <v>Richardson-Carrillo</v>
      </c>
      <c r="F88" s="4">
        <f>VLOOKUP(A88,'f Excel formulas for calculatio'!A:G,6,FALSE)</f>
        <v>119.57</v>
      </c>
      <c r="G88" s="4">
        <f>VLOOKUP(A88,'f Excel formulas for calculatio'!A:G,7,FALSE)</f>
        <v>210</v>
      </c>
      <c r="I88" s="24" t="s">
        <v>309</v>
      </c>
      <c r="J88" s="4" t="str">
        <f t="shared" si="7"/>
        <v>Women's Beanie Hat</v>
      </c>
      <c r="K88" s="4" t="str">
        <f t="shared" si="8"/>
        <v>Clothing</v>
      </c>
      <c r="L88" s="4" t="str">
        <f t="shared" si="9"/>
        <v>Accessories</v>
      </c>
      <c r="M88" s="4" t="str">
        <f t="shared" si="10"/>
        <v>Richardson-Carrillo</v>
      </c>
      <c r="N88" s="4">
        <f t="shared" si="11"/>
        <v>119.57</v>
      </c>
      <c r="O88" s="4">
        <f t="shared" si="12"/>
        <v>210</v>
      </c>
    </row>
    <row r="89" spans="1:15" x14ac:dyDescent="0.25">
      <c r="A89" s="23" t="s">
        <v>312</v>
      </c>
      <c r="B89" s="4" t="str">
        <f>VLOOKUP(A89,'f Excel formulas for calculatio'!A:G,2,FALSE)</f>
        <v>Kitchen Cutting Board</v>
      </c>
      <c r="C89" s="4" t="str">
        <f>VLOOKUP(A89,'f Excel formulas for calculatio'!A:G,3,FALSE)</f>
        <v>Home</v>
      </c>
      <c r="D89" s="4" t="str">
        <f>VLOOKUP(A89,'f Excel formulas for calculatio'!A:G,4,FALSE)</f>
        <v>Kitchen</v>
      </c>
      <c r="E89" s="4" t="str">
        <f>VLOOKUP(A89,'f Excel formulas for calculatio'!A:G,5,FALSE)</f>
        <v>Taylor, Dodson and Johnston</v>
      </c>
      <c r="F89" s="4">
        <f>VLOOKUP(A89,'f Excel formulas for calculatio'!A:G,6,FALSE)</f>
        <v>176.07</v>
      </c>
      <c r="G89" s="4">
        <f>VLOOKUP(A89,'f Excel formulas for calculatio'!A:G,7,FALSE)</f>
        <v>82</v>
      </c>
      <c r="I89" s="23" t="s">
        <v>312</v>
      </c>
      <c r="J89" s="4" t="str">
        <f t="shared" si="7"/>
        <v>Kitchen Cutting Board</v>
      </c>
      <c r="K89" s="4" t="str">
        <f t="shared" si="8"/>
        <v>Home</v>
      </c>
      <c r="L89" s="4" t="str">
        <f t="shared" si="9"/>
        <v>Kitchen</v>
      </c>
      <c r="M89" s="4" t="str">
        <f t="shared" si="10"/>
        <v>Taylor, Dodson and Johnston</v>
      </c>
      <c r="N89" s="4">
        <f t="shared" si="11"/>
        <v>176.07</v>
      </c>
      <c r="O89" s="4">
        <f t="shared" si="12"/>
        <v>82</v>
      </c>
    </row>
    <row r="90" spans="1:15" x14ac:dyDescent="0.25">
      <c r="A90" s="24" t="s">
        <v>315</v>
      </c>
      <c r="B90" s="4" t="str">
        <f>VLOOKUP(A90,'f Excel formulas for calculatio'!A:G,2,FALSE)</f>
        <v>LED Bedside Lamp</v>
      </c>
      <c r="C90" s="4" t="str">
        <f>VLOOKUP(A90,'f Excel formulas for calculatio'!A:G,3,FALSE)</f>
        <v>Home</v>
      </c>
      <c r="D90" s="4" t="str">
        <f>VLOOKUP(A90,'f Excel formulas for calculatio'!A:G,4,FALSE)</f>
        <v>Lighting</v>
      </c>
      <c r="E90" s="4" t="str">
        <f>VLOOKUP(A90,'f Excel formulas for calculatio'!A:G,5,FALSE)</f>
        <v>Aguilar, Horton and Lewis</v>
      </c>
      <c r="F90" s="4">
        <f>VLOOKUP(A90,'f Excel formulas for calculatio'!A:G,6,FALSE)</f>
        <v>371.38</v>
      </c>
      <c r="G90" s="4">
        <f>VLOOKUP(A90,'f Excel formulas for calculatio'!A:G,7,FALSE)</f>
        <v>220</v>
      </c>
      <c r="I90" s="24" t="s">
        <v>315</v>
      </c>
      <c r="J90" s="4" t="str">
        <f t="shared" si="7"/>
        <v>LED Bedside Lamp</v>
      </c>
      <c r="K90" s="4" t="str">
        <f t="shared" si="8"/>
        <v>Home</v>
      </c>
      <c r="L90" s="4" t="str">
        <f t="shared" si="9"/>
        <v>Lighting</v>
      </c>
      <c r="M90" s="4" t="str">
        <f t="shared" si="10"/>
        <v>Aguilar, Horton and Lewis</v>
      </c>
      <c r="N90" s="4">
        <f t="shared" si="11"/>
        <v>371.38</v>
      </c>
      <c r="O90" s="4">
        <f t="shared" si="12"/>
        <v>220</v>
      </c>
    </row>
    <row r="91" spans="1:15" x14ac:dyDescent="0.25">
      <c r="A91" s="23" t="s">
        <v>318</v>
      </c>
      <c r="B91" s="4" t="str">
        <f>VLOOKUP(A91,'f Excel formulas for calculatio'!A:G,2,FALSE)</f>
        <v>Sports Wrist Sweatbands</v>
      </c>
      <c r="C91" s="4" t="str">
        <f>VLOOKUP(A91,'f Excel formulas for calculatio'!A:G,3,FALSE)</f>
        <v>Sports</v>
      </c>
      <c r="D91" s="4" t="str">
        <f>VLOOKUP(A91,'f Excel formulas for calculatio'!A:G,4,FALSE)</f>
        <v>Accessories</v>
      </c>
      <c r="E91" s="4" t="str">
        <f>VLOOKUP(A91,'f Excel formulas for calculatio'!A:G,5,FALSE)</f>
        <v>Olsen-Daniels</v>
      </c>
      <c r="F91" s="4">
        <f>VLOOKUP(A91,'f Excel formulas for calculatio'!A:G,6,FALSE)</f>
        <v>131.24</v>
      </c>
      <c r="G91" s="4">
        <f>VLOOKUP(A91,'f Excel formulas for calculatio'!A:G,7,FALSE)</f>
        <v>232</v>
      </c>
      <c r="I91" s="23" t="s">
        <v>318</v>
      </c>
      <c r="J91" s="4" t="str">
        <f t="shared" si="7"/>
        <v>Sports Wrist Sweatbands</v>
      </c>
      <c r="K91" s="4" t="str">
        <f t="shared" si="8"/>
        <v>Sports</v>
      </c>
      <c r="L91" s="4" t="str">
        <f t="shared" si="9"/>
        <v>Accessories</v>
      </c>
      <c r="M91" s="4" t="str">
        <f t="shared" si="10"/>
        <v>Olsen-Daniels</v>
      </c>
      <c r="N91" s="4">
        <f t="shared" si="11"/>
        <v>131.24</v>
      </c>
      <c r="O91" s="4">
        <f t="shared" si="12"/>
        <v>232</v>
      </c>
    </row>
    <row r="92" spans="1:15" x14ac:dyDescent="0.25">
      <c r="A92" s="24" t="s">
        <v>321</v>
      </c>
      <c r="B92" s="4" t="str">
        <f>VLOOKUP(A92,'f Excel formulas for calculatio'!A:G,2,FALSE)</f>
        <v>Face Foundation Kit</v>
      </c>
      <c r="C92" s="4" t="str">
        <f>VLOOKUP(A92,'f Excel formulas for calculatio'!A:G,3,FALSE)</f>
        <v>Beauty</v>
      </c>
      <c r="D92" s="4" t="str">
        <f>VLOOKUP(A92,'f Excel formulas for calculatio'!A:G,4,FALSE)</f>
        <v>Makeup</v>
      </c>
      <c r="E92" s="4" t="str">
        <f>VLOOKUP(A92,'f Excel formulas for calculatio'!A:G,5,FALSE)</f>
        <v>Taylor-Elliott</v>
      </c>
      <c r="F92" s="4">
        <f>VLOOKUP(A92,'f Excel formulas for calculatio'!A:G,6,FALSE)</f>
        <v>183.04</v>
      </c>
      <c r="G92" s="4">
        <f>VLOOKUP(A92,'f Excel formulas for calculatio'!A:G,7,FALSE)</f>
        <v>457</v>
      </c>
      <c r="I92" s="24" t="s">
        <v>321</v>
      </c>
      <c r="J92" s="4" t="str">
        <f t="shared" si="7"/>
        <v>Face Foundation Kit</v>
      </c>
      <c r="K92" s="4" t="str">
        <f t="shared" si="8"/>
        <v>Beauty</v>
      </c>
      <c r="L92" s="4" t="str">
        <f t="shared" si="9"/>
        <v>Makeup</v>
      </c>
      <c r="M92" s="4" t="str">
        <f t="shared" si="10"/>
        <v>Taylor-Elliott</v>
      </c>
      <c r="N92" s="4">
        <f t="shared" si="11"/>
        <v>183.04</v>
      </c>
      <c r="O92" s="4">
        <f t="shared" si="12"/>
        <v>457</v>
      </c>
    </row>
    <row r="93" spans="1:15" x14ac:dyDescent="0.25">
      <c r="A93" s="23" t="s">
        <v>324</v>
      </c>
      <c r="B93" s="4" t="str">
        <f>VLOOKUP(A93,'f Excel formulas for calculatio'!A:G,2,FALSE)</f>
        <v>Gaming Mouse Pad XL</v>
      </c>
      <c r="C93" s="4" t="str">
        <f>VLOOKUP(A93,'f Excel formulas for calculatio'!A:G,3,FALSE)</f>
        <v>Electronics</v>
      </c>
      <c r="D93" s="4" t="str">
        <f>VLOOKUP(A93,'f Excel formulas for calculatio'!A:G,4,FALSE)</f>
        <v>Accessories</v>
      </c>
      <c r="E93" s="4" t="str">
        <f>VLOOKUP(A93,'f Excel formulas for calculatio'!A:G,5,FALSE)</f>
        <v>Sharp, Taylor and Rodriguez</v>
      </c>
      <c r="F93" s="4">
        <f>VLOOKUP(A93,'f Excel formulas for calculatio'!A:G,6,FALSE)</f>
        <v>340.14</v>
      </c>
      <c r="G93" s="4">
        <f>VLOOKUP(A93,'f Excel formulas for calculatio'!A:G,7,FALSE)</f>
        <v>361</v>
      </c>
      <c r="I93" s="23" t="s">
        <v>324</v>
      </c>
      <c r="J93" s="4" t="str">
        <f t="shared" si="7"/>
        <v>Gaming Mouse Pad XL</v>
      </c>
      <c r="K93" s="4" t="str">
        <f t="shared" si="8"/>
        <v>Electronics</v>
      </c>
      <c r="L93" s="4" t="str">
        <f t="shared" si="9"/>
        <v>Accessories</v>
      </c>
      <c r="M93" s="4" t="str">
        <f t="shared" si="10"/>
        <v>Sharp, Taylor and Rodriguez</v>
      </c>
      <c r="N93" s="4">
        <f t="shared" si="11"/>
        <v>340.14</v>
      </c>
      <c r="O93" s="4">
        <f t="shared" si="12"/>
        <v>361</v>
      </c>
    </row>
    <row r="94" spans="1:15" x14ac:dyDescent="0.25">
      <c r="A94" s="24" t="s">
        <v>327</v>
      </c>
      <c r="B94" s="4" t="str">
        <f>VLOOKUP(A94,'f Excel formulas for calculatio'!A:G,2,FALSE)</f>
        <v>Women's High Heels</v>
      </c>
      <c r="C94" s="4" t="str">
        <f>VLOOKUP(A94,'f Excel formulas for calculatio'!A:G,3,FALSE)</f>
        <v>Clothing</v>
      </c>
      <c r="D94" s="4" t="str">
        <f>VLOOKUP(A94,'f Excel formulas for calculatio'!A:G,4,FALSE)</f>
        <v>Footwear</v>
      </c>
      <c r="E94" s="4" t="str">
        <f>VLOOKUP(A94,'f Excel formulas for calculatio'!A:G,5,FALSE)</f>
        <v>Smith-Charles</v>
      </c>
      <c r="F94" s="4">
        <f>VLOOKUP(A94,'f Excel formulas for calculatio'!A:G,6,FALSE)</f>
        <v>438.25</v>
      </c>
      <c r="G94" s="4">
        <f>VLOOKUP(A94,'f Excel formulas for calculatio'!A:G,7,FALSE)</f>
        <v>496</v>
      </c>
      <c r="I94" s="24" t="s">
        <v>327</v>
      </c>
      <c r="J94" s="4" t="str">
        <f t="shared" si="7"/>
        <v>Women's High Heels</v>
      </c>
      <c r="K94" s="4" t="str">
        <f t="shared" si="8"/>
        <v>Clothing</v>
      </c>
      <c r="L94" s="4" t="str">
        <f t="shared" si="9"/>
        <v>Footwear</v>
      </c>
      <c r="M94" s="4" t="str">
        <f t="shared" si="10"/>
        <v>Smith-Charles</v>
      </c>
      <c r="N94" s="4">
        <f t="shared" si="11"/>
        <v>438.25</v>
      </c>
      <c r="O94" s="4">
        <f t="shared" si="12"/>
        <v>496</v>
      </c>
    </row>
    <row r="95" spans="1:15" x14ac:dyDescent="0.25">
      <c r="A95" s="23" t="s">
        <v>330</v>
      </c>
      <c r="B95" s="4" t="str">
        <f>VLOOKUP(A95,'f Excel formulas for calculatio'!A:G,2,FALSE)</f>
        <v>Microwave Oven</v>
      </c>
      <c r="C95" s="4" t="str">
        <f>VLOOKUP(A95,'f Excel formulas for calculatio'!A:G,3,FALSE)</f>
        <v>Home</v>
      </c>
      <c r="D95" s="4" t="str">
        <f>VLOOKUP(A95,'f Excel formulas for calculatio'!A:G,4,FALSE)</f>
        <v>Appliances</v>
      </c>
      <c r="E95" s="4" t="str">
        <f>VLOOKUP(A95,'f Excel formulas for calculatio'!A:G,5,FALSE)</f>
        <v>Green, Powell and Palmer</v>
      </c>
      <c r="F95" s="4">
        <f>VLOOKUP(A95,'f Excel formulas for calculatio'!A:G,6,FALSE)</f>
        <v>447.43</v>
      </c>
      <c r="G95" s="4">
        <f>VLOOKUP(A95,'f Excel formulas for calculatio'!A:G,7,FALSE)</f>
        <v>191</v>
      </c>
      <c r="I95" s="23" t="s">
        <v>330</v>
      </c>
      <c r="J95" s="4" t="str">
        <f t="shared" si="7"/>
        <v>Microwave Oven</v>
      </c>
      <c r="K95" s="4" t="str">
        <f t="shared" si="8"/>
        <v>Home</v>
      </c>
      <c r="L95" s="4" t="str">
        <f t="shared" si="9"/>
        <v>Appliances</v>
      </c>
      <c r="M95" s="4" t="str">
        <f t="shared" si="10"/>
        <v>Green, Powell and Palmer</v>
      </c>
      <c r="N95" s="4">
        <f t="shared" si="11"/>
        <v>447.43</v>
      </c>
      <c r="O95" s="4">
        <f t="shared" si="12"/>
        <v>191</v>
      </c>
    </row>
    <row r="96" spans="1:15" x14ac:dyDescent="0.25">
      <c r="A96" s="24" t="s">
        <v>333</v>
      </c>
      <c r="B96" s="4" t="str">
        <f>VLOOKUP(A96,'f Excel formulas for calculatio'!A:G,2,FALSE)</f>
        <v>USB-C Laptop Charger</v>
      </c>
      <c r="C96" s="4" t="str">
        <f>VLOOKUP(A96,'f Excel formulas for calculatio'!A:G,3,FALSE)</f>
        <v>Electronics</v>
      </c>
      <c r="D96" s="4" t="str">
        <f>VLOOKUP(A96,'f Excel formulas for calculatio'!A:G,4,FALSE)</f>
        <v>Computer</v>
      </c>
      <c r="E96" s="4" t="str">
        <f>VLOOKUP(A96,'f Excel formulas for calculatio'!A:G,5,FALSE)</f>
        <v>Martin LLC</v>
      </c>
      <c r="F96" s="4">
        <f>VLOOKUP(A96,'f Excel formulas for calculatio'!A:G,6,FALSE)</f>
        <v>377.52</v>
      </c>
      <c r="G96" s="4">
        <f>VLOOKUP(A96,'f Excel formulas for calculatio'!A:G,7,FALSE)</f>
        <v>485</v>
      </c>
      <c r="I96" s="24" t="s">
        <v>333</v>
      </c>
      <c r="J96" s="4" t="str">
        <f t="shared" si="7"/>
        <v>USB-C Laptop Charger</v>
      </c>
      <c r="K96" s="4" t="str">
        <f t="shared" si="8"/>
        <v>Electronics</v>
      </c>
      <c r="L96" s="4" t="str">
        <f t="shared" si="9"/>
        <v>Computer</v>
      </c>
      <c r="M96" s="4" t="str">
        <f t="shared" si="10"/>
        <v>Martin LLC</v>
      </c>
      <c r="N96" s="4">
        <f t="shared" si="11"/>
        <v>377.52</v>
      </c>
      <c r="O96" s="4">
        <f t="shared" si="12"/>
        <v>485</v>
      </c>
    </row>
    <row r="97" spans="1:15" x14ac:dyDescent="0.25">
      <c r="A97" s="23" t="s">
        <v>336</v>
      </c>
      <c r="B97" s="4" t="str">
        <f>VLOOKUP(A97,'f Excel formulas for calculatio'!A:G,2,FALSE)</f>
        <v>Vitamin E Body Lotion</v>
      </c>
      <c r="C97" s="4" t="str">
        <f>VLOOKUP(A97,'f Excel formulas for calculatio'!A:G,3,FALSE)</f>
        <v>Beauty</v>
      </c>
      <c r="D97" s="4" t="str">
        <f>VLOOKUP(A97,'f Excel formulas for calculatio'!A:G,4,FALSE)</f>
        <v>Skincare</v>
      </c>
      <c r="E97" s="4" t="str">
        <f>VLOOKUP(A97,'f Excel formulas for calculatio'!A:G,5,FALSE)</f>
        <v>Hoffman-Williams</v>
      </c>
      <c r="F97" s="4">
        <f>VLOOKUP(A97,'f Excel formulas for calculatio'!A:G,6,FALSE)</f>
        <v>358.47</v>
      </c>
      <c r="G97" s="4">
        <f>VLOOKUP(A97,'f Excel formulas for calculatio'!A:G,7,FALSE)</f>
        <v>213</v>
      </c>
      <c r="I97" s="23" t="s">
        <v>336</v>
      </c>
      <c r="J97" s="4" t="str">
        <f t="shared" si="7"/>
        <v>Vitamin E Body Lotion</v>
      </c>
      <c r="K97" s="4" t="str">
        <f t="shared" si="8"/>
        <v>Beauty</v>
      </c>
      <c r="L97" s="4" t="str">
        <f t="shared" si="9"/>
        <v>Skincare</v>
      </c>
      <c r="M97" s="4" t="str">
        <f t="shared" si="10"/>
        <v>Hoffman-Williams</v>
      </c>
      <c r="N97" s="4">
        <f t="shared" si="11"/>
        <v>358.47</v>
      </c>
      <c r="O97" s="4">
        <f t="shared" si="12"/>
        <v>213</v>
      </c>
    </row>
    <row r="98" spans="1:15" x14ac:dyDescent="0.25">
      <c r="A98" s="24" t="s">
        <v>339</v>
      </c>
      <c r="B98" s="4" t="str">
        <f>VLOOKUP(A98,'f Excel formulas for calculatio'!A:G,2,FALSE)</f>
        <v>Sports Stopwatch Basic</v>
      </c>
      <c r="C98" s="4" t="str">
        <f>VLOOKUP(A98,'f Excel formulas for calculatio'!A:G,3,FALSE)</f>
        <v>Sports</v>
      </c>
      <c r="D98" s="4" t="str">
        <f>VLOOKUP(A98,'f Excel formulas for calculatio'!A:G,4,FALSE)</f>
        <v>Accessories</v>
      </c>
      <c r="E98" s="4" t="str">
        <f>VLOOKUP(A98,'f Excel formulas for calculatio'!A:G,5,FALSE)</f>
        <v>Wilson Group</v>
      </c>
      <c r="F98" s="4">
        <f>VLOOKUP(A98,'f Excel formulas for calculatio'!A:G,6,FALSE)</f>
        <v>60.65</v>
      </c>
      <c r="G98" s="4">
        <f>VLOOKUP(A98,'f Excel formulas for calculatio'!A:G,7,FALSE)</f>
        <v>75</v>
      </c>
      <c r="I98" s="24" t="s">
        <v>339</v>
      </c>
      <c r="J98" s="4" t="str">
        <f t="shared" si="7"/>
        <v>Sports Stopwatch Basic</v>
      </c>
      <c r="K98" s="4" t="str">
        <f t="shared" si="8"/>
        <v>Sports</v>
      </c>
      <c r="L98" s="4" t="str">
        <f t="shared" si="9"/>
        <v>Accessories</v>
      </c>
      <c r="M98" s="4" t="str">
        <f t="shared" si="10"/>
        <v>Wilson Group</v>
      </c>
      <c r="N98" s="4">
        <f t="shared" si="11"/>
        <v>60.65</v>
      </c>
      <c r="O98" s="4">
        <f t="shared" si="12"/>
        <v>75</v>
      </c>
    </row>
    <row r="99" spans="1:15" x14ac:dyDescent="0.25">
      <c r="A99" s="23" t="s">
        <v>342</v>
      </c>
      <c r="B99" s="4" t="str">
        <f>VLOOKUP(A99,'f Excel formulas for calculatio'!A:G,2,FALSE)</f>
        <v>Women's Formal Blazer</v>
      </c>
      <c r="C99" s="4" t="str">
        <f>VLOOKUP(A99,'f Excel formulas for calculatio'!A:G,3,FALSE)</f>
        <v>Clothing</v>
      </c>
      <c r="D99" s="4" t="str">
        <f>VLOOKUP(A99,'f Excel formulas for calculatio'!A:G,4,FALSE)</f>
        <v>Outerwear</v>
      </c>
      <c r="E99" s="4" t="str">
        <f>VLOOKUP(A99,'f Excel formulas for calculatio'!A:G,5,FALSE)</f>
        <v>Phillips and Sons</v>
      </c>
      <c r="F99" s="4">
        <f>VLOOKUP(A99,'f Excel formulas for calculatio'!A:G,6,FALSE)</f>
        <v>358.47</v>
      </c>
      <c r="G99" s="4">
        <f>VLOOKUP(A99,'f Excel formulas for calculatio'!A:G,7,FALSE)</f>
        <v>143</v>
      </c>
      <c r="I99" s="23" t="s">
        <v>342</v>
      </c>
      <c r="J99" s="4" t="str">
        <f t="shared" si="7"/>
        <v>Women's Formal Blazer</v>
      </c>
      <c r="K99" s="4" t="str">
        <f t="shared" si="8"/>
        <v>Clothing</v>
      </c>
      <c r="L99" s="4" t="str">
        <f t="shared" si="9"/>
        <v>Outerwear</v>
      </c>
      <c r="M99" s="4" t="str">
        <f t="shared" si="10"/>
        <v>Phillips and Sons</v>
      </c>
      <c r="N99" s="4">
        <f t="shared" si="11"/>
        <v>358.47</v>
      </c>
      <c r="O99" s="4">
        <f t="shared" si="12"/>
        <v>143</v>
      </c>
    </row>
    <row r="100" spans="1:15" x14ac:dyDescent="0.25">
      <c r="A100" s="24" t="s">
        <v>345</v>
      </c>
      <c r="B100" s="4" t="str">
        <f>VLOOKUP(A100,'f Excel formulas for calculatio'!A:G,2,FALSE)</f>
        <v>Cricket Bat</v>
      </c>
      <c r="C100" s="4" t="str">
        <f>VLOOKUP(A100,'f Excel formulas for calculatio'!A:G,3,FALSE)</f>
        <v>Sports</v>
      </c>
      <c r="D100" s="4" t="str">
        <f>VLOOKUP(A100,'f Excel formulas for calculatio'!A:G,4,FALSE)</f>
        <v>Team Sports</v>
      </c>
      <c r="E100" s="4" t="str">
        <f>VLOOKUP(A100,'f Excel formulas for calculatio'!A:G,5,FALSE)</f>
        <v>Khan LLC</v>
      </c>
      <c r="F100" s="4">
        <f>VLOOKUP(A100,'f Excel formulas for calculatio'!A:G,6,FALSE)</f>
        <v>245.98</v>
      </c>
      <c r="G100" s="4">
        <f>VLOOKUP(A100,'f Excel formulas for calculatio'!A:G,7,FALSE)</f>
        <v>471</v>
      </c>
      <c r="I100" s="24" t="s">
        <v>345</v>
      </c>
      <c r="J100" s="4" t="str">
        <f t="shared" si="7"/>
        <v>Cricket Bat</v>
      </c>
      <c r="K100" s="4" t="str">
        <f t="shared" si="8"/>
        <v>Sports</v>
      </c>
      <c r="L100" s="4" t="str">
        <f t="shared" si="9"/>
        <v>Team Sports</v>
      </c>
      <c r="M100" s="4" t="str">
        <f t="shared" si="10"/>
        <v>Khan LLC</v>
      </c>
      <c r="N100" s="4">
        <f t="shared" si="11"/>
        <v>245.98</v>
      </c>
      <c r="O100" s="4">
        <f t="shared" si="12"/>
        <v>471</v>
      </c>
    </row>
    <row r="101" spans="1:15" x14ac:dyDescent="0.25">
      <c r="A101" s="23" t="s">
        <v>348</v>
      </c>
      <c r="B101" s="4" t="str">
        <f>VLOOKUP(A101,'f Excel formulas for calculatio'!A:G,2,FALSE)</f>
        <v>Portable Bluetooth Speaker</v>
      </c>
      <c r="C101" s="4" t="str">
        <f>VLOOKUP(A101,'f Excel formulas for calculatio'!A:G,3,FALSE)</f>
        <v>Electronics</v>
      </c>
      <c r="D101" s="4" t="str">
        <f>VLOOKUP(A101,'f Excel formulas for calculatio'!A:G,4,FALSE)</f>
        <v>Audio</v>
      </c>
      <c r="E101" s="4" t="str">
        <f>VLOOKUP(A101,'f Excel formulas for calculatio'!A:G,5,FALSE)</f>
        <v>Flores-King</v>
      </c>
      <c r="F101" s="4">
        <f>VLOOKUP(A101,'f Excel formulas for calculatio'!A:G,6,FALSE)</f>
        <v>431.67</v>
      </c>
      <c r="G101" s="4">
        <f>VLOOKUP(A101,'f Excel formulas for calculatio'!A:G,7,FALSE)</f>
        <v>73</v>
      </c>
      <c r="I101" s="23" t="s">
        <v>348</v>
      </c>
      <c r="J101" s="4" t="str">
        <f t="shared" si="7"/>
        <v>Portable Bluetooth Speaker</v>
      </c>
      <c r="K101" s="4" t="str">
        <f t="shared" si="8"/>
        <v>Electronics</v>
      </c>
      <c r="L101" s="4" t="str">
        <f t="shared" si="9"/>
        <v>Audio</v>
      </c>
      <c r="M101" s="4" t="str">
        <f t="shared" si="10"/>
        <v>Flores-King</v>
      </c>
      <c r="N101" s="4">
        <f t="shared" si="11"/>
        <v>431.67</v>
      </c>
      <c r="O101" s="4">
        <f t="shared" si="12"/>
        <v>73</v>
      </c>
    </row>
    <row r="102" spans="1:15" x14ac:dyDescent="0.25">
      <c r="A102" s="25" t="s">
        <v>351</v>
      </c>
      <c r="B102" s="4" t="str">
        <f>VLOOKUP(A102,'f Excel formulas for calculatio'!A:G,2,FALSE)</f>
        <v>Stainless Steel Cookware Set</v>
      </c>
      <c r="C102" s="4" t="str">
        <f>VLOOKUP(A102,'f Excel formulas for calculatio'!A:G,3,FALSE)</f>
        <v>Home</v>
      </c>
      <c r="D102" s="4" t="str">
        <f>VLOOKUP(A102,'f Excel formulas for calculatio'!A:G,4,FALSE)</f>
        <v>Kitchen</v>
      </c>
      <c r="E102" s="4" t="str">
        <f>VLOOKUP(A102,'f Excel formulas for calculatio'!A:G,5,FALSE)</f>
        <v>Campbell Ltd</v>
      </c>
      <c r="F102" s="4">
        <f>VLOOKUP(A102,'f Excel formulas for calculatio'!A:G,6,FALSE)</f>
        <v>201.41</v>
      </c>
      <c r="G102" s="4">
        <f>VLOOKUP(A102,'f Excel formulas for calculatio'!A:G,7,FALSE)</f>
        <v>146</v>
      </c>
      <c r="I102" s="25" t="s">
        <v>351</v>
      </c>
      <c r="J102" s="4" t="str">
        <f t="shared" si="7"/>
        <v>Stainless Steel Cookware Set</v>
      </c>
      <c r="K102" s="4" t="str">
        <f t="shared" si="8"/>
        <v>Home</v>
      </c>
      <c r="L102" s="4" t="str">
        <f t="shared" si="9"/>
        <v>Kitchen</v>
      </c>
      <c r="M102" s="4" t="str">
        <f t="shared" si="10"/>
        <v>Campbell Ltd</v>
      </c>
      <c r="N102" s="4">
        <f t="shared" si="11"/>
        <v>201.41</v>
      </c>
      <c r="O102" s="4">
        <f t="shared" si="12"/>
        <v>146</v>
      </c>
    </row>
  </sheetData>
  <mergeCells count="2">
    <mergeCell ref="A1:G1"/>
    <mergeCell ref="I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43E2-FD9C-4BD7-AA81-6B1CC7086863}">
  <dimension ref="A3:C9"/>
  <sheetViews>
    <sheetView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2.28515625" bestFit="1" customWidth="1"/>
  </cols>
  <sheetData>
    <row r="3" spans="1:3" x14ac:dyDescent="0.25">
      <c r="A3" s="8" t="s">
        <v>5</v>
      </c>
      <c r="B3" t="s">
        <v>360</v>
      </c>
      <c r="C3" t="s">
        <v>361</v>
      </c>
    </row>
    <row r="4" spans="1:3" x14ac:dyDescent="0.25">
      <c r="A4" s="9" t="s">
        <v>53</v>
      </c>
      <c r="B4" s="28">
        <v>3255.41</v>
      </c>
      <c r="C4" s="28">
        <v>4816</v>
      </c>
    </row>
    <row r="5" spans="1:3" x14ac:dyDescent="0.25">
      <c r="A5" s="9" t="s">
        <v>33</v>
      </c>
      <c r="B5" s="28">
        <v>3985.99</v>
      </c>
      <c r="C5" s="28">
        <v>4931</v>
      </c>
    </row>
    <row r="6" spans="1:3" x14ac:dyDescent="0.25">
      <c r="A6" s="9" t="s">
        <v>28</v>
      </c>
      <c r="B6" s="28">
        <v>6647.66</v>
      </c>
      <c r="C6" s="28">
        <v>5494</v>
      </c>
    </row>
    <row r="7" spans="1:3" x14ac:dyDescent="0.25">
      <c r="A7" s="9" t="s">
        <v>58</v>
      </c>
      <c r="B7" s="28">
        <v>4696.12</v>
      </c>
      <c r="C7" s="28">
        <v>4521</v>
      </c>
    </row>
    <row r="8" spans="1:3" x14ac:dyDescent="0.25">
      <c r="A8" s="9" t="s">
        <v>67</v>
      </c>
      <c r="B8" s="28">
        <v>5294.9199999999992</v>
      </c>
      <c r="C8" s="28">
        <v>6767</v>
      </c>
    </row>
    <row r="9" spans="1:3" x14ac:dyDescent="0.25">
      <c r="A9" s="9" t="s">
        <v>18</v>
      </c>
      <c r="B9" s="28">
        <v>23880.1</v>
      </c>
      <c r="C9" s="28">
        <v>26529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5ACD-497A-4111-8778-937E191B291D}">
  <dimension ref="B2:N102"/>
  <sheetViews>
    <sheetView topLeftCell="A82" workbookViewId="0">
      <selection activeCell="B2" sqref="B2:H102"/>
    </sheetView>
  </sheetViews>
  <sheetFormatPr defaultRowHeight="15" x14ac:dyDescent="0.25"/>
  <cols>
    <col min="2" max="2" width="15.28515625" bestFit="1" customWidth="1"/>
    <col min="3" max="3" width="27.5703125" bestFit="1" customWidth="1"/>
    <col min="4" max="4" width="13.42578125" bestFit="1" customWidth="1"/>
    <col min="5" max="5" width="17.85546875" bestFit="1" customWidth="1"/>
    <col min="6" max="6" width="30" bestFit="1" customWidth="1"/>
    <col min="7" max="7" width="9.42578125" bestFit="1" customWidth="1"/>
    <col min="8" max="8" width="10.28515625" bestFit="1" customWidth="1"/>
    <col min="9" max="9" width="9.28515625" customWidth="1"/>
    <col min="10" max="10" width="18.140625" bestFit="1" customWidth="1"/>
    <col min="11" max="11" width="12.7109375" bestFit="1" customWidth="1"/>
    <col min="12" max="12" width="9.28515625" customWidth="1"/>
    <col min="13" max="13" width="18.140625" bestFit="1" customWidth="1"/>
    <col min="14" max="14" width="12.7109375" bestFit="1" customWidth="1"/>
  </cols>
  <sheetData>
    <row r="2" spans="2:14" x14ac:dyDescent="0.25">
      <c r="B2" s="1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3" t="s">
        <v>25</v>
      </c>
    </row>
    <row r="3" spans="2:14" x14ac:dyDescent="0.25">
      <c r="B3" s="1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>
        <v>112.42</v>
      </c>
      <c r="H3" s="15">
        <v>416</v>
      </c>
      <c r="J3" s="29" t="s">
        <v>24</v>
      </c>
      <c r="K3" s="29"/>
      <c r="M3" s="29" t="s">
        <v>25</v>
      </c>
      <c r="N3" s="29"/>
    </row>
    <row r="4" spans="2:14" x14ac:dyDescent="0.25">
      <c r="B4" s="1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>
        <v>342.56</v>
      </c>
      <c r="H4" s="15">
        <v>181</v>
      </c>
      <c r="J4" s="30"/>
      <c r="K4" s="30"/>
      <c r="M4" s="30"/>
      <c r="N4" s="30"/>
    </row>
    <row r="5" spans="2:14" x14ac:dyDescent="0.25">
      <c r="B5" s="14" t="s">
        <v>36</v>
      </c>
      <c r="C5" s="4" t="s">
        <v>37</v>
      </c>
      <c r="D5" s="4" t="s">
        <v>33</v>
      </c>
      <c r="E5" s="4" t="s">
        <v>38</v>
      </c>
      <c r="F5" s="4" t="s">
        <v>39</v>
      </c>
      <c r="G5" s="4"/>
      <c r="H5" s="15">
        <v>352</v>
      </c>
      <c r="J5" s="30" t="s">
        <v>6</v>
      </c>
      <c r="K5" s="30">
        <v>254.04361702127662</v>
      </c>
      <c r="M5" s="30" t="s">
        <v>6</v>
      </c>
      <c r="N5" s="30">
        <v>273.49484536082474</v>
      </c>
    </row>
    <row r="6" spans="2:14" x14ac:dyDescent="0.25">
      <c r="B6" s="14" t="s">
        <v>357</v>
      </c>
      <c r="C6" s="4" t="s">
        <v>41</v>
      </c>
      <c r="D6" s="4" t="s">
        <v>33</v>
      </c>
      <c r="E6" s="4" t="s">
        <v>38</v>
      </c>
      <c r="F6" s="4" t="s">
        <v>42</v>
      </c>
      <c r="G6" s="4">
        <v>364.67</v>
      </c>
      <c r="H6" s="15">
        <v>452</v>
      </c>
      <c r="J6" s="30" t="s">
        <v>7</v>
      </c>
      <c r="K6" s="30">
        <v>13.92154285544127</v>
      </c>
      <c r="M6" s="30" t="s">
        <v>7</v>
      </c>
      <c r="N6" s="30">
        <v>13.399044399936642</v>
      </c>
    </row>
    <row r="7" spans="2:14" x14ac:dyDescent="0.25">
      <c r="B7" s="14" t="s">
        <v>43</v>
      </c>
      <c r="C7" s="4" t="s">
        <v>44</v>
      </c>
      <c r="D7" s="4" t="s">
        <v>33</v>
      </c>
      <c r="E7" s="4" t="s">
        <v>45</v>
      </c>
      <c r="F7" s="4" t="s">
        <v>46</v>
      </c>
      <c r="G7" s="4">
        <v>306.45999999999998</v>
      </c>
      <c r="H7" s="15">
        <v>487</v>
      </c>
      <c r="J7" s="30" t="s">
        <v>8</v>
      </c>
      <c r="K7" s="30">
        <v>242.96499999999997</v>
      </c>
      <c r="M7" s="30" t="s">
        <v>8</v>
      </c>
      <c r="N7" s="30">
        <v>276</v>
      </c>
    </row>
    <row r="8" spans="2:14" x14ac:dyDescent="0.25">
      <c r="B8" s="14" t="s">
        <v>47</v>
      </c>
      <c r="C8" s="4" t="s">
        <v>48</v>
      </c>
      <c r="D8" s="4" t="s">
        <v>33</v>
      </c>
      <c r="E8" s="4" t="s">
        <v>49</v>
      </c>
      <c r="F8" s="4" t="s">
        <v>50</v>
      </c>
      <c r="G8" s="4">
        <v>261</v>
      </c>
      <c r="H8" s="15">
        <v>59</v>
      </c>
      <c r="J8" s="30" t="s">
        <v>9</v>
      </c>
      <c r="K8" s="30">
        <v>358.47</v>
      </c>
      <c r="M8" s="30" t="s">
        <v>9</v>
      </c>
      <c r="N8" s="30">
        <v>82</v>
      </c>
    </row>
    <row r="9" spans="2:14" x14ac:dyDescent="0.25">
      <c r="B9" s="1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>
        <v>312.8</v>
      </c>
      <c r="H9" s="15">
        <v>350</v>
      </c>
      <c r="J9" s="30" t="s">
        <v>10</v>
      </c>
      <c r="K9" s="30">
        <v>134.97436576896172</v>
      </c>
      <c r="M9" s="30" t="s">
        <v>10</v>
      </c>
      <c r="N9" s="30">
        <v>131.96528297492839</v>
      </c>
    </row>
    <row r="10" spans="2:14" x14ac:dyDescent="0.25">
      <c r="B10" s="1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>
        <v>218.86</v>
      </c>
      <c r="H10" s="15">
        <v>170</v>
      </c>
      <c r="J10" s="30" t="s">
        <v>11</v>
      </c>
      <c r="K10" s="30">
        <v>18218.079414733464</v>
      </c>
      <c r="M10" s="30" t="s">
        <v>11</v>
      </c>
      <c r="N10" s="30">
        <v>17414.835910652921</v>
      </c>
    </row>
    <row r="11" spans="2:14" x14ac:dyDescent="0.25">
      <c r="B11" s="14" t="s">
        <v>61</v>
      </c>
      <c r="C11" s="4" t="s">
        <v>62</v>
      </c>
      <c r="D11" s="4" t="s">
        <v>28</v>
      </c>
      <c r="E11" s="4" t="s">
        <v>63</v>
      </c>
      <c r="F11" s="4" t="s">
        <v>64</v>
      </c>
      <c r="G11" s="4">
        <v>439.07</v>
      </c>
      <c r="H11" s="15">
        <v>142</v>
      </c>
      <c r="J11" s="30" t="s">
        <v>12</v>
      </c>
      <c r="K11" s="30">
        <v>-1.0773126563860269</v>
      </c>
      <c r="M11" s="30" t="s">
        <v>12</v>
      </c>
      <c r="N11" s="30">
        <v>-1.2111477278168699</v>
      </c>
    </row>
    <row r="12" spans="2:14" x14ac:dyDescent="0.25">
      <c r="B12" s="1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>
        <v>495.72</v>
      </c>
      <c r="H12" s="15">
        <v>323</v>
      </c>
      <c r="J12" s="30" t="s">
        <v>13</v>
      </c>
      <c r="K12" s="30">
        <v>5.0774302342751175E-2</v>
      </c>
      <c r="M12" s="30" t="s">
        <v>13</v>
      </c>
      <c r="N12" s="30">
        <v>-7.5786925217759121E-3</v>
      </c>
    </row>
    <row r="13" spans="2:14" x14ac:dyDescent="0.25">
      <c r="B13" s="14" t="s">
        <v>70</v>
      </c>
      <c r="C13" s="4" t="s">
        <v>71</v>
      </c>
      <c r="D13" s="4" t="s">
        <v>58</v>
      </c>
      <c r="E13" s="4" t="s">
        <v>72</v>
      </c>
      <c r="F13" s="4" t="s">
        <v>73</v>
      </c>
      <c r="G13" s="4">
        <v>298.86</v>
      </c>
      <c r="H13" s="15">
        <v>308</v>
      </c>
      <c r="J13" s="30" t="s">
        <v>14</v>
      </c>
      <c r="K13" s="30">
        <v>478.41</v>
      </c>
      <c r="M13" s="30" t="s">
        <v>14</v>
      </c>
      <c r="N13" s="30">
        <v>439</v>
      </c>
    </row>
    <row r="14" spans="2:14" x14ac:dyDescent="0.25">
      <c r="B14" s="14" t="s">
        <v>74</v>
      </c>
      <c r="C14" s="4" t="s">
        <v>75</v>
      </c>
      <c r="D14" s="4" t="s">
        <v>28</v>
      </c>
      <c r="E14" s="4" t="s">
        <v>49</v>
      </c>
      <c r="F14" s="4" t="s">
        <v>76</v>
      </c>
      <c r="G14" s="4">
        <v>449.4</v>
      </c>
      <c r="H14" s="15"/>
      <c r="J14" s="30" t="s">
        <v>15</v>
      </c>
      <c r="K14" s="30">
        <v>17.309999999999999</v>
      </c>
      <c r="M14" s="30" t="s">
        <v>15</v>
      </c>
      <c r="N14" s="30">
        <v>57</v>
      </c>
    </row>
    <row r="15" spans="2:14" x14ac:dyDescent="0.25">
      <c r="B15" s="14" t="s">
        <v>77</v>
      </c>
      <c r="C15" s="4" t="s">
        <v>78</v>
      </c>
      <c r="D15" s="4" t="s">
        <v>53</v>
      </c>
      <c r="E15" s="4" t="s">
        <v>79</v>
      </c>
      <c r="F15" s="4" t="s">
        <v>80</v>
      </c>
      <c r="G15" s="4">
        <v>115.82</v>
      </c>
      <c r="H15" s="15">
        <v>460</v>
      </c>
      <c r="J15" s="30" t="s">
        <v>16</v>
      </c>
      <c r="K15" s="30">
        <v>495.72</v>
      </c>
      <c r="M15" s="30" t="s">
        <v>16</v>
      </c>
      <c r="N15" s="30">
        <v>496</v>
      </c>
    </row>
    <row r="16" spans="2:14" x14ac:dyDescent="0.25">
      <c r="B16" s="14" t="s">
        <v>81</v>
      </c>
      <c r="C16" s="4" t="s">
        <v>82</v>
      </c>
      <c r="D16" s="4" t="s">
        <v>28</v>
      </c>
      <c r="E16" s="4" t="s">
        <v>49</v>
      </c>
      <c r="F16" s="4" t="s">
        <v>83</v>
      </c>
      <c r="G16" s="4">
        <v>242.23</v>
      </c>
      <c r="H16" s="15">
        <v>453</v>
      </c>
      <c r="J16" s="30" t="s">
        <v>3</v>
      </c>
      <c r="K16" s="30">
        <v>23880.100000000002</v>
      </c>
      <c r="M16" s="30" t="s">
        <v>3</v>
      </c>
      <c r="N16" s="30">
        <v>26529</v>
      </c>
    </row>
    <row r="17" spans="2:14" x14ac:dyDescent="0.25">
      <c r="B17" s="14" t="s">
        <v>84</v>
      </c>
      <c r="C17" s="4" t="s">
        <v>85</v>
      </c>
      <c r="D17" s="4" t="s">
        <v>58</v>
      </c>
      <c r="E17" s="4" t="s">
        <v>86</v>
      </c>
      <c r="F17" s="4" t="s">
        <v>87</v>
      </c>
      <c r="G17" s="4">
        <v>48.01</v>
      </c>
      <c r="H17" s="15">
        <v>439</v>
      </c>
      <c r="J17" s="30" t="s">
        <v>17</v>
      </c>
      <c r="K17" s="30">
        <v>94</v>
      </c>
      <c r="M17" s="30" t="s">
        <v>17</v>
      </c>
      <c r="N17" s="30">
        <v>97</v>
      </c>
    </row>
    <row r="18" spans="2:14" x14ac:dyDescent="0.25">
      <c r="B18" s="14" t="s">
        <v>88</v>
      </c>
      <c r="C18" s="4" t="s">
        <v>89</v>
      </c>
      <c r="D18" s="4" t="s">
        <v>28</v>
      </c>
      <c r="E18" s="4" t="s">
        <v>90</v>
      </c>
      <c r="F18" s="4" t="s">
        <v>91</v>
      </c>
      <c r="G18" s="4">
        <v>465.34</v>
      </c>
      <c r="H18" s="15">
        <v>301</v>
      </c>
    </row>
    <row r="19" spans="2:14" x14ac:dyDescent="0.25">
      <c r="B19" s="14" t="s">
        <v>358</v>
      </c>
      <c r="C19" s="4" t="s">
        <v>93</v>
      </c>
      <c r="D19" s="4" t="s">
        <v>53</v>
      </c>
      <c r="E19" s="4" t="s">
        <v>94</v>
      </c>
      <c r="F19" s="4" t="s">
        <v>95</v>
      </c>
      <c r="G19" s="4">
        <v>337.42</v>
      </c>
      <c r="H19" s="15">
        <v>256</v>
      </c>
    </row>
    <row r="20" spans="2:14" x14ac:dyDescent="0.25">
      <c r="B20" s="14" t="s">
        <v>96</v>
      </c>
      <c r="C20" s="4" t="s">
        <v>97</v>
      </c>
      <c r="D20" s="4" t="s">
        <v>67</v>
      </c>
      <c r="E20" s="4" t="s">
        <v>49</v>
      </c>
      <c r="F20" s="4" t="s">
        <v>98</v>
      </c>
      <c r="G20" s="4">
        <v>144.53</v>
      </c>
      <c r="H20" s="15">
        <v>367</v>
      </c>
    </row>
    <row r="21" spans="2:14" x14ac:dyDescent="0.25">
      <c r="B21" s="14" t="s">
        <v>99</v>
      </c>
      <c r="C21" s="4" t="s">
        <v>100</v>
      </c>
      <c r="D21" s="4" t="s">
        <v>33</v>
      </c>
      <c r="E21" s="4" t="s">
        <v>45</v>
      </c>
      <c r="F21" s="4" t="s">
        <v>101</v>
      </c>
      <c r="G21" s="4"/>
      <c r="H21" s="15">
        <v>343</v>
      </c>
    </row>
    <row r="22" spans="2:14" x14ac:dyDescent="0.25">
      <c r="B22" s="14" t="s">
        <v>102</v>
      </c>
      <c r="C22" s="4" t="s">
        <v>103</v>
      </c>
      <c r="D22" s="4" t="s">
        <v>67</v>
      </c>
      <c r="E22" s="4" t="s">
        <v>104</v>
      </c>
      <c r="F22" s="4" t="s">
        <v>105</v>
      </c>
      <c r="G22" s="4">
        <v>21.34</v>
      </c>
      <c r="H22" s="15">
        <v>65</v>
      </c>
    </row>
    <row r="23" spans="2:14" x14ac:dyDescent="0.25">
      <c r="B23" s="14" t="s">
        <v>106</v>
      </c>
      <c r="C23" s="4" t="s">
        <v>107</v>
      </c>
      <c r="D23" s="4" t="s">
        <v>67</v>
      </c>
      <c r="E23" s="4" t="s">
        <v>49</v>
      </c>
      <c r="F23" s="4" t="s">
        <v>108</v>
      </c>
      <c r="G23" s="4">
        <v>131.51</v>
      </c>
      <c r="H23" s="15"/>
    </row>
    <row r="24" spans="2:14" x14ac:dyDescent="0.25">
      <c r="B24" s="14" t="s">
        <v>109</v>
      </c>
      <c r="C24" s="4" t="s">
        <v>110</v>
      </c>
      <c r="D24" s="4" t="s">
        <v>58</v>
      </c>
      <c r="E24" s="4" t="s">
        <v>111</v>
      </c>
      <c r="F24" s="4" t="s">
        <v>112</v>
      </c>
      <c r="G24" s="4">
        <v>123.46</v>
      </c>
      <c r="H24" s="15">
        <v>76</v>
      </c>
    </row>
    <row r="25" spans="2:14" x14ac:dyDescent="0.25">
      <c r="B25" s="14" t="s">
        <v>113</v>
      </c>
      <c r="C25" s="4" t="s">
        <v>114</v>
      </c>
      <c r="D25" s="4" t="s">
        <v>67</v>
      </c>
      <c r="E25" s="4" t="s">
        <v>104</v>
      </c>
      <c r="F25" s="4" t="s">
        <v>115</v>
      </c>
      <c r="G25" s="4">
        <v>484.62</v>
      </c>
      <c r="H25" s="15">
        <v>432</v>
      </c>
    </row>
    <row r="26" spans="2:14" x14ac:dyDescent="0.25">
      <c r="B26" s="14" t="s">
        <v>116</v>
      </c>
      <c r="C26" s="4" t="s">
        <v>117</v>
      </c>
      <c r="D26" s="4" t="s">
        <v>33</v>
      </c>
      <c r="E26" s="4" t="s">
        <v>34</v>
      </c>
      <c r="F26" s="4" t="s">
        <v>118</v>
      </c>
      <c r="G26" s="4"/>
      <c r="H26" s="15">
        <v>360</v>
      </c>
    </row>
    <row r="27" spans="2:14" x14ac:dyDescent="0.25">
      <c r="B27" s="14" t="s">
        <v>119</v>
      </c>
      <c r="C27" s="4" t="s">
        <v>120</v>
      </c>
      <c r="D27" s="4" t="s">
        <v>67</v>
      </c>
      <c r="E27" s="4" t="s">
        <v>121</v>
      </c>
      <c r="F27" s="4" t="s">
        <v>122</v>
      </c>
      <c r="G27" s="4">
        <v>166.06</v>
      </c>
      <c r="H27" s="15">
        <v>340</v>
      </c>
    </row>
    <row r="28" spans="2:14" x14ac:dyDescent="0.25">
      <c r="B28" s="14" t="s">
        <v>123</v>
      </c>
      <c r="C28" s="4" t="s">
        <v>124</v>
      </c>
      <c r="D28" s="4" t="s">
        <v>33</v>
      </c>
      <c r="E28" s="4" t="s">
        <v>49</v>
      </c>
      <c r="F28" s="4" t="s">
        <v>125</v>
      </c>
      <c r="G28" s="4">
        <v>174.02</v>
      </c>
      <c r="H28" s="15">
        <v>268</v>
      </c>
    </row>
    <row r="29" spans="2:14" x14ac:dyDescent="0.25">
      <c r="B29" s="14" t="s">
        <v>126</v>
      </c>
      <c r="C29" s="4" t="s">
        <v>127</v>
      </c>
      <c r="D29" s="4" t="s">
        <v>28</v>
      </c>
      <c r="E29" s="4" t="s">
        <v>63</v>
      </c>
      <c r="F29" s="4" t="s">
        <v>128</v>
      </c>
      <c r="G29" s="4">
        <v>322.41000000000003</v>
      </c>
      <c r="H29" s="15">
        <v>213</v>
      </c>
    </row>
    <row r="30" spans="2:14" x14ac:dyDescent="0.25">
      <c r="B30" s="14" t="s">
        <v>129</v>
      </c>
      <c r="C30" s="4" t="s">
        <v>130</v>
      </c>
      <c r="D30" s="4" t="s">
        <v>58</v>
      </c>
      <c r="E30" s="4" t="s">
        <v>86</v>
      </c>
      <c r="F30" s="4" t="s">
        <v>131</v>
      </c>
      <c r="G30" s="4"/>
      <c r="H30" s="15">
        <v>378</v>
      </c>
    </row>
    <row r="31" spans="2:14" x14ac:dyDescent="0.25">
      <c r="B31" s="14" t="s">
        <v>132</v>
      </c>
      <c r="C31" s="4" t="s">
        <v>133</v>
      </c>
      <c r="D31" s="4" t="s">
        <v>67</v>
      </c>
      <c r="E31" s="4" t="s">
        <v>49</v>
      </c>
      <c r="F31" s="4" t="s">
        <v>134</v>
      </c>
      <c r="G31" s="4">
        <v>38.76</v>
      </c>
      <c r="H31" s="15">
        <v>137</v>
      </c>
    </row>
    <row r="32" spans="2:14" x14ac:dyDescent="0.25">
      <c r="B32" s="14" t="s">
        <v>135</v>
      </c>
      <c r="C32" s="4" t="s">
        <v>136</v>
      </c>
      <c r="D32" s="4" t="s">
        <v>58</v>
      </c>
      <c r="E32" s="4" t="s">
        <v>86</v>
      </c>
      <c r="F32" s="4" t="s">
        <v>137</v>
      </c>
      <c r="G32" s="4">
        <v>218.48</v>
      </c>
      <c r="H32" s="15">
        <v>276</v>
      </c>
    </row>
    <row r="33" spans="2:8" x14ac:dyDescent="0.25">
      <c r="B33" s="14" t="s">
        <v>138</v>
      </c>
      <c r="C33" s="4" t="s">
        <v>139</v>
      </c>
      <c r="D33" s="4" t="s">
        <v>58</v>
      </c>
      <c r="E33" s="4" t="s">
        <v>72</v>
      </c>
      <c r="F33" s="4" t="s">
        <v>140</v>
      </c>
      <c r="G33" s="4">
        <v>19.52</v>
      </c>
      <c r="H33" s="15">
        <v>57</v>
      </c>
    </row>
    <row r="34" spans="2:8" x14ac:dyDescent="0.25">
      <c r="B34" s="14" t="s">
        <v>141</v>
      </c>
      <c r="C34" s="4" t="s">
        <v>142</v>
      </c>
      <c r="D34" s="4" t="s">
        <v>67</v>
      </c>
      <c r="E34" s="4" t="s">
        <v>143</v>
      </c>
      <c r="F34" s="4" t="s">
        <v>144</v>
      </c>
      <c r="G34" s="4">
        <v>204.39</v>
      </c>
      <c r="H34" s="15">
        <v>281</v>
      </c>
    </row>
    <row r="35" spans="2:8" x14ac:dyDescent="0.25">
      <c r="B35" s="14" t="s">
        <v>145</v>
      </c>
      <c r="C35" s="4" t="s">
        <v>146</v>
      </c>
      <c r="D35" s="4" t="s">
        <v>53</v>
      </c>
      <c r="E35" s="4" t="s">
        <v>54</v>
      </c>
      <c r="F35" s="4" t="s">
        <v>147</v>
      </c>
      <c r="G35" s="4">
        <v>283.83</v>
      </c>
      <c r="H35" s="15">
        <v>244</v>
      </c>
    </row>
    <row r="36" spans="2:8" x14ac:dyDescent="0.25">
      <c r="B36" s="14" t="s">
        <v>148</v>
      </c>
      <c r="C36" s="4" t="s">
        <v>149</v>
      </c>
      <c r="D36" s="4" t="s">
        <v>58</v>
      </c>
      <c r="E36" s="4" t="s">
        <v>86</v>
      </c>
      <c r="F36" s="4" t="s">
        <v>150</v>
      </c>
      <c r="G36" s="4">
        <v>179.77</v>
      </c>
      <c r="H36" s="15">
        <v>305</v>
      </c>
    </row>
    <row r="37" spans="2:8" x14ac:dyDescent="0.25">
      <c r="B37" s="14" t="s">
        <v>151</v>
      </c>
      <c r="C37" s="4" t="s">
        <v>152</v>
      </c>
      <c r="D37" s="4" t="s">
        <v>28</v>
      </c>
      <c r="E37" s="4" t="s">
        <v>29</v>
      </c>
      <c r="F37" s="4" t="s">
        <v>153</v>
      </c>
      <c r="G37" s="4">
        <v>419.28</v>
      </c>
      <c r="H37" s="15">
        <v>86</v>
      </c>
    </row>
    <row r="38" spans="2:8" x14ac:dyDescent="0.25">
      <c r="B38" s="14" t="s">
        <v>154</v>
      </c>
      <c r="C38" s="4" t="s">
        <v>155</v>
      </c>
      <c r="D38" s="4" t="s">
        <v>58</v>
      </c>
      <c r="E38" s="4" t="s">
        <v>59</v>
      </c>
      <c r="F38" s="4" t="s">
        <v>156</v>
      </c>
      <c r="G38" s="4">
        <v>382.22</v>
      </c>
      <c r="H38" s="15">
        <v>329</v>
      </c>
    </row>
    <row r="39" spans="2:8" x14ac:dyDescent="0.25">
      <c r="B39" s="14" t="s">
        <v>157</v>
      </c>
      <c r="C39" s="4" t="s">
        <v>158</v>
      </c>
      <c r="D39" s="4" t="s">
        <v>33</v>
      </c>
      <c r="E39" s="4" t="s">
        <v>34</v>
      </c>
      <c r="F39" s="4" t="s">
        <v>159</v>
      </c>
      <c r="G39" s="4">
        <v>223.43</v>
      </c>
      <c r="H39" s="15">
        <v>154</v>
      </c>
    </row>
    <row r="40" spans="2:8" x14ac:dyDescent="0.25">
      <c r="B40" s="14" t="s">
        <v>160</v>
      </c>
      <c r="C40" s="4" t="s">
        <v>161</v>
      </c>
      <c r="D40" s="4" t="s">
        <v>33</v>
      </c>
      <c r="E40" s="4" t="s">
        <v>162</v>
      </c>
      <c r="F40" s="4" t="s">
        <v>163</v>
      </c>
      <c r="G40" s="4">
        <v>353.47</v>
      </c>
      <c r="H40" s="15">
        <v>214</v>
      </c>
    </row>
    <row r="41" spans="2:8" x14ac:dyDescent="0.25">
      <c r="B41" s="14" t="s">
        <v>164</v>
      </c>
      <c r="C41" s="4" t="s">
        <v>165</v>
      </c>
      <c r="D41" s="4" t="s">
        <v>67</v>
      </c>
      <c r="E41" s="4" t="s">
        <v>121</v>
      </c>
      <c r="F41" s="4" t="s">
        <v>166</v>
      </c>
      <c r="G41" s="4">
        <v>135.61000000000001</v>
      </c>
      <c r="H41" s="15">
        <v>394</v>
      </c>
    </row>
    <row r="42" spans="2:8" x14ac:dyDescent="0.25">
      <c r="B42" s="14" t="s">
        <v>167</v>
      </c>
      <c r="C42" s="4" t="s">
        <v>168</v>
      </c>
      <c r="D42" s="4" t="s">
        <v>28</v>
      </c>
      <c r="E42" s="4" t="s">
        <v>169</v>
      </c>
      <c r="F42" s="4" t="s">
        <v>170</v>
      </c>
      <c r="G42" s="4">
        <v>326.06</v>
      </c>
      <c r="H42" s="15">
        <v>301</v>
      </c>
    </row>
    <row r="43" spans="2:8" x14ac:dyDescent="0.25">
      <c r="B43" s="14" t="s">
        <v>171</v>
      </c>
      <c r="C43" s="4" t="s">
        <v>172</v>
      </c>
      <c r="D43" s="4" t="s">
        <v>28</v>
      </c>
      <c r="E43" s="4" t="s">
        <v>63</v>
      </c>
      <c r="F43" s="4" t="s">
        <v>173</v>
      </c>
      <c r="G43" s="4">
        <v>38.520000000000003</v>
      </c>
      <c r="H43" s="15">
        <v>378</v>
      </c>
    </row>
    <row r="44" spans="2:8" x14ac:dyDescent="0.25">
      <c r="B44" s="14" t="s">
        <v>174</v>
      </c>
      <c r="C44" s="4" t="s">
        <v>175</v>
      </c>
      <c r="D44" s="4" t="s">
        <v>67</v>
      </c>
      <c r="E44" s="4" t="s">
        <v>68</v>
      </c>
      <c r="F44" s="4" t="s">
        <v>176</v>
      </c>
      <c r="G44" s="4">
        <v>313.26</v>
      </c>
      <c r="H44" s="15">
        <v>369</v>
      </c>
    </row>
    <row r="45" spans="2:8" x14ac:dyDescent="0.25">
      <c r="B45" s="14" t="s">
        <v>177</v>
      </c>
      <c r="C45" s="4" t="s">
        <v>178</v>
      </c>
      <c r="D45" s="4" t="s">
        <v>28</v>
      </c>
      <c r="E45" s="4" t="s">
        <v>49</v>
      </c>
      <c r="F45" s="4" t="s">
        <v>179</v>
      </c>
      <c r="G45" s="4">
        <v>450.71</v>
      </c>
      <c r="H45" s="15">
        <v>389</v>
      </c>
    </row>
    <row r="46" spans="2:8" x14ac:dyDescent="0.25">
      <c r="B46" s="14" t="s">
        <v>180</v>
      </c>
      <c r="C46" s="4" t="s">
        <v>181</v>
      </c>
      <c r="D46" s="4" t="s">
        <v>28</v>
      </c>
      <c r="E46" s="4" t="s">
        <v>29</v>
      </c>
      <c r="F46" s="4" t="s">
        <v>182</v>
      </c>
      <c r="G46" s="4">
        <v>253.33</v>
      </c>
      <c r="H46" s="15">
        <v>266</v>
      </c>
    </row>
    <row r="47" spans="2:8" x14ac:dyDescent="0.25">
      <c r="B47" s="14" t="s">
        <v>183</v>
      </c>
      <c r="C47" s="4" t="s">
        <v>184</v>
      </c>
      <c r="D47" s="4" t="s">
        <v>67</v>
      </c>
      <c r="E47" s="4" t="s">
        <v>68</v>
      </c>
      <c r="F47" s="4" t="s">
        <v>185</v>
      </c>
      <c r="G47" s="4">
        <v>167.12</v>
      </c>
      <c r="H47" s="15">
        <v>316</v>
      </c>
    </row>
    <row r="48" spans="2:8" x14ac:dyDescent="0.25">
      <c r="B48" s="14" t="s">
        <v>186</v>
      </c>
      <c r="C48" s="4" t="s">
        <v>187</v>
      </c>
      <c r="D48" s="4" t="s">
        <v>67</v>
      </c>
      <c r="E48" s="4" t="s">
        <v>143</v>
      </c>
      <c r="F48" s="4" t="s">
        <v>188</v>
      </c>
      <c r="G48" s="4">
        <v>318.91000000000003</v>
      </c>
      <c r="H48" s="15">
        <v>114</v>
      </c>
    </row>
    <row r="49" spans="2:8" x14ac:dyDescent="0.25">
      <c r="B49" s="14" t="s">
        <v>189</v>
      </c>
      <c r="C49" s="4" t="s">
        <v>190</v>
      </c>
      <c r="D49" s="4" t="s">
        <v>33</v>
      </c>
      <c r="E49" s="4" t="s">
        <v>38</v>
      </c>
      <c r="F49" s="4" t="s">
        <v>191</v>
      </c>
      <c r="G49" s="4">
        <v>167.34</v>
      </c>
      <c r="H49" s="15">
        <v>296</v>
      </c>
    </row>
    <row r="50" spans="2:8" x14ac:dyDescent="0.25">
      <c r="B50" s="14" t="s">
        <v>192</v>
      </c>
      <c r="C50" s="4" t="s">
        <v>193</v>
      </c>
      <c r="D50" s="4" t="s">
        <v>53</v>
      </c>
      <c r="E50" s="4" t="s">
        <v>194</v>
      </c>
      <c r="F50" s="4" t="s">
        <v>195</v>
      </c>
      <c r="G50" s="4"/>
      <c r="H50" s="15">
        <v>431</v>
      </c>
    </row>
    <row r="51" spans="2:8" x14ac:dyDescent="0.25">
      <c r="B51" s="14" t="s">
        <v>196</v>
      </c>
      <c r="C51" s="4" t="s">
        <v>197</v>
      </c>
      <c r="D51" s="4" t="s">
        <v>28</v>
      </c>
      <c r="E51" s="4" t="s">
        <v>49</v>
      </c>
      <c r="F51" s="4" t="s">
        <v>198</v>
      </c>
      <c r="G51" s="4">
        <v>177.98</v>
      </c>
      <c r="H51" s="15">
        <v>103</v>
      </c>
    </row>
    <row r="52" spans="2:8" x14ac:dyDescent="0.25">
      <c r="B52" s="14" t="s">
        <v>199</v>
      </c>
      <c r="C52" s="4" t="s">
        <v>200</v>
      </c>
      <c r="D52" s="4" t="s">
        <v>53</v>
      </c>
      <c r="E52" s="4" t="s">
        <v>201</v>
      </c>
      <c r="F52" s="4" t="s">
        <v>202</v>
      </c>
      <c r="G52" s="4">
        <v>43.29</v>
      </c>
      <c r="H52" s="15">
        <v>267</v>
      </c>
    </row>
    <row r="53" spans="2:8" x14ac:dyDescent="0.25">
      <c r="B53" s="14" t="s">
        <v>203</v>
      </c>
      <c r="C53" s="4" t="s">
        <v>204</v>
      </c>
      <c r="D53" s="4" t="s">
        <v>67</v>
      </c>
      <c r="E53" s="4" t="s">
        <v>68</v>
      </c>
      <c r="F53" s="4" t="s">
        <v>205</v>
      </c>
      <c r="G53" s="4">
        <v>190.29</v>
      </c>
      <c r="H53" s="15">
        <v>260</v>
      </c>
    </row>
    <row r="54" spans="2:8" x14ac:dyDescent="0.25">
      <c r="B54" s="14" t="s">
        <v>206</v>
      </c>
      <c r="C54" s="4" t="s">
        <v>207</v>
      </c>
      <c r="D54" s="4" t="s">
        <v>28</v>
      </c>
      <c r="E54" s="4" t="s">
        <v>49</v>
      </c>
      <c r="F54" s="4" t="s">
        <v>208</v>
      </c>
      <c r="G54" s="4">
        <v>88.49</v>
      </c>
      <c r="H54" s="15">
        <v>246</v>
      </c>
    </row>
    <row r="55" spans="2:8" x14ac:dyDescent="0.25">
      <c r="B55" s="14" t="s">
        <v>209</v>
      </c>
      <c r="C55" s="4" t="s">
        <v>210</v>
      </c>
      <c r="D55" s="4" t="s">
        <v>67</v>
      </c>
      <c r="E55" s="4" t="s">
        <v>143</v>
      </c>
      <c r="F55" s="4" t="s">
        <v>211</v>
      </c>
      <c r="G55" s="4">
        <v>212.26</v>
      </c>
      <c r="H55" s="15">
        <v>82</v>
      </c>
    </row>
    <row r="56" spans="2:8" x14ac:dyDescent="0.25">
      <c r="B56" s="14" t="s">
        <v>212</v>
      </c>
      <c r="C56" s="4" t="s">
        <v>213</v>
      </c>
      <c r="D56" s="4" t="s">
        <v>33</v>
      </c>
      <c r="E56" s="4" t="s">
        <v>45</v>
      </c>
      <c r="F56" s="4" t="s">
        <v>214</v>
      </c>
      <c r="G56" s="4">
        <v>386.56</v>
      </c>
      <c r="H56" s="15">
        <v>125</v>
      </c>
    </row>
    <row r="57" spans="2:8" x14ac:dyDescent="0.25">
      <c r="B57" s="14" t="s">
        <v>215</v>
      </c>
      <c r="C57" s="4" t="s">
        <v>216</v>
      </c>
      <c r="D57" s="4" t="s">
        <v>67</v>
      </c>
      <c r="E57" s="4" t="s">
        <v>49</v>
      </c>
      <c r="F57" s="4" t="s">
        <v>217</v>
      </c>
      <c r="G57" s="4">
        <v>434.84</v>
      </c>
      <c r="H57" s="15">
        <v>185</v>
      </c>
    </row>
    <row r="58" spans="2:8" x14ac:dyDescent="0.25">
      <c r="B58" s="14" t="s">
        <v>218</v>
      </c>
      <c r="C58" s="4" t="s">
        <v>219</v>
      </c>
      <c r="D58" s="4" t="s">
        <v>58</v>
      </c>
      <c r="E58" s="4" t="s">
        <v>86</v>
      </c>
      <c r="F58" s="4" t="s">
        <v>220</v>
      </c>
      <c r="G58" s="4">
        <v>81.75</v>
      </c>
      <c r="H58" s="15"/>
    </row>
    <row r="59" spans="2:8" x14ac:dyDescent="0.25">
      <c r="B59" s="14" t="s">
        <v>221</v>
      </c>
      <c r="C59" s="4" t="s">
        <v>222</v>
      </c>
      <c r="D59" s="4" t="s">
        <v>58</v>
      </c>
      <c r="E59" s="4" t="s">
        <v>86</v>
      </c>
      <c r="F59" s="4" t="s">
        <v>223</v>
      </c>
      <c r="G59" s="4">
        <v>461.47</v>
      </c>
      <c r="H59" s="15">
        <v>190</v>
      </c>
    </row>
    <row r="60" spans="2:8" x14ac:dyDescent="0.25">
      <c r="B60" s="14" t="s">
        <v>224</v>
      </c>
      <c r="C60" s="4" t="s">
        <v>225</v>
      </c>
      <c r="D60" s="4" t="s">
        <v>67</v>
      </c>
      <c r="E60" s="4" t="s">
        <v>68</v>
      </c>
      <c r="F60" s="4" t="s">
        <v>226</v>
      </c>
      <c r="G60" s="4">
        <v>30.62</v>
      </c>
      <c r="H60" s="15">
        <v>138</v>
      </c>
    </row>
    <row r="61" spans="2:8" x14ac:dyDescent="0.25">
      <c r="B61" s="14" t="s">
        <v>227</v>
      </c>
      <c r="C61" s="4" t="s">
        <v>228</v>
      </c>
      <c r="D61" s="4" t="s">
        <v>33</v>
      </c>
      <c r="E61" s="4" t="s">
        <v>49</v>
      </c>
      <c r="F61" s="4" t="s">
        <v>229</v>
      </c>
      <c r="G61" s="4">
        <v>113.83</v>
      </c>
      <c r="H61" s="15">
        <v>485</v>
      </c>
    </row>
    <row r="62" spans="2:8" x14ac:dyDescent="0.25">
      <c r="B62" s="14" t="s">
        <v>230</v>
      </c>
      <c r="C62" s="4" t="s">
        <v>231</v>
      </c>
      <c r="D62" s="4" t="s">
        <v>53</v>
      </c>
      <c r="E62" s="4" t="s">
        <v>79</v>
      </c>
      <c r="F62" s="4" t="s">
        <v>232</v>
      </c>
      <c r="G62" s="4">
        <v>17.309999999999999</v>
      </c>
      <c r="H62" s="15">
        <v>399</v>
      </c>
    </row>
    <row r="63" spans="2:8" x14ac:dyDescent="0.25">
      <c r="B63" s="14" t="s">
        <v>233</v>
      </c>
      <c r="C63" s="4" t="s">
        <v>234</v>
      </c>
      <c r="D63" s="4" t="s">
        <v>53</v>
      </c>
      <c r="E63" s="4" t="s">
        <v>201</v>
      </c>
      <c r="F63" s="4" t="s">
        <v>235</v>
      </c>
      <c r="G63" s="4">
        <v>482.75</v>
      </c>
      <c r="H63" s="15">
        <v>444</v>
      </c>
    </row>
    <row r="64" spans="2:8" x14ac:dyDescent="0.25">
      <c r="B64" s="14" t="s">
        <v>236</v>
      </c>
      <c r="C64" s="4" t="s">
        <v>237</v>
      </c>
      <c r="D64" s="4" t="s">
        <v>67</v>
      </c>
      <c r="E64" s="4" t="s">
        <v>104</v>
      </c>
      <c r="F64" s="4" t="s">
        <v>238</v>
      </c>
      <c r="G64" s="4">
        <v>103.45</v>
      </c>
      <c r="H64" s="15">
        <v>465</v>
      </c>
    </row>
    <row r="65" spans="2:8" x14ac:dyDescent="0.25">
      <c r="B65" s="14" t="s">
        <v>239</v>
      </c>
      <c r="C65" s="4" t="s">
        <v>240</v>
      </c>
      <c r="D65" s="4" t="s">
        <v>28</v>
      </c>
      <c r="E65" s="4" t="s">
        <v>29</v>
      </c>
      <c r="F65" s="4" t="s">
        <v>241</v>
      </c>
      <c r="G65" s="4">
        <v>86.42</v>
      </c>
      <c r="H65" s="15">
        <v>222</v>
      </c>
    </row>
    <row r="66" spans="2:8" x14ac:dyDescent="0.25">
      <c r="B66" s="14" t="s">
        <v>242</v>
      </c>
      <c r="C66" s="4" t="s">
        <v>243</v>
      </c>
      <c r="D66" s="4" t="s">
        <v>53</v>
      </c>
      <c r="E66" s="4" t="s">
        <v>54</v>
      </c>
      <c r="F66" s="4" t="s">
        <v>244</v>
      </c>
      <c r="G66" s="4">
        <v>266.86</v>
      </c>
      <c r="H66" s="15">
        <v>458</v>
      </c>
    </row>
    <row r="67" spans="2:8" x14ac:dyDescent="0.25">
      <c r="B67" s="14" t="s">
        <v>245</v>
      </c>
      <c r="C67" s="4" t="s">
        <v>246</v>
      </c>
      <c r="D67" s="4" t="s">
        <v>53</v>
      </c>
      <c r="E67" s="4" t="s">
        <v>194</v>
      </c>
      <c r="F67" s="4" t="s">
        <v>247</v>
      </c>
      <c r="G67" s="4">
        <v>299.11</v>
      </c>
      <c r="H67" s="15">
        <v>118</v>
      </c>
    </row>
    <row r="68" spans="2:8" x14ac:dyDescent="0.25">
      <c r="B68" s="14" t="s">
        <v>248</v>
      </c>
      <c r="C68" s="4" t="s">
        <v>249</v>
      </c>
      <c r="D68" s="4" t="s">
        <v>67</v>
      </c>
      <c r="E68" s="4" t="s">
        <v>68</v>
      </c>
      <c r="F68" s="4" t="s">
        <v>250</v>
      </c>
      <c r="G68" s="4">
        <v>240.63</v>
      </c>
      <c r="H68" s="15">
        <v>423</v>
      </c>
    </row>
    <row r="69" spans="2:8" x14ac:dyDescent="0.25">
      <c r="B69" s="14" t="s">
        <v>251</v>
      </c>
      <c r="C69" s="4" t="s">
        <v>252</v>
      </c>
      <c r="D69" s="4" t="s">
        <v>53</v>
      </c>
      <c r="E69" s="4" t="s">
        <v>79</v>
      </c>
      <c r="F69" s="4" t="s">
        <v>253</v>
      </c>
      <c r="G69" s="4">
        <v>340.39</v>
      </c>
      <c r="H69" s="15">
        <v>177</v>
      </c>
    </row>
    <row r="70" spans="2:8" x14ac:dyDescent="0.25">
      <c r="B70" s="14" t="s">
        <v>254</v>
      </c>
      <c r="C70" s="4" t="s">
        <v>255</v>
      </c>
      <c r="D70" s="4" t="s">
        <v>28</v>
      </c>
      <c r="E70" s="4" t="s">
        <v>49</v>
      </c>
      <c r="F70" s="4" t="s">
        <v>256</v>
      </c>
      <c r="G70" s="4">
        <v>349.17</v>
      </c>
      <c r="H70" s="15">
        <v>476</v>
      </c>
    </row>
    <row r="71" spans="2:8" x14ac:dyDescent="0.25">
      <c r="B71" s="14" t="s">
        <v>257</v>
      </c>
      <c r="C71" s="4" t="s">
        <v>258</v>
      </c>
      <c r="D71" s="4" t="s">
        <v>58</v>
      </c>
      <c r="E71" s="4" t="s">
        <v>259</v>
      </c>
      <c r="F71" s="4" t="s">
        <v>260</v>
      </c>
      <c r="G71" s="4">
        <v>243.7</v>
      </c>
      <c r="H71" s="15">
        <v>130</v>
      </c>
    </row>
    <row r="72" spans="2:8" x14ac:dyDescent="0.25">
      <c r="B72" s="14" t="s">
        <v>261</v>
      </c>
      <c r="C72" s="4" t="s">
        <v>262</v>
      </c>
      <c r="D72" s="4" t="s">
        <v>33</v>
      </c>
      <c r="E72" s="4" t="s">
        <v>45</v>
      </c>
      <c r="F72" s="4" t="s">
        <v>263</v>
      </c>
      <c r="G72" s="4">
        <v>218.22</v>
      </c>
      <c r="H72" s="15">
        <v>224</v>
      </c>
    </row>
    <row r="73" spans="2:8" x14ac:dyDescent="0.25">
      <c r="B73" s="14" t="s">
        <v>264</v>
      </c>
      <c r="C73" s="4" t="s">
        <v>265</v>
      </c>
      <c r="D73" s="4" t="s">
        <v>58</v>
      </c>
      <c r="E73" s="4" t="s">
        <v>111</v>
      </c>
      <c r="F73" s="4" t="s">
        <v>266</v>
      </c>
      <c r="G73" s="4">
        <v>138.05000000000001</v>
      </c>
      <c r="H73" s="15">
        <v>89</v>
      </c>
    </row>
    <row r="74" spans="2:8" x14ac:dyDescent="0.25">
      <c r="B74" s="14" t="s">
        <v>267</v>
      </c>
      <c r="C74" s="4" t="s">
        <v>268</v>
      </c>
      <c r="D74" s="4" t="s">
        <v>53</v>
      </c>
      <c r="E74" s="4" t="s">
        <v>79</v>
      </c>
      <c r="F74" s="4" t="s">
        <v>269</v>
      </c>
      <c r="G74" s="4">
        <v>214.32</v>
      </c>
      <c r="H74" s="15">
        <v>383</v>
      </c>
    </row>
    <row r="75" spans="2:8" x14ac:dyDescent="0.25">
      <c r="B75" s="14" t="s">
        <v>270</v>
      </c>
      <c r="C75" s="4" t="s">
        <v>271</v>
      </c>
      <c r="D75" s="4" t="s">
        <v>67</v>
      </c>
      <c r="E75" s="4" t="s">
        <v>68</v>
      </c>
      <c r="F75" s="4" t="s">
        <v>272</v>
      </c>
      <c r="G75" s="4">
        <v>477.61</v>
      </c>
      <c r="H75" s="15">
        <v>300</v>
      </c>
    </row>
    <row r="76" spans="2:8" x14ac:dyDescent="0.25">
      <c r="B76" s="14" t="s">
        <v>273</v>
      </c>
      <c r="C76" s="4" t="s">
        <v>274</v>
      </c>
      <c r="D76" s="4" t="s">
        <v>67</v>
      </c>
      <c r="E76" s="4" t="s">
        <v>143</v>
      </c>
      <c r="F76" s="4" t="s">
        <v>275</v>
      </c>
      <c r="G76" s="4">
        <v>107.06</v>
      </c>
      <c r="H76" s="15">
        <v>359</v>
      </c>
    </row>
    <row r="77" spans="2:8" x14ac:dyDescent="0.25">
      <c r="B77" s="14" t="s">
        <v>276</v>
      </c>
      <c r="C77" s="4" t="s">
        <v>277</v>
      </c>
      <c r="D77" s="4" t="s">
        <v>28</v>
      </c>
      <c r="E77" s="4" t="s">
        <v>63</v>
      </c>
      <c r="F77" s="4" t="s">
        <v>278</v>
      </c>
      <c r="G77" s="4">
        <v>403.71</v>
      </c>
      <c r="H77" s="15">
        <v>159</v>
      </c>
    </row>
    <row r="78" spans="2:8" x14ac:dyDescent="0.25">
      <c r="B78" s="14" t="s">
        <v>279</v>
      </c>
      <c r="C78" s="4" t="s">
        <v>280</v>
      </c>
      <c r="D78" s="4" t="s">
        <v>33</v>
      </c>
      <c r="E78" s="4" t="s">
        <v>162</v>
      </c>
      <c r="F78" s="4" t="s">
        <v>281</v>
      </c>
      <c r="G78" s="4">
        <v>158.13999999999999</v>
      </c>
      <c r="H78" s="15">
        <v>82</v>
      </c>
    </row>
    <row r="79" spans="2:8" x14ac:dyDescent="0.25">
      <c r="B79" s="14" t="s">
        <v>282</v>
      </c>
      <c r="C79" s="4" t="s">
        <v>283</v>
      </c>
      <c r="D79" s="4" t="s">
        <v>28</v>
      </c>
      <c r="E79" s="4" t="s">
        <v>29</v>
      </c>
      <c r="F79" s="4" t="s">
        <v>284</v>
      </c>
      <c r="G79" s="4">
        <v>392.89</v>
      </c>
      <c r="H79" s="15">
        <v>320</v>
      </c>
    </row>
    <row r="80" spans="2:8" x14ac:dyDescent="0.25">
      <c r="B80" s="14" t="s">
        <v>285</v>
      </c>
      <c r="C80" s="4" t="s">
        <v>286</v>
      </c>
      <c r="D80" s="4" t="s">
        <v>28</v>
      </c>
      <c r="E80" s="4" t="s">
        <v>90</v>
      </c>
      <c r="F80" s="4" t="s">
        <v>287</v>
      </c>
      <c r="G80" s="4">
        <v>480.9</v>
      </c>
      <c r="H80" s="15">
        <v>104</v>
      </c>
    </row>
    <row r="81" spans="2:8" x14ac:dyDescent="0.25">
      <c r="B81" s="14" t="s">
        <v>288</v>
      </c>
      <c r="C81" s="4" t="s">
        <v>289</v>
      </c>
      <c r="D81" s="4" t="s">
        <v>58</v>
      </c>
      <c r="E81" s="4" t="s">
        <v>86</v>
      </c>
      <c r="F81" s="4" t="s">
        <v>290</v>
      </c>
      <c r="G81" s="4">
        <v>325.26</v>
      </c>
      <c r="H81" s="15">
        <v>400</v>
      </c>
    </row>
    <row r="82" spans="2:8" x14ac:dyDescent="0.25">
      <c r="B82" s="14" t="s">
        <v>291</v>
      </c>
      <c r="C82" s="4" t="s">
        <v>292</v>
      </c>
      <c r="D82" s="4" t="s">
        <v>58</v>
      </c>
      <c r="E82" s="4" t="s">
        <v>59</v>
      </c>
      <c r="F82" s="4" t="s">
        <v>293</v>
      </c>
      <c r="G82" s="4">
        <v>228.53</v>
      </c>
      <c r="H82" s="15">
        <v>469</v>
      </c>
    </row>
    <row r="83" spans="2:8" x14ac:dyDescent="0.25">
      <c r="B83" s="14" t="s">
        <v>294</v>
      </c>
      <c r="C83" s="4" t="s">
        <v>295</v>
      </c>
      <c r="D83" s="4" t="s">
        <v>58</v>
      </c>
      <c r="E83" s="4" t="s">
        <v>72</v>
      </c>
      <c r="F83" s="4" t="s">
        <v>296</v>
      </c>
      <c r="G83" s="4">
        <v>143.43</v>
      </c>
      <c r="H83" s="15">
        <v>58</v>
      </c>
    </row>
    <row r="84" spans="2:8" x14ac:dyDescent="0.25">
      <c r="B84" s="14" t="s">
        <v>297</v>
      </c>
      <c r="C84" s="4" t="s">
        <v>298</v>
      </c>
      <c r="D84" s="4" t="s">
        <v>67</v>
      </c>
      <c r="E84" s="4" t="s">
        <v>104</v>
      </c>
      <c r="F84" s="4" t="s">
        <v>299</v>
      </c>
      <c r="G84" s="4">
        <v>285.54000000000002</v>
      </c>
      <c r="H84" s="15">
        <v>358</v>
      </c>
    </row>
    <row r="85" spans="2:8" x14ac:dyDescent="0.25">
      <c r="B85" s="14" t="s">
        <v>300</v>
      </c>
      <c r="C85" s="4" t="s">
        <v>301</v>
      </c>
      <c r="D85" s="4" t="s">
        <v>67</v>
      </c>
      <c r="E85" s="4" t="s">
        <v>68</v>
      </c>
      <c r="F85" s="4" t="s">
        <v>302</v>
      </c>
      <c r="G85" s="4">
        <v>152.91999999999999</v>
      </c>
      <c r="H85" s="15">
        <v>281</v>
      </c>
    </row>
    <row r="86" spans="2:8" x14ac:dyDescent="0.25">
      <c r="B86" s="14" t="s">
        <v>303</v>
      </c>
      <c r="C86" s="4" t="s">
        <v>304</v>
      </c>
      <c r="D86" s="4" t="s">
        <v>53</v>
      </c>
      <c r="E86" s="4" t="s">
        <v>54</v>
      </c>
      <c r="F86" s="4" t="s">
        <v>305</v>
      </c>
      <c r="G86" s="4"/>
      <c r="H86" s="15">
        <v>159</v>
      </c>
    </row>
    <row r="87" spans="2:8" x14ac:dyDescent="0.25">
      <c r="B87" s="14" t="s">
        <v>306</v>
      </c>
      <c r="C87" s="4" t="s">
        <v>307</v>
      </c>
      <c r="D87" s="4" t="s">
        <v>58</v>
      </c>
      <c r="E87" s="4" t="s">
        <v>259</v>
      </c>
      <c r="F87" s="4" t="s">
        <v>308</v>
      </c>
      <c r="G87" s="4">
        <v>388.46</v>
      </c>
      <c r="H87" s="15">
        <v>208</v>
      </c>
    </row>
    <row r="88" spans="2:8" x14ac:dyDescent="0.25">
      <c r="B88" s="14" t="s">
        <v>309</v>
      </c>
      <c r="C88" s="4" t="s">
        <v>310</v>
      </c>
      <c r="D88" s="4" t="s">
        <v>33</v>
      </c>
      <c r="E88" s="4" t="s">
        <v>49</v>
      </c>
      <c r="F88" s="4" t="s">
        <v>311</v>
      </c>
      <c r="G88" s="4">
        <v>119.57</v>
      </c>
      <c r="H88" s="15">
        <v>210</v>
      </c>
    </row>
    <row r="89" spans="2:8" x14ac:dyDescent="0.25">
      <c r="B89" s="14" t="s">
        <v>312</v>
      </c>
      <c r="C89" s="4" t="s">
        <v>313</v>
      </c>
      <c r="D89" s="4" t="s">
        <v>58</v>
      </c>
      <c r="E89" s="4" t="s">
        <v>72</v>
      </c>
      <c r="F89" s="4" t="s">
        <v>314</v>
      </c>
      <c r="G89" s="4">
        <v>176.07</v>
      </c>
      <c r="H89" s="15">
        <v>82</v>
      </c>
    </row>
    <row r="90" spans="2:8" x14ac:dyDescent="0.25">
      <c r="B90" s="14" t="s">
        <v>315</v>
      </c>
      <c r="C90" s="4" t="s">
        <v>316</v>
      </c>
      <c r="D90" s="4" t="s">
        <v>58</v>
      </c>
      <c r="E90" s="4" t="s">
        <v>59</v>
      </c>
      <c r="F90" s="4" t="s">
        <v>317</v>
      </c>
      <c r="G90" s="4">
        <v>371.38</v>
      </c>
      <c r="H90" s="15">
        <v>220</v>
      </c>
    </row>
    <row r="91" spans="2:8" x14ac:dyDescent="0.25">
      <c r="B91" s="14" t="s">
        <v>318</v>
      </c>
      <c r="C91" s="4" t="s">
        <v>319</v>
      </c>
      <c r="D91" s="4" t="s">
        <v>67</v>
      </c>
      <c r="E91" s="4" t="s">
        <v>49</v>
      </c>
      <c r="F91" s="4" t="s">
        <v>320</v>
      </c>
      <c r="G91" s="4">
        <v>131.24</v>
      </c>
      <c r="H91" s="15">
        <v>232</v>
      </c>
    </row>
    <row r="92" spans="2:8" x14ac:dyDescent="0.25">
      <c r="B92" s="14" t="s">
        <v>321</v>
      </c>
      <c r="C92" s="4" t="s">
        <v>322</v>
      </c>
      <c r="D92" s="4" t="s">
        <v>53</v>
      </c>
      <c r="E92" s="4" t="s">
        <v>194</v>
      </c>
      <c r="F92" s="4" t="s">
        <v>323</v>
      </c>
      <c r="G92" s="4">
        <v>183.04</v>
      </c>
      <c r="H92" s="15">
        <v>457</v>
      </c>
    </row>
    <row r="93" spans="2:8" x14ac:dyDescent="0.25">
      <c r="B93" s="14" t="s">
        <v>324</v>
      </c>
      <c r="C93" s="4" t="s">
        <v>325</v>
      </c>
      <c r="D93" s="4" t="s">
        <v>28</v>
      </c>
      <c r="E93" s="4" t="s">
        <v>49</v>
      </c>
      <c r="F93" s="4" t="s">
        <v>326</v>
      </c>
      <c r="G93" s="4">
        <v>340.14</v>
      </c>
      <c r="H93" s="15">
        <v>361</v>
      </c>
    </row>
    <row r="94" spans="2:8" x14ac:dyDescent="0.25">
      <c r="B94" s="14" t="s">
        <v>327</v>
      </c>
      <c r="C94" s="4" t="s">
        <v>328</v>
      </c>
      <c r="D94" s="4" t="s">
        <v>33</v>
      </c>
      <c r="E94" s="4" t="s">
        <v>162</v>
      </c>
      <c r="F94" s="4" t="s">
        <v>329</v>
      </c>
      <c r="G94" s="4">
        <v>438.25</v>
      </c>
      <c r="H94" s="15">
        <v>496</v>
      </c>
    </row>
    <row r="95" spans="2:8" x14ac:dyDescent="0.25">
      <c r="B95" s="14" t="s">
        <v>330</v>
      </c>
      <c r="C95" s="4" t="s">
        <v>331</v>
      </c>
      <c r="D95" s="4" t="s">
        <v>58</v>
      </c>
      <c r="E95" s="4" t="s">
        <v>90</v>
      </c>
      <c r="F95" s="4" t="s">
        <v>332</v>
      </c>
      <c r="G95" s="4">
        <v>447.43</v>
      </c>
      <c r="H95" s="15">
        <v>191</v>
      </c>
    </row>
    <row r="96" spans="2:8" x14ac:dyDescent="0.25">
      <c r="B96" s="14" t="s">
        <v>333</v>
      </c>
      <c r="C96" s="4" t="s">
        <v>334</v>
      </c>
      <c r="D96" s="4" t="s">
        <v>28</v>
      </c>
      <c r="E96" s="4" t="s">
        <v>29</v>
      </c>
      <c r="F96" s="4" t="s">
        <v>335</v>
      </c>
      <c r="G96" s="4">
        <v>377.52</v>
      </c>
      <c r="H96" s="15">
        <v>485</v>
      </c>
    </row>
    <row r="97" spans="2:8" x14ac:dyDescent="0.25">
      <c r="B97" s="14" t="s">
        <v>336</v>
      </c>
      <c r="C97" s="4" t="s">
        <v>337</v>
      </c>
      <c r="D97" s="4" t="s">
        <v>53</v>
      </c>
      <c r="E97" s="4" t="s">
        <v>54</v>
      </c>
      <c r="F97" s="4" t="s">
        <v>338</v>
      </c>
      <c r="G97" s="4">
        <v>358.47</v>
      </c>
      <c r="H97" s="15">
        <v>213</v>
      </c>
    </row>
    <row r="98" spans="2:8" x14ac:dyDescent="0.25">
      <c r="B98" s="14" t="s">
        <v>339</v>
      </c>
      <c r="C98" s="4" t="s">
        <v>340</v>
      </c>
      <c r="D98" s="4" t="s">
        <v>67</v>
      </c>
      <c r="E98" s="4" t="s">
        <v>49</v>
      </c>
      <c r="F98" s="4" t="s">
        <v>341</v>
      </c>
      <c r="G98" s="4">
        <v>60.65</v>
      </c>
      <c r="H98" s="15">
        <v>75</v>
      </c>
    </row>
    <row r="99" spans="2:8" x14ac:dyDescent="0.25">
      <c r="B99" s="14" t="s">
        <v>342</v>
      </c>
      <c r="C99" s="4" t="s">
        <v>343</v>
      </c>
      <c r="D99" s="4" t="s">
        <v>33</v>
      </c>
      <c r="E99" s="4" t="s">
        <v>38</v>
      </c>
      <c r="F99" s="4" t="s">
        <v>344</v>
      </c>
      <c r="G99" s="4">
        <v>358.47</v>
      </c>
      <c r="H99" s="15">
        <v>143</v>
      </c>
    </row>
    <row r="100" spans="2:8" x14ac:dyDescent="0.25">
      <c r="B100" s="14" t="s">
        <v>345</v>
      </c>
      <c r="C100" s="4" t="s">
        <v>346</v>
      </c>
      <c r="D100" s="4" t="s">
        <v>67</v>
      </c>
      <c r="E100" s="4" t="s">
        <v>143</v>
      </c>
      <c r="F100" s="4" t="s">
        <v>347</v>
      </c>
      <c r="G100" s="4">
        <v>245.98</v>
      </c>
      <c r="H100" s="15">
        <v>471</v>
      </c>
    </row>
    <row r="101" spans="2:8" x14ac:dyDescent="0.25">
      <c r="B101" s="14" t="s">
        <v>348</v>
      </c>
      <c r="C101" s="4" t="s">
        <v>349</v>
      </c>
      <c r="D101" s="4" t="s">
        <v>28</v>
      </c>
      <c r="E101" s="4" t="s">
        <v>63</v>
      </c>
      <c r="F101" s="4" t="s">
        <v>350</v>
      </c>
      <c r="G101" s="4">
        <v>431.67</v>
      </c>
      <c r="H101" s="15">
        <v>73</v>
      </c>
    </row>
    <row r="102" spans="2:8" x14ac:dyDescent="0.25">
      <c r="B102" s="16" t="s">
        <v>351</v>
      </c>
      <c r="C102" s="17" t="s">
        <v>352</v>
      </c>
      <c r="D102" s="17" t="s">
        <v>58</v>
      </c>
      <c r="E102" s="17" t="s">
        <v>72</v>
      </c>
      <c r="F102" s="17" t="s">
        <v>353</v>
      </c>
      <c r="G102" s="17">
        <v>201.41</v>
      </c>
      <c r="H102" s="18">
        <v>146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4647-E5BA-4DB1-81AC-C034F0FF1579}">
  <dimension ref="F1:L101"/>
  <sheetViews>
    <sheetView tabSelected="1" topLeftCell="H33" workbookViewId="0">
      <selection activeCell="W49" sqref="W49"/>
    </sheetView>
  </sheetViews>
  <sheetFormatPr defaultRowHeight="15" x14ac:dyDescent="0.25"/>
  <cols>
    <col min="6" max="6" width="15.28515625" bestFit="1" customWidth="1"/>
    <col min="7" max="7" width="27.5703125" bestFit="1" customWidth="1"/>
    <col min="8" max="8" width="13.42578125" bestFit="1" customWidth="1"/>
    <col min="9" max="9" width="17.85546875" bestFit="1" customWidth="1"/>
    <col min="10" max="10" width="30" bestFit="1" customWidth="1"/>
    <col min="11" max="11" width="9.42578125" bestFit="1" customWidth="1"/>
    <col min="12" max="12" width="10.28515625" bestFit="1" customWidth="1"/>
  </cols>
  <sheetData>
    <row r="1" spans="6:12" x14ac:dyDescent="0.25">
      <c r="F1" s="12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3" t="s">
        <v>25</v>
      </c>
    </row>
    <row r="2" spans="6:12" x14ac:dyDescent="0.25">
      <c r="F2" s="1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>
        <v>112.42</v>
      </c>
      <c r="L2" s="15">
        <v>416</v>
      </c>
    </row>
    <row r="3" spans="6:12" x14ac:dyDescent="0.25">
      <c r="F3" s="1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>
        <v>342.56</v>
      </c>
      <c r="L3" s="15">
        <v>181</v>
      </c>
    </row>
    <row r="4" spans="6:12" x14ac:dyDescent="0.25">
      <c r="F4" s="14" t="s">
        <v>36</v>
      </c>
      <c r="G4" s="4" t="s">
        <v>37</v>
      </c>
      <c r="H4" s="4" t="s">
        <v>33</v>
      </c>
      <c r="I4" s="4" t="s">
        <v>38</v>
      </c>
      <c r="J4" s="4" t="s">
        <v>39</v>
      </c>
      <c r="K4" s="4"/>
      <c r="L4" s="15">
        <v>352</v>
      </c>
    </row>
    <row r="5" spans="6:12" x14ac:dyDescent="0.25">
      <c r="F5" s="14" t="s">
        <v>357</v>
      </c>
      <c r="G5" s="4" t="s">
        <v>41</v>
      </c>
      <c r="H5" s="4" t="s">
        <v>33</v>
      </c>
      <c r="I5" s="4" t="s">
        <v>38</v>
      </c>
      <c r="J5" s="4" t="s">
        <v>42</v>
      </c>
      <c r="K5" s="4">
        <v>364.67</v>
      </c>
      <c r="L5" s="15">
        <v>452</v>
      </c>
    </row>
    <row r="6" spans="6:12" x14ac:dyDescent="0.25">
      <c r="F6" s="14" t="s">
        <v>43</v>
      </c>
      <c r="G6" s="4" t="s">
        <v>44</v>
      </c>
      <c r="H6" s="4" t="s">
        <v>33</v>
      </c>
      <c r="I6" s="4" t="s">
        <v>45</v>
      </c>
      <c r="J6" s="4" t="s">
        <v>46</v>
      </c>
      <c r="K6" s="4">
        <v>306.45999999999998</v>
      </c>
      <c r="L6" s="15">
        <v>487</v>
      </c>
    </row>
    <row r="7" spans="6:12" x14ac:dyDescent="0.25">
      <c r="F7" s="14" t="s">
        <v>47</v>
      </c>
      <c r="G7" s="4" t="s">
        <v>48</v>
      </c>
      <c r="H7" s="4" t="s">
        <v>33</v>
      </c>
      <c r="I7" s="4" t="s">
        <v>49</v>
      </c>
      <c r="J7" s="4" t="s">
        <v>50</v>
      </c>
      <c r="K7" s="4">
        <v>261</v>
      </c>
      <c r="L7" s="15">
        <v>59</v>
      </c>
    </row>
    <row r="8" spans="6:12" x14ac:dyDescent="0.25">
      <c r="F8" s="14" t="s">
        <v>51</v>
      </c>
      <c r="G8" s="4" t="s">
        <v>52</v>
      </c>
      <c r="H8" s="4" t="s">
        <v>53</v>
      </c>
      <c r="I8" s="4" t="s">
        <v>54</v>
      </c>
      <c r="J8" s="4" t="s">
        <v>55</v>
      </c>
      <c r="K8" s="4">
        <v>312.8</v>
      </c>
      <c r="L8" s="15">
        <v>350</v>
      </c>
    </row>
    <row r="9" spans="6:12" x14ac:dyDescent="0.25">
      <c r="F9" s="1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>
        <v>218.86</v>
      </c>
      <c r="L9" s="15">
        <v>170</v>
      </c>
    </row>
    <row r="10" spans="6:12" x14ac:dyDescent="0.25">
      <c r="F10" s="14" t="s">
        <v>61</v>
      </c>
      <c r="G10" s="4" t="s">
        <v>62</v>
      </c>
      <c r="H10" s="4" t="s">
        <v>28</v>
      </c>
      <c r="I10" s="4" t="s">
        <v>63</v>
      </c>
      <c r="J10" s="4" t="s">
        <v>64</v>
      </c>
      <c r="K10" s="4">
        <v>439.07</v>
      </c>
      <c r="L10" s="15">
        <v>142</v>
      </c>
    </row>
    <row r="11" spans="6:12" x14ac:dyDescent="0.25">
      <c r="F11" s="14" t="s">
        <v>65</v>
      </c>
      <c r="G11" s="4" t="s">
        <v>66</v>
      </c>
      <c r="H11" s="4" t="s">
        <v>67</v>
      </c>
      <c r="I11" s="4" t="s">
        <v>68</v>
      </c>
      <c r="J11" s="4" t="s">
        <v>69</v>
      </c>
      <c r="K11" s="4">
        <v>495.72</v>
      </c>
      <c r="L11" s="15">
        <v>323</v>
      </c>
    </row>
    <row r="12" spans="6:12" x14ac:dyDescent="0.25">
      <c r="F12" s="14" t="s">
        <v>70</v>
      </c>
      <c r="G12" s="4" t="s">
        <v>71</v>
      </c>
      <c r="H12" s="4" t="s">
        <v>58</v>
      </c>
      <c r="I12" s="4" t="s">
        <v>72</v>
      </c>
      <c r="J12" s="4" t="s">
        <v>73</v>
      </c>
      <c r="K12" s="4">
        <v>298.86</v>
      </c>
      <c r="L12" s="15">
        <v>308</v>
      </c>
    </row>
    <row r="13" spans="6:12" x14ac:dyDescent="0.25">
      <c r="F13" s="14" t="s">
        <v>74</v>
      </c>
      <c r="G13" s="4" t="s">
        <v>75</v>
      </c>
      <c r="H13" s="4" t="s">
        <v>28</v>
      </c>
      <c r="I13" s="4" t="s">
        <v>49</v>
      </c>
      <c r="J13" s="4" t="s">
        <v>76</v>
      </c>
      <c r="K13" s="4">
        <v>449.4</v>
      </c>
      <c r="L13" s="15"/>
    </row>
    <row r="14" spans="6:12" x14ac:dyDescent="0.25">
      <c r="F14" s="14" t="s">
        <v>77</v>
      </c>
      <c r="G14" s="4" t="s">
        <v>78</v>
      </c>
      <c r="H14" s="4" t="s">
        <v>53</v>
      </c>
      <c r="I14" s="4" t="s">
        <v>79</v>
      </c>
      <c r="J14" s="4" t="s">
        <v>80</v>
      </c>
      <c r="K14" s="4">
        <v>115.82</v>
      </c>
      <c r="L14" s="15">
        <v>460</v>
      </c>
    </row>
    <row r="15" spans="6:12" x14ac:dyDescent="0.25">
      <c r="F15" s="14" t="s">
        <v>81</v>
      </c>
      <c r="G15" s="4" t="s">
        <v>82</v>
      </c>
      <c r="H15" s="4" t="s">
        <v>28</v>
      </c>
      <c r="I15" s="4" t="s">
        <v>49</v>
      </c>
      <c r="J15" s="4" t="s">
        <v>83</v>
      </c>
      <c r="K15" s="4">
        <v>242.23</v>
      </c>
      <c r="L15" s="15">
        <v>453</v>
      </c>
    </row>
    <row r="16" spans="6:12" x14ac:dyDescent="0.25">
      <c r="F16" s="14" t="s">
        <v>84</v>
      </c>
      <c r="G16" s="4" t="s">
        <v>85</v>
      </c>
      <c r="H16" s="4" t="s">
        <v>58</v>
      </c>
      <c r="I16" s="4" t="s">
        <v>86</v>
      </c>
      <c r="J16" s="4" t="s">
        <v>87</v>
      </c>
      <c r="K16" s="4">
        <v>48.01</v>
      </c>
      <c r="L16" s="15">
        <v>439</v>
      </c>
    </row>
    <row r="17" spans="6:12" x14ac:dyDescent="0.25">
      <c r="F17" s="14" t="s">
        <v>88</v>
      </c>
      <c r="G17" s="4" t="s">
        <v>89</v>
      </c>
      <c r="H17" s="4" t="s">
        <v>28</v>
      </c>
      <c r="I17" s="4" t="s">
        <v>90</v>
      </c>
      <c r="J17" s="4" t="s">
        <v>91</v>
      </c>
      <c r="K17" s="4">
        <v>465.34</v>
      </c>
      <c r="L17" s="15">
        <v>301</v>
      </c>
    </row>
    <row r="18" spans="6:12" x14ac:dyDescent="0.25">
      <c r="F18" s="14" t="s">
        <v>358</v>
      </c>
      <c r="G18" s="4" t="s">
        <v>93</v>
      </c>
      <c r="H18" s="4" t="s">
        <v>53</v>
      </c>
      <c r="I18" s="4" t="s">
        <v>94</v>
      </c>
      <c r="J18" s="4" t="s">
        <v>95</v>
      </c>
      <c r="K18" s="4">
        <v>337.42</v>
      </c>
      <c r="L18" s="15">
        <v>256</v>
      </c>
    </row>
    <row r="19" spans="6:12" x14ac:dyDescent="0.25">
      <c r="F19" s="14" t="s">
        <v>96</v>
      </c>
      <c r="G19" s="4" t="s">
        <v>97</v>
      </c>
      <c r="H19" s="4" t="s">
        <v>67</v>
      </c>
      <c r="I19" s="4" t="s">
        <v>49</v>
      </c>
      <c r="J19" s="4" t="s">
        <v>98</v>
      </c>
      <c r="K19" s="4">
        <v>144.53</v>
      </c>
      <c r="L19" s="15">
        <v>367</v>
      </c>
    </row>
    <row r="20" spans="6:12" x14ac:dyDescent="0.25">
      <c r="F20" s="14" t="s">
        <v>99</v>
      </c>
      <c r="G20" s="4" t="s">
        <v>100</v>
      </c>
      <c r="H20" s="4" t="s">
        <v>33</v>
      </c>
      <c r="I20" s="4" t="s">
        <v>45</v>
      </c>
      <c r="J20" s="4" t="s">
        <v>101</v>
      </c>
      <c r="K20" s="4"/>
      <c r="L20" s="15">
        <v>343</v>
      </c>
    </row>
    <row r="21" spans="6:12" x14ac:dyDescent="0.25">
      <c r="F21" s="14" t="s">
        <v>102</v>
      </c>
      <c r="G21" s="4" t="s">
        <v>103</v>
      </c>
      <c r="H21" s="4" t="s">
        <v>67</v>
      </c>
      <c r="I21" s="4" t="s">
        <v>104</v>
      </c>
      <c r="J21" s="4" t="s">
        <v>105</v>
      </c>
      <c r="K21" s="4">
        <v>21.34</v>
      </c>
      <c r="L21" s="15">
        <v>65</v>
      </c>
    </row>
    <row r="22" spans="6:12" x14ac:dyDescent="0.25">
      <c r="F22" s="14" t="s">
        <v>106</v>
      </c>
      <c r="G22" s="4" t="s">
        <v>107</v>
      </c>
      <c r="H22" s="4" t="s">
        <v>67</v>
      </c>
      <c r="I22" s="4" t="s">
        <v>49</v>
      </c>
      <c r="J22" s="4" t="s">
        <v>108</v>
      </c>
      <c r="K22" s="4">
        <v>131.51</v>
      </c>
      <c r="L22" s="15"/>
    </row>
    <row r="23" spans="6:12" x14ac:dyDescent="0.25">
      <c r="F23" s="14" t="s">
        <v>109</v>
      </c>
      <c r="G23" s="4" t="s">
        <v>110</v>
      </c>
      <c r="H23" s="4" t="s">
        <v>58</v>
      </c>
      <c r="I23" s="4" t="s">
        <v>111</v>
      </c>
      <c r="J23" s="4" t="s">
        <v>112</v>
      </c>
      <c r="K23" s="4">
        <v>123.46</v>
      </c>
      <c r="L23" s="15">
        <v>76</v>
      </c>
    </row>
    <row r="24" spans="6:12" x14ac:dyDescent="0.25">
      <c r="F24" s="14" t="s">
        <v>113</v>
      </c>
      <c r="G24" s="4" t="s">
        <v>114</v>
      </c>
      <c r="H24" s="4" t="s">
        <v>67</v>
      </c>
      <c r="I24" s="4" t="s">
        <v>104</v>
      </c>
      <c r="J24" s="4" t="s">
        <v>115</v>
      </c>
      <c r="K24" s="4">
        <v>484.62</v>
      </c>
      <c r="L24" s="15">
        <v>432</v>
      </c>
    </row>
    <row r="25" spans="6:12" x14ac:dyDescent="0.25">
      <c r="F25" s="14" t="s">
        <v>116</v>
      </c>
      <c r="G25" s="4" t="s">
        <v>117</v>
      </c>
      <c r="H25" s="4" t="s">
        <v>33</v>
      </c>
      <c r="I25" s="4" t="s">
        <v>34</v>
      </c>
      <c r="J25" s="4" t="s">
        <v>118</v>
      </c>
      <c r="K25" s="4"/>
      <c r="L25" s="15">
        <v>360</v>
      </c>
    </row>
    <row r="26" spans="6:12" x14ac:dyDescent="0.25">
      <c r="F26" s="14" t="s">
        <v>119</v>
      </c>
      <c r="G26" s="4" t="s">
        <v>120</v>
      </c>
      <c r="H26" s="4" t="s">
        <v>67</v>
      </c>
      <c r="I26" s="4" t="s">
        <v>121</v>
      </c>
      <c r="J26" s="4" t="s">
        <v>122</v>
      </c>
      <c r="K26" s="4">
        <v>166.06</v>
      </c>
      <c r="L26" s="15">
        <v>340</v>
      </c>
    </row>
    <row r="27" spans="6:12" x14ac:dyDescent="0.25">
      <c r="F27" s="14" t="s">
        <v>123</v>
      </c>
      <c r="G27" s="4" t="s">
        <v>124</v>
      </c>
      <c r="H27" s="4" t="s">
        <v>33</v>
      </c>
      <c r="I27" s="4" t="s">
        <v>49</v>
      </c>
      <c r="J27" s="4" t="s">
        <v>125</v>
      </c>
      <c r="K27" s="4">
        <v>174.02</v>
      </c>
      <c r="L27" s="15">
        <v>268</v>
      </c>
    </row>
    <row r="28" spans="6:12" x14ac:dyDescent="0.25">
      <c r="F28" s="14" t="s">
        <v>126</v>
      </c>
      <c r="G28" s="4" t="s">
        <v>127</v>
      </c>
      <c r="H28" s="4" t="s">
        <v>28</v>
      </c>
      <c r="I28" s="4" t="s">
        <v>63</v>
      </c>
      <c r="J28" s="4" t="s">
        <v>128</v>
      </c>
      <c r="K28" s="4">
        <v>322.41000000000003</v>
      </c>
      <c r="L28" s="15">
        <v>213</v>
      </c>
    </row>
    <row r="29" spans="6:12" x14ac:dyDescent="0.25">
      <c r="F29" s="14" t="s">
        <v>129</v>
      </c>
      <c r="G29" s="4" t="s">
        <v>130</v>
      </c>
      <c r="H29" s="4" t="s">
        <v>58</v>
      </c>
      <c r="I29" s="4" t="s">
        <v>86</v>
      </c>
      <c r="J29" s="4" t="s">
        <v>131</v>
      </c>
      <c r="K29" s="4"/>
      <c r="L29" s="15">
        <v>378</v>
      </c>
    </row>
    <row r="30" spans="6:12" x14ac:dyDescent="0.25">
      <c r="F30" s="14" t="s">
        <v>132</v>
      </c>
      <c r="G30" s="4" t="s">
        <v>133</v>
      </c>
      <c r="H30" s="4" t="s">
        <v>67</v>
      </c>
      <c r="I30" s="4" t="s">
        <v>49</v>
      </c>
      <c r="J30" s="4" t="s">
        <v>134</v>
      </c>
      <c r="K30" s="4">
        <v>38.76</v>
      </c>
      <c r="L30" s="15">
        <v>137</v>
      </c>
    </row>
    <row r="31" spans="6:12" x14ac:dyDescent="0.25">
      <c r="F31" s="14" t="s">
        <v>135</v>
      </c>
      <c r="G31" s="4" t="s">
        <v>136</v>
      </c>
      <c r="H31" s="4" t="s">
        <v>58</v>
      </c>
      <c r="I31" s="4" t="s">
        <v>86</v>
      </c>
      <c r="J31" s="4" t="s">
        <v>137</v>
      </c>
      <c r="K31" s="4">
        <v>218.48</v>
      </c>
      <c r="L31" s="15">
        <v>276</v>
      </c>
    </row>
    <row r="32" spans="6:12" x14ac:dyDescent="0.25">
      <c r="F32" s="14" t="s">
        <v>138</v>
      </c>
      <c r="G32" s="4" t="s">
        <v>139</v>
      </c>
      <c r="H32" s="4" t="s">
        <v>58</v>
      </c>
      <c r="I32" s="4" t="s">
        <v>72</v>
      </c>
      <c r="J32" s="4" t="s">
        <v>140</v>
      </c>
      <c r="K32" s="4">
        <v>19.52</v>
      </c>
      <c r="L32" s="15">
        <v>57</v>
      </c>
    </row>
    <row r="33" spans="6:12" x14ac:dyDescent="0.25">
      <c r="F33" s="14" t="s">
        <v>141</v>
      </c>
      <c r="G33" s="4" t="s">
        <v>142</v>
      </c>
      <c r="H33" s="4" t="s">
        <v>67</v>
      </c>
      <c r="I33" s="4" t="s">
        <v>143</v>
      </c>
      <c r="J33" s="4" t="s">
        <v>144</v>
      </c>
      <c r="K33" s="4">
        <v>204.39</v>
      </c>
      <c r="L33" s="15">
        <v>281</v>
      </c>
    </row>
    <row r="34" spans="6:12" x14ac:dyDescent="0.25">
      <c r="F34" s="14" t="s">
        <v>145</v>
      </c>
      <c r="G34" s="4" t="s">
        <v>146</v>
      </c>
      <c r="H34" s="4" t="s">
        <v>53</v>
      </c>
      <c r="I34" s="4" t="s">
        <v>54</v>
      </c>
      <c r="J34" s="4" t="s">
        <v>147</v>
      </c>
      <c r="K34" s="4">
        <v>283.83</v>
      </c>
      <c r="L34" s="15">
        <v>244</v>
      </c>
    </row>
    <row r="35" spans="6:12" x14ac:dyDescent="0.25">
      <c r="F35" s="14" t="s">
        <v>148</v>
      </c>
      <c r="G35" s="4" t="s">
        <v>149</v>
      </c>
      <c r="H35" s="4" t="s">
        <v>58</v>
      </c>
      <c r="I35" s="4" t="s">
        <v>86</v>
      </c>
      <c r="J35" s="4" t="s">
        <v>150</v>
      </c>
      <c r="K35" s="4">
        <v>179.77</v>
      </c>
      <c r="L35" s="15">
        <v>305</v>
      </c>
    </row>
    <row r="36" spans="6:12" x14ac:dyDescent="0.25">
      <c r="F36" s="14" t="s">
        <v>151</v>
      </c>
      <c r="G36" s="4" t="s">
        <v>152</v>
      </c>
      <c r="H36" s="4" t="s">
        <v>28</v>
      </c>
      <c r="I36" s="4" t="s">
        <v>29</v>
      </c>
      <c r="J36" s="4" t="s">
        <v>153</v>
      </c>
      <c r="K36" s="4">
        <v>419.28</v>
      </c>
      <c r="L36" s="15">
        <v>86</v>
      </c>
    </row>
    <row r="37" spans="6:12" x14ac:dyDescent="0.25">
      <c r="F37" s="14" t="s">
        <v>154</v>
      </c>
      <c r="G37" s="4" t="s">
        <v>155</v>
      </c>
      <c r="H37" s="4" t="s">
        <v>58</v>
      </c>
      <c r="I37" s="4" t="s">
        <v>59</v>
      </c>
      <c r="J37" s="4" t="s">
        <v>156</v>
      </c>
      <c r="K37" s="4">
        <v>382.22</v>
      </c>
      <c r="L37" s="15">
        <v>329</v>
      </c>
    </row>
    <row r="38" spans="6:12" x14ac:dyDescent="0.25">
      <c r="F38" s="14" t="s">
        <v>157</v>
      </c>
      <c r="G38" s="4" t="s">
        <v>158</v>
      </c>
      <c r="H38" s="4" t="s">
        <v>33</v>
      </c>
      <c r="I38" s="4" t="s">
        <v>34</v>
      </c>
      <c r="J38" s="4" t="s">
        <v>159</v>
      </c>
      <c r="K38" s="4">
        <v>223.43</v>
      </c>
      <c r="L38" s="15">
        <v>154</v>
      </c>
    </row>
    <row r="39" spans="6:12" x14ac:dyDescent="0.25">
      <c r="F39" s="14" t="s">
        <v>160</v>
      </c>
      <c r="G39" s="4" t="s">
        <v>161</v>
      </c>
      <c r="H39" s="4" t="s">
        <v>33</v>
      </c>
      <c r="I39" s="4" t="s">
        <v>162</v>
      </c>
      <c r="J39" s="4" t="s">
        <v>163</v>
      </c>
      <c r="K39" s="4">
        <v>353.47</v>
      </c>
      <c r="L39" s="15">
        <v>214</v>
      </c>
    </row>
    <row r="40" spans="6:12" x14ac:dyDescent="0.25">
      <c r="F40" s="14" t="s">
        <v>164</v>
      </c>
      <c r="G40" s="4" t="s">
        <v>165</v>
      </c>
      <c r="H40" s="4" t="s">
        <v>67</v>
      </c>
      <c r="I40" s="4" t="s">
        <v>121</v>
      </c>
      <c r="J40" s="4" t="s">
        <v>166</v>
      </c>
      <c r="K40" s="4">
        <v>135.61000000000001</v>
      </c>
      <c r="L40" s="15">
        <v>394</v>
      </c>
    </row>
    <row r="41" spans="6:12" x14ac:dyDescent="0.25">
      <c r="F41" s="14" t="s">
        <v>167</v>
      </c>
      <c r="G41" s="4" t="s">
        <v>168</v>
      </c>
      <c r="H41" s="4" t="s">
        <v>28</v>
      </c>
      <c r="I41" s="4" t="s">
        <v>169</v>
      </c>
      <c r="J41" s="4" t="s">
        <v>170</v>
      </c>
      <c r="K41" s="4">
        <v>326.06</v>
      </c>
      <c r="L41" s="15">
        <v>301</v>
      </c>
    </row>
    <row r="42" spans="6:12" x14ac:dyDescent="0.25">
      <c r="F42" s="14" t="s">
        <v>171</v>
      </c>
      <c r="G42" s="4" t="s">
        <v>172</v>
      </c>
      <c r="H42" s="4" t="s">
        <v>28</v>
      </c>
      <c r="I42" s="4" t="s">
        <v>63</v>
      </c>
      <c r="J42" s="4" t="s">
        <v>173</v>
      </c>
      <c r="K42" s="4">
        <v>38.520000000000003</v>
      </c>
      <c r="L42" s="15">
        <v>378</v>
      </c>
    </row>
    <row r="43" spans="6:12" x14ac:dyDescent="0.25">
      <c r="F43" s="14" t="s">
        <v>174</v>
      </c>
      <c r="G43" s="4" t="s">
        <v>175</v>
      </c>
      <c r="H43" s="4" t="s">
        <v>67</v>
      </c>
      <c r="I43" s="4" t="s">
        <v>68</v>
      </c>
      <c r="J43" s="4" t="s">
        <v>176</v>
      </c>
      <c r="K43" s="4">
        <v>313.26</v>
      </c>
      <c r="L43" s="15">
        <v>369</v>
      </c>
    </row>
    <row r="44" spans="6:12" x14ac:dyDescent="0.25">
      <c r="F44" s="14" t="s">
        <v>177</v>
      </c>
      <c r="G44" s="4" t="s">
        <v>178</v>
      </c>
      <c r="H44" s="4" t="s">
        <v>28</v>
      </c>
      <c r="I44" s="4" t="s">
        <v>49</v>
      </c>
      <c r="J44" s="4" t="s">
        <v>179</v>
      </c>
      <c r="K44" s="4">
        <v>450.71</v>
      </c>
      <c r="L44" s="15">
        <v>389</v>
      </c>
    </row>
    <row r="45" spans="6:12" x14ac:dyDescent="0.25">
      <c r="F45" s="14" t="s">
        <v>180</v>
      </c>
      <c r="G45" s="4" t="s">
        <v>181</v>
      </c>
      <c r="H45" s="4" t="s">
        <v>28</v>
      </c>
      <c r="I45" s="4" t="s">
        <v>29</v>
      </c>
      <c r="J45" s="4" t="s">
        <v>182</v>
      </c>
      <c r="K45" s="4">
        <v>253.33</v>
      </c>
      <c r="L45" s="15">
        <v>266</v>
      </c>
    </row>
    <row r="46" spans="6:12" x14ac:dyDescent="0.25">
      <c r="F46" s="14" t="s">
        <v>183</v>
      </c>
      <c r="G46" s="4" t="s">
        <v>184</v>
      </c>
      <c r="H46" s="4" t="s">
        <v>67</v>
      </c>
      <c r="I46" s="4" t="s">
        <v>68</v>
      </c>
      <c r="J46" s="4" t="s">
        <v>185</v>
      </c>
      <c r="K46" s="4">
        <v>167.12</v>
      </c>
      <c r="L46" s="15">
        <v>316</v>
      </c>
    </row>
    <row r="47" spans="6:12" x14ac:dyDescent="0.25">
      <c r="F47" s="14" t="s">
        <v>186</v>
      </c>
      <c r="G47" s="4" t="s">
        <v>187</v>
      </c>
      <c r="H47" s="4" t="s">
        <v>67</v>
      </c>
      <c r="I47" s="4" t="s">
        <v>143</v>
      </c>
      <c r="J47" s="4" t="s">
        <v>188</v>
      </c>
      <c r="K47" s="4">
        <v>318.91000000000003</v>
      </c>
      <c r="L47" s="15">
        <v>114</v>
      </c>
    </row>
    <row r="48" spans="6:12" x14ac:dyDescent="0.25">
      <c r="F48" s="14" t="s">
        <v>189</v>
      </c>
      <c r="G48" s="4" t="s">
        <v>190</v>
      </c>
      <c r="H48" s="4" t="s">
        <v>33</v>
      </c>
      <c r="I48" s="4" t="s">
        <v>38</v>
      </c>
      <c r="J48" s="4" t="s">
        <v>191</v>
      </c>
      <c r="K48" s="4">
        <v>167.34</v>
      </c>
      <c r="L48" s="15">
        <v>296</v>
      </c>
    </row>
    <row r="49" spans="6:12" x14ac:dyDescent="0.25">
      <c r="F49" s="14" t="s">
        <v>192</v>
      </c>
      <c r="G49" s="4" t="s">
        <v>193</v>
      </c>
      <c r="H49" s="4" t="s">
        <v>53</v>
      </c>
      <c r="I49" s="4" t="s">
        <v>194</v>
      </c>
      <c r="J49" s="4" t="s">
        <v>195</v>
      </c>
      <c r="K49" s="4"/>
      <c r="L49" s="15">
        <v>431</v>
      </c>
    </row>
    <row r="50" spans="6:12" x14ac:dyDescent="0.25">
      <c r="F50" s="14" t="s">
        <v>196</v>
      </c>
      <c r="G50" s="4" t="s">
        <v>197</v>
      </c>
      <c r="H50" s="4" t="s">
        <v>28</v>
      </c>
      <c r="I50" s="4" t="s">
        <v>49</v>
      </c>
      <c r="J50" s="4" t="s">
        <v>198</v>
      </c>
      <c r="K50" s="4">
        <v>177.98</v>
      </c>
      <c r="L50" s="15">
        <v>103</v>
      </c>
    </row>
    <row r="51" spans="6:12" x14ac:dyDescent="0.25">
      <c r="F51" s="14" t="s">
        <v>199</v>
      </c>
      <c r="G51" s="4" t="s">
        <v>200</v>
      </c>
      <c r="H51" s="4" t="s">
        <v>53</v>
      </c>
      <c r="I51" s="4" t="s">
        <v>201</v>
      </c>
      <c r="J51" s="4" t="s">
        <v>202</v>
      </c>
      <c r="K51" s="4">
        <v>43.29</v>
      </c>
      <c r="L51" s="15">
        <v>267</v>
      </c>
    </row>
    <row r="52" spans="6:12" x14ac:dyDescent="0.25">
      <c r="F52" s="14" t="s">
        <v>203</v>
      </c>
      <c r="G52" s="4" t="s">
        <v>204</v>
      </c>
      <c r="H52" s="4" t="s">
        <v>67</v>
      </c>
      <c r="I52" s="4" t="s">
        <v>68</v>
      </c>
      <c r="J52" s="4" t="s">
        <v>205</v>
      </c>
      <c r="K52" s="4">
        <v>190.29</v>
      </c>
      <c r="L52" s="15">
        <v>260</v>
      </c>
    </row>
    <row r="53" spans="6:12" x14ac:dyDescent="0.25">
      <c r="F53" s="14" t="s">
        <v>206</v>
      </c>
      <c r="G53" s="4" t="s">
        <v>207</v>
      </c>
      <c r="H53" s="4" t="s">
        <v>28</v>
      </c>
      <c r="I53" s="4" t="s">
        <v>49</v>
      </c>
      <c r="J53" s="4" t="s">
        <v>208</v>
      </c>
      <c r="K53" s="4">
        <v>88.49</v>
      </c>
      <c r="L53" s="15">
        <v>246</v>
      </c>
    </row>
    <row r="54" spans="6:12" x14ac:dyDescent="0.25">
      <c r="F54" s="14" t="s">
        <v>209</v>
      </c>
      <c r="G54" s="4" t="s">
        <v>210</v>
      </c>
      <c r="H54" s="4" t="s">
        <v>67</v>
      </c>
      <c r="I54" s="4" t="s">
        <v>143</v>
      </c>
      <c r="J54" s="4" t="s">
        <v>211</v>
      </c>
      <c r="K54" s="4">
        <v>212.26</v>
      </c>
      <c r="L54" s="15">
        <v>82</v>
      </c>
    </row>
    <row r="55" spans="6:12" x14ac:dyDescent="0.25">
      <c r="F55" s="14" t="s">
        <v>212</v>
      </c>
      <c r="G55" s="4" t="s">
        <v>213</v>
      </c>
      <c r="H55" s="4" t="s">
        <v>33</v>
      </c>
      <c r="I55" s="4" t="s">
        <v>45</v>
      </c>
      <c r="J55" s="4" t="s">
        <v>214</v>
      </c>
      <c r="K55" s="4">
        <v>386.56</v>
      </c>
      <c r="L55" s="15">
        <v>125</v>
      </c>
    </row>
    <row r="56" spans="6:12" x14ac:dyDescent="0.25">
      <c r="F56" s="14" t="s">
        <v>215</v>
      </c>
      <c r="G56" s="4" t="s">
        <v>216</v>
      </c>
      <c r="H56" s="4" t="s">
        <v>67</v>
      </c>
      <c r="I56" s="4" t="s">
        <v>49</v>
      </c>
      <c r="J56" s="4" t="s">
        <v>217</v>
      </c>
      <c r="K56" s="4">
        <v>434.84</v>
      </c>
      <c r="L56" s="15">
        <v>185</v>
      </c>
    </row>
    <row r="57" spans="6:12" x14ac:dyDescent="0.25">
      <c r="F57" s="14" t="s">
        <v>218</v>
      </c>
      <c r="G57" s="4" t="s">
        <v>219</v>
      </c>
      <c r="H57" s="4" t="s">
        <v>58</v>
      </c>
      <c r="I57" s="4" t="s">
        <v>86</v>
      </c>
      <c r="J57" s="4" t="s">
        <v>220</v>
      </c>
      <c r="K57" s="4">
        <v>81.75</v>
      </c>
      <c r="L57" s="15"/>
    </row>
    <row r="58" spans="6:12" x14ac:dyDescent="0.25">
      <c r="F58" s="14" t="s">
        <v>221</v>
      </c>
      <c r="G58" s="4" t="s">
        <v>222</v>
      </c>
      <c r="H58" s="4" t="s">
        <v>58</v>
      </c>
      <c r="I58" s="4" t="s">
        <v>86</v>
      </c>
      <c r="J58" s="4" t="s">
        <v>223</v>
      </c>
      <c r="K58" s="4">
        <v>461.47</v>
      </c>
      <c r="L58" s="15">
        <v>190</v>
      </c>
    </row>
    <row r="59" spans="6:12" x14ac:dyDescent="0.25">
      <c r="F59" s="14" t="s">
        <v>224</v>
      </c>
      <c r="G59" s="4" t="s">
        <v>225</v>
      </c>
      <c r="H59" s="4" t="s">
        <v>67</v>
      </c>
      <c r="I59" s="4" t="s">
        <v>68</v>
      </c>
      <c r="J59" s="4" t="s">
        <v>226</v>
      </c>
      <c r="K59" s="4">
        <v>30.62</v>
      </c>
      <c r="L59" s="15">
        <v>138</v>
      </c>
    </row>
    <row r="60" spans="6:12" x14ac:dyDescent="0.25">
      <c r="F60" s="14" t="s">
        <v>227</v>
      </c>
      <c r="G60" s="4" t="s">
        <v>228</v>
      </c>
      <c r="H60" s="4" t="s">
        <v>33</v>
      </c>
      <c r="I60" s="4" t="s">
        <v>49</v>
      </c>
      <c r="J60" s="4" t="s">
        <v>229</v>
      </c>
      <c r="K60" s="4">
        <v>113.83</v>
      </c>
      <c r="L60" s="15">
        <v>485</v>
      </c>
    </row>
    <row r="61" spans="6:12" x14ac:dyDescent="0.25">
      <c r="F61" s="14" t="s">
        <v>230</v>
      </c>
      <c r="G61" s="4" t="s">
        <v>231</v>
      </c>
      <c r="H61" s="4" t="s">
        <v>53</v>
      </c>
      <c r="I61" s="4" t="s">
        <v>79</v>
      </c>
      <c r="J61" s="4" t="s">
        <v>232</v>
      </c>
      <c r="K61" s="4">
        <v>17.309999999999999</v>
      </c>
      <c r="L61" s="15">
        <v>399</v>
      </c>
    </row>
    <row r="62" spans="6:12" x14ac:dyDescent="0.25">
      <c r="F62" s="14" t="s">
        <v>233</v>
      </c>
      <c r="G62" s="4" t="s">
        <v>234</v>
      </c>
      <c r="H62" s="4" t="s">
        <v>53</v>
      </c>
      <c r="I62" s="4" t="s">
        <v>201</v>
      </c>
      <c r="J62" s="4" t="s">
        <v>235</v>
      </c>
      <c r="K62" s="4">
        <v>482.75</v>
      </c>
      <c r="L62" s="15">
        <v>444</v>
      </c>
    </row>
    <row r="63" spans="6:12" x14ac:dyDescent="0.25">
      <c r="F63" s="14" t="s">
        <v>236</v>
      </c>
      <c r="G63" s="4" t="s">
        <v>237</v>
      </c>
      <c r="H63" s="4" t="s">
        <v>67</v>
      </c>
      <c r="I63" s="4" t="s">
        <v>104</v>
      </c>
      <c r="J63" s="4" t="s">
        <v>238</v>
      </c>
      <c r="K63" s="4">
        <v>103.45</v>
      </c>
      <c r="L63" s="15">
        <v>465</v>
      </c>
    </row>
    <row r="64" spans="6:12" x14ac:dyDescent="0.25">
      <c r="F64" s="14" t="s">
        <v>239</v>
      </c>
      <c r="G64" s="4" t="s">
        <v>240</v>
      </c>
      <c r="H64" s="4" t="s">
        <v>28</v>
      </c>
      <c r="I64" s="4" t="s">
        <v>29</v>
      </c>
      <c r="J64" s="4" t="s">
        <v>241</v>
      </c>
      <c r="K64" s="4">
        <v>86.42</v>
      </c>
      <c r="L64" s="15">
        <v>222</v>
      </c>
    </row>
    <row r="65" spans="6:12" x14ac:dyDescent="0.25">
      <c r="F65" s="14" t="s">
        <v>242</v>
      </c>
      <c r="G65" s="4" t="s">
        <v>243</v>
      </c>
      <c r="H65" s="4" t="s">
        <v>53</v>
      </c>
      <c r="I65" s="4" t="s">
        <v>54</v>
      </c>
      <c r="J65" s="4" t="s">
        <v>244</v>
      </c>
      <c r="K65" s="4">
        <v>266.86</v>
      </c>
      <c r="L65" s="15">
        <v>458</v>
      </c>
    </row>
    <row r="66" spans="6:12" x14ac:dyDescent="0.25">
      <c r="F66" s="14" t="s">
        <v>245</v>
      </c>
      <c r="G66" s="4" t="s">
        <v>246</v>
      </c>
      <c r="H66" s="4" t="s">
        <v>53</v>
      </c>
      <c r="I66" s="4" t="s">
        <v>194</v>
      </c>
      <c r="J66" s="4" t="s">
        <v>247</v>
      </c>
      <c r="K66" s="4">
        <v>299.11</v>
      </c>
      <c r="L66" s="15">
        <v>118</v>
      </c>
    </row>
    <row r="67" spans="6:12" x14ac:dyDescent="0.25">
      <c r="F67" s="14" t="s">
        <v>248</v>
      </c>
      <c r="G67" s="4" t="s">
        <v>249</v>
      </c>
      <c r="H67" s="4" t="s">
        <v>67</v>
      </c>
      <c r="I67" s="4" t="s">
        <v>68</v>
      </c>
      <c r="J67" s="4" t="s">
        <v>250</v>
      </c>
      <c r="K67" s="4">
        <v>240.63</v>
      </c>
      <c r="L67" s="15">
        <v>423</v>
      </c>
    </row>
    <row r="68" spans="6:12" x14ac:dyDescent="0.25">
      <c r="F68" s="14" t="s">
        <v>251</v>
      </c>
      <c r="G68" s="4" t="s">
        <v>252</v>
      </c>
      <c r="H68" s="4" t="s">
        <v>53</v>
      </c>
      <c r="I68" s="4" t="s">
        <v>79</v>
      </c>
      <c r="J68" s="4" t="s">
        <v>253</v>
      </c>
      <c r="K68" s="4">
        <v>340.39</v>
      </c>
      <c r="L68" s="15">
        <v>177</v>
      </c>
    </row>
    <row r="69" spans="6:12" x14ac:dyDescent="0.25">
      <c r="F69" s="14" t="s">
        <v>254</v>
      </c>
      <c r="G69" s="4" t="s">
        <v>255</v>
      </c>
      <c r="H69" s="4" t="s">
        <v>28</v>
      </c>
      <c r="I69" s="4" t="s">
        <v>49</v>
      </c>
      <c r="J69" s="4" t="s">
        <v>256</v>
      </c>
      <c r="K69" s="4">
        <v>349.17</v>
      </c>
      <c r="L69" s="15">
        <v>476</v>
      </c>
    </row>
    <row r="70" spans="6:12" x14ac:dyDescent="0.25">
      <c r="F70" s="14" t="s">
        <v>257</v>
      </c>
      <c r="G70" s="4" t="s">
        <v>258</v>
      </c>
      <c r="H70" s="4" t="s">
        <v>58</v>
      </c>
      <c r="I70" s="4" t="s">
        <v>259</v>
      </c>
      <c r="J70" s="4" t="s">
        <v>260</v>
      </c>
      <c r="K70" s="4">
        <v>243.7</v>
      </c>
      <c r="L70" s="15">
        <v>130</v>
      </c>
    </row>
    <row r="71" spans="6:12" x14ac:dyDescent="0.25">
      <c r="F71" s="14" t="s">
        <v>261</v>
      </c>
      <c r="G71" s="4" t="s">
        <v>262</v>
      </c>
      <c r="H71" s="4" t="s">
        <v>33</v>
      </c>
      <c r="I71" s="4" t="s">
        <v>45</v>
      </c>
      <c r="J71" s="4" t="s">
        <v>263</v>
      </c>
      <c r="K71" s="4">
        <v>218.22</v>
      </c>
      <c r="L71" s="15">
        <v>224</v>
      </c>
    </row>
    <row r="72" spans="6:12" x14ac:dyDescent="0.25">
      <c r="F72" s="14" t="s">
        <v>264</v>
      </c>
      <c r="G72" s="4" t="s">
        <v>265</v>
      </c>
      <c r="H72" s="4" t="s">
        <v>58</v>
      </c>
      <c r="I72" s="4" t="s">
        <v>111</v>
      </c>
      <c r="J72" s="4" t="s">
        <v>266</v>
      </c>
      <c r="K72" s="4">
        <v>138.05000000000001</v>
      </c>
      <c r="L72" s="15">
        <v>89</v>
      </c>
    </row>
    <row r="73" spans="6:12" x14ac:dyDescent="0.25">
      <c r="F73" s="14" t="s">
        <v>267</v>
      </c>
      <c r="G73" s="4" t="s">
        <v>268</v>
      </c>
      <c r="H73" s="4" t="s">
        <v>53</v>
      </c>
      <c r="I73" s="4" t="s">
        <v>79</v>
      </c>
      <c r="J73" s="4" t="s">
        <v>269</v>
      </c>
      <c r="K73" s="4">
        <v>214.32</v>
      </c>
      <c r="L73" s="15">
        <v>383</v>
      </c>
    </row>
    <row r="74" spans="6:12" x14ac:dyDescent="0.25">
      <c r="F74" s="14" t="s">
        <v>270</v>
      </c>
      <c r="G74" s="4" t="s">
        <v>271</v>
      </c>
      <c r="H74" s="4" t="s">
        <v>67</v>
      </c>
      <c r="I74" s="4" t="s">
        <v>68</v>
      </c>
      <c r="J74" s="4" t="s">
        <v>272</v>
      </c>
      <c r="K74" s="4">
        <v>477.61</v>
      </c>
      <c r="L74" s="15">
        <v>300</v>
      </c>
    </row>
    <row r="75" spans="6:12" x14ac:dyDescent="0.25">
      <c r="F75" s="14" t="s">
        <v>273</v>
      </c>
      <c r="G75" s="4" t="s">
        <v>274</v>
      </c>
      <c r="H75" s="4" t="s">
        <v>67</v>
      </c>
      <c r="I75" s="4" t="s">
        <v>143</v>
      </c>
      <c r="J75" s="4" t="s">
        <v>275</v>
      </c>
      <c r="K75" s="4">
        <v>107.06</v>
      </c>
      <c r="L75" s="15">
        <v>359</v>
      </c>
    </row>
    <row r="76" spans="6:12" x14ac:dyDescent="0.25">
      <c r="F76" s="14" t="s">
        <v>276</v>
      </c>
      <c r="G76" s="4" t="s">
        <v>277</v>
      </c>
      <c r="H76" s="4" t="s">
        <v>28</v>
      </c>
      <c r="I76" s="4" t="s">
        <v>63</v>
      </c>
      <c r="J76" s="4" t="s">
        <v>278</v>
      </c>
      <c r="K76" s="4">
        <v>403.71</v>
      </c>
      <c r="L76" s="15">
        <v>159</v>
      </c>
    </row>
    <row r="77" spans="6:12" x14ac:dyDescent="0.25">
      <c r="F77" s="14" t="s">
        <v>279</v>
      </c>
      <c r="G77" s="4" t="s">
        <v>280</v>
      </c>
      <c r="H77" s="4" t="s">
        <v>33</v>
      </c>
      <c r="I77" s="4" t="s">
        <v>162</v>
      </c>
      <c r="J77" s="4" t="s">
        <v>281</v>
      </c>
      <c r="K77" s="4">
        <v>158.13999999999999</v>
      </c>
      <c r="L77" s="15">
        <v>82</v>
      </c>
    </row>
    <row r="78" spans="6:12" x14ac:dyDescent="0.25">
      <c r="F78" s="14" t="s">
        <v>282</v>
      </c>
      <c r="G78" s="4" t="s">
        <v>283</v>
      </c>
      <c r="H78" s="4" t="s">
        <v>28</v>
      </c>
      <c r="I78" s="4" t="s">
        <v>29</v>
      </c>
      <c r="J78" s="4" t="s">
        <v>284</v>
      </c>
      <c r="K78" s="4">
        <v>392.89</v>
      </c>
      <c r="L78" s="15">
        <v>320</v>
      </c>
    </row>
    <row r="79" spans="6:12" x14ac:dyDescent="0.25">
      <c r="F79" s="14" t="s">
        <v>285</v>
      </c>
      <c r="G79" s="4" t="s">
        <v>286</v>
      </c>
      <c r="H79" s="4" t="s">
        <v>28</v>
      </c>
      <c r="I79" s="4" t="s">
        <v>90</v>
      </c>
      <c r="J79" s="4" t="s">
        <v>287</v>
      </c>
      <c r="K79" s="4">
        <v>480.9</v>
      </c>
      <c r="L79" s="15">
        <v>104</v>
      </c>
    </row>
    <row r="80" spans="6:12" x14ac:dyDescent="0.25">
      <c r="F80" s="14" t="s">
        <v>288</v>
      </c>
      <c r="G80" s="4" t="s">
        <v>289</v>
      </c>
      <c r="H80" s="4" t="s">
        <v>58</v>
      </c>
      <c r="I80" s="4" t="s">
        <v>86</v>
      </c>
      <c r="J80" s="4" t="s">
        <v>290</v>
      </c>
      <c r="K80" s="4">
        <v>325.26</v>
      </c>
      <c r="L80" s="15">
        <v>400</v>
      </c>
    </row>
    <row r="81" spans="6:12" x14ac:dyDescent="0.25">
      <c r="F81" s="14" t="s">
        <v>291</v>
      </c>
      <c r="G81" s="4" t="s">
        <v>292</v>
      </c>
      <c r="H81" s="4" t="s">
        <v>58</v>
      </c>
      <c r="I81" s="4" t="s">
        <v>59</v>
      </c>
      <c r="J81" s="4" t="s">
        <v>293</v>
      </c>
      <c r="K81" s="4">
        <v>228.53</v>
      </c>
      <c r="L81" s="15">
        <v>469</v>
      </c>
    </row>
    <row r="82" spans="6:12" x14ac:dyDescent="0.25">
      <c r="F82" s="14" t="s">
        <v>294</v>
      </c>
      <c r="G82" s="4" t="s">
        <v>295</v>
      </c>
      <c r="H82" s="4" t="s">
        <v>58</v>
      </c>
      <c r="I82" s="4" t="s">
        <v>72</v>
      </c>
      <c r="J82" s="4" t="s">
        <v>296</v>
      </c>
      <c r="K82" s="4">
        <v>143.43</v>
      </c>
      <c r="L82" s="15">
        <v>58</v>
      </c>
    </row>
    <row r="83" spans="6:12" x14ac:dyDescent="0.25">
      <c r="F83" s="14" t="s">
        <v>297</v>
      </c>
      <c r="G83" s="4" t="s">
        <v>298</v>
      </c>
      <c r="H83" s="4" t="s">
        <v>67</v>
      </c>
      <c r="I83" s="4" t="s">
        <v>104</v>
      </c>
      <c r="J83" s="4" t="s">
        <v>299</v>
      </c>
      <c r="K83" s="4">
        <v>285.54000000000002</v>
      </c>
      <c r="L83" s="15">
        <v>358</v>
      </c>
    </row>
    <row r="84" spans="6:12" x14ac:dyDescent="0.25">
      <c r="F84" s="14" t="s">
        <v>300</v>
      </c>
      <c r="G84" s="4" t="s">
        <v>301</v>
      </c>
      <c r="H84" s="4" t="s">
        <v>67</v>
      </c>
      <c r="I84" s="4" t="s">
        <v>68</v>
      </c>
      <c r="J84" s="4" t="s">
        <v>302</v>
      </c>
      <c r="K84" s="4">
        <v>152.91999999999999</v>
      </c>
      <c r="L84" s="15">
        <v>281</v>
      </c>
    </row>
    <row r="85" spans="6:12" x14ac:dyDescent="0.25">
      <c r="F85" s="14" t="s">
        <v>303</v>
      </c>
      <c r="G85" s="4" t="s">
        <v>304</v>
      </c>
      <c r="H85" s="4" t="s">
        <v>53</v>
      </c>
      <c r="I85" s="4" t="s">
        <v>54</v>
      </c>
      <c r="J85" s="4" t="s">
        <v>305</v>
      </c>
      <c r="K85" s="4"/>
      <c r="L85" s="15">
        <v>159</v>
      </c>
    </row>
    <row r="86" spans="6:12" x14ac:dyDescent="0.25">
      <c r="F86" s="14" t="s">
        <v>306</v>
      </c>
      <c r="G86" s="4" t="s">
        <v>307</v>
      </c>
      <c r="H86" s="4" t="s">
        <v>58</v>
      </c>
      <c r="I86" s="4" t="s">
        <v>259</v>
      </c>
      <c r="J86" s="4" t="s">
        <v>308</v>
      </c>
      <c r="K86" s="4">
        <v>388.46</v>
      </c>
      <c r="L86" s="15">
        <v>208</v>
      </c>
    </row>
    <row r="87" spans="6:12" x14ac:dyDescent="0.25">
      <c r="F87" s="14" t="s">
        <v>309</v>
      </c>
      <c r="G87" s="4" t="s">
        <v>310</v>
      </c>
      <c r="H87" s="4" t="s">
        <v>33</v>
      </c>
      <c r="I87" s="4" t="s">
        <v>49</v>
      </c>
      <c r="J87" s="4" t="s">
        <v>311</v>
      </c>
      <c r="K87" s="4">
        <v>119.57</v>
      </c>
      <c r="L87" s="15">
        <v>210</v>
      </c>
    </row>
    <row r="88" spans="6:12" x14ac:dyDescent="0.25">
      <c r="F88" s="14" t="s">
        <v>312</v>
      </c>
      <c r="G88" s="4" t="s">
        <v>313</v>
      </c>
      <c r="H88" s="4" t="s">
        <v>58</v>
      </c>
      <c r="I88" s="4" t="s">
        <v>72</v>
      </c>
      <c r="J88" s="4" t="s">
        <v>314</v>
      </c>
      <c r="K88" s="4">
        <v>176.07</v>
      </c>
      <c r="L88" s="15">
        <v>82</v>
      </c>
    </row>
    <row r="89" spans="6:12" x14ac:dyDescent="0.25">
      <c r="F89" s="14" t="s">
        <v>315</v>
      </c>
      <c r="G89" s="4" t="s">
        <v>316</v>
      </c>
      <c r="H89" s="4" t="s">
        <v>58</v>
      </c>
      <c r="I89" s="4" t="s">
        <v>59</v>
      </c>
      <c r="J89" s="4" t="s">
        <v>317</v>
      </c>
      <c r="K89" s="4">
        <v>371.38</v>
      </c>
      <c r="L89" s="15">
        <v>220</v>
      </c>
    </row>
    <row r="90" spans="6:12" x14ac:dyDescent="0.25">
      <c r="F90" s="14" t="s">
        <v>318</v>
      </c>
      <c r="G90" s="4" t="s">
        <v>319</v>
      </c>
      <c r="H90" s="4" t="s">
        <v>67</v>
      </c>
      <c r="I90" s="4" t="s">
        <v>49</v>
      </c>
      <c r="J90" s="4" t="s">
        <v>320</v>
      </c>
      <c r="K90" s="4">
        <v>131.24</v>
      </c>
      <c r="L90" s="15">
        <v>232</v>
      </c>
    </row>
    <row r="91" spans="6:12" x14ac:dyDescent="0.25">
      <c r="F91" s="14" t="s">
        <v>321</v>
      </c>
      <c r="G91" s="4" t="s">
        <v>322</v>
      </c>
      <c r="H91" s="4" t="s">
        <v>53</v>
      </c>
      <c r="I91" s="4" t="s">
        <v>194</v>
      </c>
      <c r="J91" s="4" t="s">
        <v>323</v>
      </c>
      <c r="K91" s="4">
        <v>183.04</v>
      </c>
      <c r="L91" s="15">
        <v>457</v>
      </c>
    </row>
    <row r="92" spans="6:12" x14ac:dyDescent="0.25">
      <c r="F92" s="14" t="s">
        <v>324</v>
      </c>
      <c r="G92" s="4" t="s">
        <v>325</v>
      </c>
      <c r="H92" s="4" t="s">
        <v>28</v>
      </c>
      <c r="I92" s="4" t="s">
        <v>49</v>
      </c>
      <c r="J92" s="4" t="s">
        <v>326</v>
      </c>
      <c r="K92" s="4">
        <v>340.14</v>
      </c>
      <c r="L92" s="15">
        <v>361</v>
      </c>
    </row>
    <row r="93" spans="6:12" x14ac:dyDescent="0.25">
      <c r="F93" s="14" t="s">
        <v>327</v>
      </c>
      <c r="G93" s="4" t="s">
        <v>328</v>
      </c>
      <c r="H93" s="4" t="s">
        <v>33</v>
      </c>
      <c r="I93" s="4" t="s">
        <v>162</v>
      </c>
      <c r="J93" s="4" t="s">
        <v>329</v>
      </c>
      <c r="K93" s="4">
        <v>438.25</v>
      </c>
      <c r="L93" s="15">
        <v>496</v>
      </c>
    </row>
    <row r="94" spans="6:12" x14ac:dyDescent="0.25">
      <c r="F94" s="14" t="s">
        <v>330</v>
      </c>
      <c r="G94" s="4" t="s">
        <v>331</v>
      </c>
      <c r="H94" s="4" t="s">
        <v>58</v>
      </c>
      <c r="I94" s="4" t="s">
        <v>90</v>
      </c>
      <c r="J94" s="4" t="s">
        <v>332</v>
      </c>
      <c r="K94" s="4">
        <v>447.43</v>
      </c>
      <c r="L94" s="15">
        <v>191</v>
      </c>
    </row>
    <row r="95" spans="6:12" x14ac:dyDescent="0.25">
      <c r="F95" s="14" t="s">
        <v>333</v>
      </c>
      <c r="G95" s="4" t="s">
        <v>334</v>
      </c>
      <c r="H95" s="4" t="s">
        <v>28</v>
      </c>
      <c r="I95" s="4" t="s">
        <v>29</v>
      </c>
      <c r="J95" s="4" t="s">
        <v>335</v>
      </c>
      <c r="K95" s="4">
        <v>377.52</v>
      </c>
      <c r="L95" s="15">
        <v>485</v>
      </c>
    </row>
    <row r="96" spans="6:12" x14ac:dyDescent="0.25">
      <c r="F96" s="14" t="s">
        <v>336</v>
      </c>
      <c r="G96" s="4" t="s">
        <v>337</v>
      </c>
      <c r="H96" s="4" t="s">
        <v>53</v>
      </c>
      <c r="I96" s="4" t="s">
        <v>54</v>
      </c>
      <c r="J96" s="4" t="s">
        <v>338</v>
      </c>
      <c r="K96" s="4">
        <v>358.47</v>
      </c>
      <c r="L96" s="15">
        <v>213</v>
      </c>
    </row>
    <row r="97" spans="6:12" x14ac:dyDescent="0.25">
      <c r="F97" s="14" t="s">
        <v>339</v>
      </c>
      <c r="G97" s="4" t="s">
        <v>340</v>
      </c>
      <c r="H97" s="4" t="s">
        <v>67</v>
      </c>
      <c r="I97" s="4" t="s">
        <v>49</v>
      </c>
      <c r="J97" s="4" t="s">
        <v>341</v>
      </c>
      <c r="K97" s="4">
        <v>60.65</v>
      </c>
      <c r="L97" s="15">
        <v>75</v>
      </c>
    </row>
    <row r="98" spans="6:12" x14ac:dyDescent="0.25">
      <c r="F98" s="14" t="s">
        <v>342</v>
      </c>
      <c r="G98" s="4" t="s">
        <v>343</v>
      </c>
      <c r="H98" s="4" t="s">
        <v>33</v>
      </c>
      <c r="I98" s="4" t="s">
        <v>38</v>
      </c>
      <c r="J98" s="4" t="s">
        <v>344</v>
      </c>
      <c r="K98" s="4">
        <v>358.47</v>
      </c>
      <c r="L98" s="15">
        <v>143</v>
      </c>
    </row>
    <row r="99" spans="6:12" x14ac:dyDescent="0.25">
      <c r="F99" s="14" t="s">
        <v>345</v>
      </c>
      <c r="G99" s="4" t="s">
        <v>346</v>
      </c>
      <c r="H99" s="4" t="s">
        <v>67</v>
      </c>
      <c r="I99" s="4" t="s">
        <v>143</v>
      </c>
      <c r="J99" s="4" t="s">
        <v>347</v>
      </c>
      <c r="K99" s="4">
        <v>245.98</v>
      </c>
      <c r="L99" s="15">
        <v>471</v>
      </c>
    </row>
    <row r="100" spans="6:12" x14ac:dyDescent="0.25">
      <c r="F100" s="14" t="s">
        <v>348</v>
      </c>
      <c r="G100" s="4" t="s">
        <v>349</v>
      </c>
      <c r="H100" s="4" t="s">
        <v>28</v>
      </c>
      <c r="I100" s="4" t="s">
        <v>63</v>
      </c>
      <c r="J100" s="4" t="s">
        <v>350</v>
      </c>
      <c r="K100" s="4">
        <v>431.67</v>
      </c>
      <c r="L100" s="15">
        <v>73</v>
      </c>
    </row>
    <row r="101" spans="6:12" x14ac:dyDescent="0.25">
      <c r="F101" s="16" t="s">
        <v>351</v>
      </c>
      <c r="G101" s="17" t="s">
        <v>352</v>
      </c>
      <c r="H101" s="17" t="s">
        <v>58</v>
      </c>
      <c r="I101" s="17" t="s">
        <v>72</v>
      </c>
      <c r="J101" s="17" t="s">
        <v>353</v>
      </c>
      <c r="K101" s="17">
        <v>201.41</v>
      </c>
      <c r="L101" s="18">
        <v>146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</vt:lpstr>
      <vt:lpstr>Data cleaning</vt:lpstr>
      <vt:lpstr>f Excel formulas for calculatio</vt:lpstr>
      <vt:lpstr> XLOOKUP VLOOKUP </vt:lpstr>
      <vt:lpstr>pivot table</vt:lpstr>
      <vt:lpstr>Descriptive statistics</vt:lpstr>
      <vt:lpstr>●Data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2026-06-08T19:13:28Z</dcterms:created>
  <dcterms:modified xsi:type="dcterms:W3CDTF">2026-06-11T22:15:49Z</dcterms:modified>
</cp:coreProperties>
</file>