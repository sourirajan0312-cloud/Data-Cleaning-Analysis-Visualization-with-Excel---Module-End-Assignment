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ENOVO\Documents\Data Excel Assment\"/>
    </mc:Choice>
  </mc:AlternateContent>
  <xr:revisionPtr revIDLastSave="0" documentId="13_ncr:1_{EDE59813-00DA-4715-89CE-FF4399B1F757}" xr6:coauthVersionLast="47" xr6:coauthVersionMax="47" xr10:uidLastSave="{00000000-0000-0000-0000-000000000000}"/>
  <bookViews>
    <workbookView xWindow="-120" yWindow="-120" windowWidth="20730" windowHeight="11160" firstSheet="3" activeTab="7" xr2:uid="{E4D125EB-1332-45CE-A8CD-563403D3E6BE}"/>
  </bookViews>
  <sheets>
    <sheet name="Data " sheetId="1" r:id="rId1"/>
    <sheet name="Data cleaning" sheetId="2" r:id="rId2"/>
    <sheet name="f Excel formulas for calculatio" sheetId="3" r:id="rId3"/>
    <sheet name=" XLOOKUP VLOOKUP " sheetId="4" r:id="rId4"/>
    <sheet name="pivot table" sheetId="12" r:id="rId5"/>
    <sheet name="Descriptive statistics" sheetId="7" r:id="rId6"/>
    <sheet name="Sheet2" sheetId="14" r:id="rId7"/>
    <sheet name="●Data visualization" sheetId="8" r:id="rId8"/>
  </sheets>
  <definedNames>
    <definedName name="Slicer_Region">#N/A</definedName>
    <definedName name="Slicer_Store_Type">#N/A</definedName>
  </definedNames>
  <calcPr calcId="191029"/>
  <pivotCaches>
    <pivotCache cacheId="7" r:id="rId9"/>
    <pivotCache cacheId="29"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4" l="1"/>
  <c r="C4" i="4"/>
  <c r="D4" i="4"/>
  <c r="E4" i="4"/>
  <c r="B5" i="4"/>
  <c r="C5" i="4"/>
  <c r="D5" i="4"/>
  <c r="E5" i="4"/>
  <c r="B6" i="4"/>
  <c r="C6" i="4"/>
  <c r="D6" i="4"/>
  <c r="E6" i="4"/>
  <c r="B7" i="4"/>
  <c r="C7" i="4"/>
  <c r="D7" i="4"/>
  <c r="E7" i="4"/>
  <c r="B8" i="4"/>
  <c r="C8" i="4"/>
  <c r="D8" i="4"/>
  <c r="E8" i="4"/>
  <c r="B9" i="4"/>
  <c r="C9" i="4"/>
  <c r="D9" i="4"/>
  <c r="E9" i="4"/>
  <c r="B10" i="4"/>
  <c r="C10" i="4"/>
  <c r="D10" i="4"/>
  <c r="E10" i="4"/>
  <c r="B11" i="4"/>
  <c r="C11" i="4"/>
  <c r="D11" i="4"/>
  <c r="E11" i="4"/>
  <c r="B12" i="4"/>
  <c r="C12" i="4"/>
  <c r="D12" i="4"/>
  <c r="E12" i="4"/>
  <c r="B13" i="4"/>
  <c r="C13" i="4"/>
  <c r="D13" i="4"/>
  <c r="E13" i="4"/>
  <c r="B14" i="4"/>
  <c r="C14" i="4"/>
  <c r="D14" i="4"/>
  <c r="E14" i="4"/>
  <c r="B15" i="4"/>
  <c r="C15" i="4"/>
  <c r="D15" i="4"/>
  <c r="E15" i="4"/>
  <c r="B16" i="4"/>
  <c r="C16" i="4"/>
  <c r="D16" i="4"/>
  <c r="E16" i="4"/>
  <c r="B17" i="4"/>
  <c r="C17" i="4"/>
  <c r="D17" i="4"/>
  <c r="E17" i="4"/>
  <c r="B18" i="4"/>
  <c r="C18" i="4"/>
  <c r="D18" i="4"/>
  <c r="E18" i="4"/>
  <c r="B19" i="4"/>
  <c r="C19" i="4"/>
  <c r="D19" i="4"/>
  <c r="E19" i="4"/>
  <c r="B20" i="4"/>
  <c r="C20" i="4"/>
  <c r="D20" i="4"/>
  <c r="E20" i="4"/>
  <c r="B21" i="4"/>
  <c r="C21" i="4"/>
  <c r="D21" i="4"/>
  <c r="E21" i="4"/>
  <c r="B22" i="4"/>
  <c r="C22" i="4"/>
  <c r="D22" i="4"/>
  <c r="E22" i="4"/>
  <c r="C3" i="4"/>
  <c r="D3" i="4"/>
  <c r="E3" i="4"/>
  <c r="B3" i="4"/>
  <c r="H4" i="3"/>
  <c r="H3" i="3"/>
  <c r="W3" i="2" a="1"/>
  <c r="W3" i="2"/>
  <c r="O3" i="2" a="1"/>
  <c r="O3" i="2"/>
  <c r="G3" i="2" a="1"/>
  <c r="G3" i="2"/>
  <c r="H4" i="4"/>
  <c r="I4" i="4" s="1"/>
  <c r="J4" i="4" s="1"/>
  <c r="K4" i="4" s="1"/>
  <c r="H5" i="4"/>
  <c r="I5" i="4" s="1"/>
  <c r="J5" i="4" s="1"/>
  <c r="K5" i="4" s="1"/>
  <c r="H6" i="4"/>
  <c r="I6" i="4" s="1"/>
  <c r="J6" i="4" s="1"/>
  <c r="K6" i="4" s="1"/>
  <c r="H7" i="4"/>
  <c r="I7" i="4" s="1"/>
  <c r="J7" i="4" s="1"/>
  <c r="K7" i="4" s="1"/>
  <c r="H8" i="4"/>
  <c r="I8" i="4" s="1"/>
  <c r="J8" i="4" s="1"/>
  <c r="K8" i="4" s="1"/>
  <c r="H9" i="4"/>
  <c r="I9" i="4" s="1"/>
  <c r="J9" i="4" s="1"/>
  <c r="K9" i="4" s="1"/>
  <c r="H10" i="4"/>
  <c r="I10" i="4" s="1"/>
  <c r="J10" i="4" s="1"/>
  <c r="K10" i="4" s="1"/>
  <c r="H11" i="4"/>
  <c r="I11" i="4" s="1"/>
  <c r="J11" i="4" s="1"/>
  <c r="K11" i="4" s="1"/>
  <c r="H12" i="4"/>
  <c r="I12" i="4" s="1"/>
  <c r="J12" i="4" s="1"/>
  <c r="K12" i="4" s="1"/>
  <c r="H13" i="4"/>
  <c r="I13" i="4" s="1"/>
  <c r="J13" i="4" s="1"/>
  <c r="K13" i="4" s="1"/>
  <c r="H14" i="4"/>
  <c r="I14" i="4" s="1"/>
  <c r="J14" i="4" s="1"/>
  <c r="K14" i="4" s="1"/>
  <c r="H15" i="4"/>
  <c r="I15" i="4" s="1"/>
  <c r="J15" i="4" s="1"/>
  <c r="K15" i="4" s="1"/>
  <c r="H16" i="4"/>
  <c r="I16" i="4" s="1"/>
  <c r="J16" i="4" s="1"/>
  <c r="K16" i="4" s="1"/>
  <c r="H17" i="4"/>
  <c r="I17" i="4" s="1"/>
  <c r="J17" i="4" s="1"/>
  <c r="K17" i="4" s="1"/>
  <c r="H18" i="4"/>
  <c r="I18" i="4" s="1"/>
  <c r="J18" i="4" s="1"/>
  <c r="K18" i="4" s="1"/>
  <c r="H19" i="4"/>
  <c r="I19" i="4" s="1"/>
  <c r="J19" i="4" s="1"/>
  <c r="K19" i="4" s="1"/>
  <c r="H20" i="4"/>
  <c r="I20" i="4" s="1"/>
  <c r="J20" i="4" s="1"/>
  <c r="K20" i="4" s="1"/>
  <c r="H21" i="4"/>
  <c r="I21" i="4" s="1"/>
  <c r="J21" i="4" s="1"/>
  <c r="K21" i="4" s="1"/>
  <c r="H22" i="4"/>
  <c r="I22" i="4" s="1"/>
  <c r="J22" i="4" s="1"/>
  <c r="K22" i="4" s="1"/>
  <c r="H3" i="4"/>
  <c r="I3" i="4" s="1"/>
  <c r="J3" i="4" s="1"/>
  <c r="K3"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<sst xmlns="http://schemas.openxmlformats.org/spreadsheetml/2006/main" count="595" uniqueCount="83">
  <si>
    <t> validate data</t>
  </si>
  <si>
    <t> handle missing/inconsistent data</t>
  </si>
  <si>
    <t>Vlookup</t>
  </si>
  <si>
    <t>Row Labels</t>
  </si>
  <si>
    <t>Grand Total</t>
  </si>
  <si>
    <t>Xlookup</t>
  </si>
  <si>
    <t>Store_ID</t>
  </si>
  <si>
    <t>Store_Name</t>
  </si>
  <si>
    <t>Region</t>
  </si>
  <si>
    <t>City</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</si>
  <si>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</si>
  <si>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</si>
  <si>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</si>
  <si>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</si>
  <si>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</si>
  <si>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</si>
  <si>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</si>
  <si>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</si>
  <si>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</si>
  <si>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</si>
  <si>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</si>
  <si>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</si>
  <si>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</si>
  <si>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</si>
  <si>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</si>
  <si>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</si>
  <si>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</si>
  <si>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</si>
  <si>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</si>
  <si>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</si>
  <si>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</si>
  <si>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</si>
  <si>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</si>
  <si>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</si>
  <si>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</si>
  <si>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</si>
  <si>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</si>
  <si>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</si>
  <si>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</si>
  <si>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</si>
  <si>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</si>
  <si>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</si>
  <si>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</si>
  <si>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</si>
  <si>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</si>
  <si>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</si>
  <si>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</si>
  <si>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</si>
  <si>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</si>
  <si>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</si>
  <si>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</si>
  <si>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</si>
  <si>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</si>
  <si>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Lake Michael</t>
  </si>
  <si>
    <t>STORE12</t>
  </si>
  <si>
    <t>Thomas, Bridges and Harris</t>
  </si>
  <si>
    <t>Sabrinatown</t>
  </si>
  <si>
    <t>STORE13</t>
  </si>
  <si>
    <t>Gardner, Humphrey and Contreras</t>
  </si>
  <si>
    <t>Johnsonville</t>
  </si>
  <si>
    <t>STORE14</t>
  </si>
  <si>
    <t>Mcdonald Inc</t>
  </si>
  <si>
    <t>Christopherland</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</si>
  <si>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</si>
  <si>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</si>
  <si>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</si>
  <si>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</si>
  <si>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</si>
  <si>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</si>
  <si>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</si>
  <si>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</si>
  <si>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</si>
  <si>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</si>
  <si>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</si>
  <si>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</si>
  <si>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</si>
  <si>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</si>
  <si>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</si>
  <si>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find/remove duplicates - No duplicate</t>
  </si>
  <si>
    <t>CountA</t>
  </si>
  <si>
    <t>Count of Store_ID</t>
  </si>
  <si>
    <t>Count of Region</t>
  </si>
  <si>
    <t>NO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</si>
</sst>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2"/>
      <color rgb="FF000000"/>
      <name val="Arial"/>
      <family val="2"/>
    </font>
    <font>
      <sz val="14"/>
      <color theme="1"/>
      <name val="Calibri"/>
      <family val="2"/>
      <scheme val="minor"/>
    </font>
    <font>
      <b/>
      <sz val="11"/>
      <name val="Calibri"/>
      <family val="2"/>
    </font>
  </fonts>
  <fills count="7">
    <fill>
      <patternFill patternType="none"/>
    </fill>
    <fill>
      <patternFill patternType="gray125"/>
    </fill>
    <fill>
      <patternFill patternType="solid">
        <fgColor theme="9"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5" tint="0.79998168889431442"/>
        <bgColor theme="5" tint="0.79998168889431442"/>
      </patternFill>
    </fill>
    <fill>
      <patternFill patternType="solid">
        <fgColor theme="5"/>
        <bgColor theme="5"/>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theme="5" tint="0.39997558519241921"/>
      </top>
      <bottom style="thin">
        <color theme="5" tint="0.39997558519241921"/>
      </bottom>
      <diagonal/>
    </border>
    <border>
      <left/>
      <right style="thin">
        <color indexed="64"/>
      </right>
      <top style="thin">
        <color theme="5" tint="0.39997558519241921"/>
      </top>
      <bottom style="thin">
        <color theme="5" tint="0.39997558519241921"/>
      </bottom>
      <diagonal/>
    </border>
    <border>
      <left style="thin">
        <color indexed="64"/>
      </left>
      <right/>
      <top style="thin">
        <color theme="5" tint="0.39997558519241921"/>
      </top>
      <bottom style="thin">
        <color indexed="64"/>
      </bottom>
      <diagonal/>
    </border>
  </borders>
  <cellStyleXfs count="1">
    <xf numFmtId="0" fontId="0" fillId="0" borderId="0"/>
  </cellStyleXfs>
  <cellXfs count="17">
    <xf numFmtId="0" fontId="0" fillId="0" borderId="0" xfId="0"/>
    <xf numFmtId="0" fontId="1" fillId="0" borderId="2" xfId="0" applyFont="1" applyBorder="1" applyAlignment="1">
      <alignment horizontal="center" vertical="top"/>
    </xf>
    <xf numFmtId="0" fontId="3" fillId="0" borderId="0" xfId="0" applyFont="1"/>
    <xf numFmtId="0" fontId="2" fillId="3" borderId="0" xfId="0" applyFont="1" applyFill="1"/>
    <xf numFmtId="0" fontId="0" fillId="0" borderId="1" xfId="0" applyBorder="1"/>
    <xf numFmtId="0" fontId="0" fillId="0" borderId="0" xfId="0" pivotButton="1"/>
    <xf numFmtId="0" fontId="0" fillId="0" borderId="0" xfId="0" applyAlignment="1">
      <alignment horizontal="left"/>
    </xf>
    <xf numFmtId="0" fontId="2" fillId="2" borderId="0" xfId="0" applyFont="1" applyFill="1"/>
    <xf numFmtId="0" fontId="2" fillId="4" borderId="0" xfId="0" applyFont="1" applyFill="1" applyAlignment="1">
      <alignment horizontal="center"/>
    </xf>
    <xf numFmtId="0" fontId="0" fillId="0" borderId="1" xfId="0" applyBorder="1" applyAlignment="1">
      <alignment horizontal="center"/>
    </xf>
    <xf numFmtId="0" fontId="0" fillId="0" borderId="0" xfId="0"/>
    <xf numFmtId="0" fontId="0" fillId="5" borderId="4" xfId="0" applyFont="1" applyFill="1" applyBorder="1"/>
    <xf numFmtId="0" fontId="4" fillId="6" borderId="1" xfId="0" applyFont="1" applyFill="1" applyBorder="1" applyAlignment="1">
      <alignment horizontal="center" vertical="top"/>
    </xf>
    <xf numFmtId="0" fontId="0" fillId="5" borderId="3" xfId="0" applyFont="1" applyFill="1" applyBorder="1"/>
    <xf numFmtId="0" fontId="0" fillId="0" borderId="3" xfId="0" applyFont="1" applyBorder="1"/>
    <xf numFmtId="0" fontId="0" fillId="0" borderId="5" xfId="0" applyFont="1" applyBorder="1"/>
    <xf numFmtId="0" fontId="0" fillId="0" borderId="0" xfId="0" applyNumberFormat="1"/>
  </cellXfs>
  <cellStyles count="1">
    <cellStyle name="Normal" xfId="0" builtinId="0"/>
  </cellStyles>
  <dxfs count="39">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 _store Dim Assignment 1.xlsx]pivot table!PivotTable6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Store</a:t>
            </a:r>
            <a:r>
              <a:rPr lang="en-IN" baseline="0"/>
              <a:t> </a:t>
            </a:r>
            <a:r>
              <a:rPr lang="en-IN"/>
              <a:t>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table'!$A$4:$A$7</c:f>
              <c:strCache>
                <c:ptCount val="3"/>
                <c:pt idx="0">
                  <c:v>Flagship</c:v>
                </c:pt>
                <c:pt idx="1">
                  <c:v>Online</c:v>
                </c:pt>
                <c:pt idx="2">
                  <c:v>Outlet</c:v>
                </c:pt>
              </c:strCache>
            </c:strRef>
          </c:cat>
          <c:val>
            <c:numRef>
              <c:f>'pivot table'!$B$4:$B$7</c:f>
              <c:numCache>
                <c:formatCode>General</c:formatCode>
                <c:ptCount val="3"/>
                <c:pt idx="0">
                  <c:v>8</c:v>
                </c:pt>
                <c:pt idx="1">
                  <c:v>8</c:v>
                </c:pt>
                <c:pt idx="2">
                  <c:v>4</c:v>
                </c:pt>
              </c:numCache>
            </c:numRef>
          </c:val>
          <c:smooth val="0"/>
          <c:extLst>
            <c:ext xmlns:c16="http://schemas.microsoft.com/office/drawing/2014/chart" uri="{C3380CC4-5D6E-409C-BE32-E72D297353CC}">
              <c16:uniqueId val="{00000002-B1F4-42D0-9B2E-A0CDB9ABCFBE}"/>
            </c:ext>
          </c:extLst>
        </c:ser>
        <c:dLbls>
          <c:dLblPos val="ctr"/>
          <c:showLegendKey val="0"/>
          <c:showVal val="1"/>
          <c:showCatName val="0"/>
          <c:showSerName val="0"/>
          <c:showPercent val="0"/>
          <c:showBubbleSize val="0"/>
        </c:dLbls>
        <c:marker val="1"/>
        <c:smooth val="0"/>
        <c:axId val="1823190384"/>
        <c:axId val="1823174544"/>
      </c:lineChart>
      <c:catAx>
        <c:axId val="18231903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23174544"/>
        <c:crosses val="autoZero"/>
        <c:auto val="1"/>
        <c:lblAlgn val="ctr"/>
        <c:lblOffset val="100"/>
        <c:noMultiLvlLbl val="0"/>
      </c:catAx>
      <c:valAx>
        <c:axId val="1823174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2319038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 _store Dim Assignment 1.xlsx]Sheet2!PivotTable11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Store_ID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Pt>
            <c:idx val="3"/>
            <c:bubble3D val="0"/>
            <c:spPr>
              <a:solidFill>
                <a:schemeClr val="accent4"/>
              </a:solidFill>
              <a:ln>
                <a:noFill/>
              </a:ln>
              <a:effectLst/>
              <a:sp3d/>
            </c:spPr>
          </c:dPt>
          <c:cat>
            <c:strRef>
              <c:f>Sheet2!$A$4:$A$7</c:f>
              <c:strCache>
                <c:ptCount val="4"/>
                <c:pt idx="0">
                  <c:v>East</c:v>
                </c:pt>
                <c:pt idx="1">
                  <c:v>North</c:v>
                </c:pt>
                <c:pt idx="2">
                  <c:v>South</c:v>
                </c:pt>
                <c:pt idx="3">
                  <c:v>West</c:v>
                </c:pt>
              </c:strCache>
            </c:strRef>
          </c:cat>
          <c:val>
            <c:numRef>
              <c:f>Sheet2!$B$4:$B$7</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0-7C34-4314-93E9-69E2E0121B99}"/>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'●Data visualization'!#REF!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'●Data visualization'!#REF!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'●Data visualization'!#REF!</c15:sqref>
                        </c15:formulaRef>
                      </c:ext>
                    </c:extLst>
                  </c:multiLvlStrRef>
                </c15:cat>
              </c15:filteredCategoryTitle>
            </c:ext>
            <c:ext xmlns:c16="http://schemas.microsoft.com/office/drawing/2014/chart" uri="{C3380CC4-5D6E-409C-BE32-E72D297353CC}">
              <c16:uniqueId val="{00000000-A005-431E-8198-7983F725CB38}"/>
            </c:ext>
          </c:extLst>
        </c:ser>
        <c:dLbls>
          <c:showLegendKey val="0"/>
          <c:showVal val="1"/>
          <c:showCatName val="0"/>
          <c:showSerName val="0"/>
          <c:showPercent val="0"/>
          <c:showBubbleSize val="0"/>
        </c:dLbls>
        <c:gapWidth val="88"/>
        <c:gapDepth val="52"/>
        <c:shape val="box"/>
        <c:axId val="20206943"/>
        <c:axId val="20195039"/>
        <c:axId val="0"/>
      </c:bar3DChart>
      <c:catAx>
        <c:axId val="20206943"/>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95039"/>
        <c:crosses val="autoZero"/>
        <c:auto val="1"/>
        <c:lblAlgn val="ctr"/>
        <c:lblOffset val="100"/>
        <c:noMultiLvlLbl val="0"/>
      </c:catAx>
      <c:valAx>
        <c:axId val="20195039"/>
        <c:scaling>
          <c:orientation val="minMax"/>
        </c:scaling>
        <c:delete val="0"/>
        <c:axPos val="l"/>
        <c:majorGridlines>
          <c:spPr>
            <a:ln w="9525" cap="flat" cmpd="sng" algn="ctr">
              <a:solidFill>
                <a:schemeClr val="dk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06943"/>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alpha val="85000"/>
              </a:schemeClr>
            </a:solidFill>
            <a:ln w="25400">
              <a:noFill/>
            </a:ln>
            <a:effectLst>
              <a:innerShdw dist="12700" dir="16200000">
                <a:schemeClr val="lt1"/>
              </a:innerShdw>
            </a:effectLst>
          </c:spPr>
          <c:val>
            <c:numRef>
              <c:f>'●Data visualization'!#REF!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'●Data visualization'!#REF!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'●Data visualization'!#REF!</c15:sqref>
                        </c15:formulaRef>
                      </c:ext>
                    </c:extLst>
                  </c:multiLvlStrRef>
                </c15:cat>
              </c15:filteredCategoryTitle>
            </c:ext>
            <c:ext xmlns:c16="http://schemas.microsoft.com/office/drawing/2014/chart" uri="{C3380CC4-5D6E-409C-BE32-E72D297353CC}">
              <c16:uniqueId val="{00000000-8E99-4C82-B155-503846524692}"/>
            </c:ext>
          </c:extLst>
        </c:ser>
        <c:dLbls>
          <c:showLegendKey val="0"/>
          <c:showVal val="0"/>
          <c:showCatName val="0"/>
          <c:showSerName val="0"/>
          <c:showPercent val="0"/>
          <c:showBubbleSize val="0"/>
        </c:dLbls>
        <c:axId val="32871791"/>
        <c:axId val="32872287"/>
      </c:areaChart>
      <c:catAx>
        <c:axId val="328717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872287"/>
        <c:crosses val="autoZero"/>
        <c:auto val="1"/>
        <c:lblAlgn val="ctr"/>
        <c:lblOffset val="100"/>
        <c:noMultiLvlLbl val="0"/>
      </c:catAx>
      <c:valAx>
        <c:axId val="328722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871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 _store Dim Assignment 1.xlsx]Sheet2!PivotTable11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Store_ID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0960-4038-ACEC-57FD1EFBD883}"/>
              </c:ext>
            </c:extLst>
          </c:dPt>
          <c:dPt>
            <c:idx val="1"/>
            <c:bubble3D val="0"/>
            <c:spPr>
              <a:solidFill>
                <a:schemeClr val="accent2"/>
              </a:solidFill>
              <a:ln>
                <a:noFill/>
              </a:ln>
              <a:effectLst/>
              <a:sp3d/>
            </c:spPr>
            <c:extLst>
              <c:ext xmlns:c16="http://schemas.microsoft.com/office/drawing/2014/chart" uri="{C3380CC4-5D6E-409C-BE32-E72D297353CC}">
                <c16:uniqueId val="{00000003-0960-4038-ACEC-57FD1EFBD883}"/>
              </c:ext>
            </c:extLst>
          </c:dPt>
          <c:dPt>
            <c:idx val="2"/>
            <c:bubble3D val="0"/>
            <c:spPr>
              <a:solidFill>
                <a:schemeClr val="accent3"/>
              </a:solidFill>
              <a:ln>
                <a:noFill/>
              </a:ln>
              <a:effectLst/>
              <a:sp3d/>
            </c:spPr>
            <c:extLst>
              <c:ext xmlns:c16="http://schemas.microsoft.com/office/drawing/2014/chart" uri="{C3380CC4-5D6E-409C-BE32-E72D297353CC}">
                <c16:uniqueId val="{00000005-0960-4038-ACEC-57FD1EFBD883}"/>
              </c:ext>
            </c:extLst>
          </c:dPt>
          <c:dPt>
            <c:idx val="3"/>
            <c:bubble3D val="0"/>
            <c:spPr>
              <a:solidFill>
                <a:schemeClr val="accent4"/>
              </a:solidFill>
              <a:ln>
                <a:noFill/>
              </a:ln>
              <a:effectLst/>
              <a:sp3d/>
            </c:spPr>
            <c:extLst>
              <c:ext xmlns:c16="http://schemas.microsoft.com/office/drawing/2014/chart" uri="{C3380CC4-5D6E-409C-BE32-E72D297353CC}">
                <c16:uniqueId val="{00000007-0960-4038-ACEC-57FD1EFBD883}"/>
              </c:ext>
            </c:extLst>
          </c:dPt>
          <c:cat>
            <c:strRef>
              <c:f>Sheet2!$A$4:$A$7</c:f>
              <c:strCache>
                <c:ptCount val="4"/>
                <c:pt idx="0">
                  <c:v>East</c:v>
                </c:pt>
                <c:pt idx="1">
                  <c:v>North</c:v>
                </c:pt>
                <c:pt idx="2">
                  <c:v>South</c:v>
                </c:pt>
                <c:pt idx="3">
                  <c:v>West</c:v>
                </c:pt>
              </c:strCache>
            </c:strRef>
          </c:cat>
          <c:val>
            <c:numRef>
              <c:f>Sheet2!$B$4:$B$7</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8-0960-4038-ACEC-57FD1EFBD883}"/>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9525</xdr:colOff>
      <xdr:row>2</xdr:row>
      <xdr:rowOff>61912</xdr:rowOff>
    </xdr:from>
    <xdr:to>
      <xdr:col>11</xdr:col>
      <xdr:colOff>314325</xdr:colOff>
      <xdr:row>16</xdr:row>
      <xdr:rowOff>138112</xdr:rowOff>
    </xdr:to>
    <xdr:graphicFrame macro="">
      <xdr:nvGraphicFramePr>
        <xdr:cNvPr id="2" name="Chart 1">
          <a:extLst>
            <a:ext uri="{FF2B5EF4-FFF2-40B4-BE49-F238E27FC236}">
              <a16:creationId xmlns:a16="http://schemas.microsoft.com/office/drawing/2014/main" id="{68E4858E-8A7D-2CEC-9DE2-5A96F0251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552450</xdr:colOff>
      <xdr:row>1</xdr:row>
      <xdr:rowOff>14287</xdr:rowOff>
    </xdr:from>
    <xdr:to>
      <xdr:col>10</xdr:col>
      <xdr:colOff>247650</xdr:colOff>
      <xdr:row>15</xdr:row>
      <xdr:rowOff>90487</xdr:rowOff>
    </xdr:to>
    <xdr:graphicFrame macro="">
      <xdr:nvGraphicFramePr>
        <xdr:cNvPr id="2" name="Chart 1">
          <a:extLst>
            <a:ext uri="{FF2B5EF4-FFF2-40B4-BE49-F238E27FC236}">
              <a16:creationId xmlns:a16="http://schemas.microsoft.com/office/drawing/2014/main" id="{41F1DFA3-F04A-FAEE-5677-39B1B3176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114300</xdr:colOff>
      <xdr:row>0</xdr:row>
      <xdr:rowOff>0</xdr:rowOff>
    </xdr:to>
    <xdr:graphicFrame macro="">
      <xdr:nvGraphicFramePr>
        <xdr:cNvPr id="12" name="Chart 11">
          <a:extLst>
            <a:ext uri="{FF2B5EF4-FFF2-40B4-BE49-F238E27FC236}">
              <a16:creationId xmlns:a16="http://schemas.microsoft.com/office/drawing/2014/main" id="{218C956B-073A-2A9C-A869-AF2227698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xdr:col>
      <xdr:colOff>228600</xdr:colOff>
      <xdr:row>0</xdr:row>
      <xdr:rowOff>0</xdr:rowOff>
    </xdr:to>
    <xdr:graphicFrame macro="">
      <xdr:nvGraphicFramePr>
        <xdr:cNvPr id="16" name="Chart 15">
          <a:extLst>
            <a:ext uri="{FF2B5EF4-FFF2-40B4-BE49-F238E27FC236}">
              <a16:creationId xmlns:a16="http://schemas.microsoft.com/office/drawing/2014/main" id="{FDE1DCC4-0CDC-3011-6DCA-B3B4DCA7A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8</xdr:col>
      <xdr:colOff>570140</xdr:colOff>
      <xdr:row>0</xdr:row>
      <xdr:rowOff>119743</xdr:rowOff>
    </xdr:from>
    <xdr:to>
      <xdr:col>11</xdr:col>
      <xdr:colOff>570139</xdr:colOff>
      <xdr:row>13</xdr:row>
      <xdr:rowOff>167368</xdr:rowOff>
    </xdr:to>
    <mc:AlternateContent xmlns:mc="http://schemas.openxmlformats.org/markup-compatibility/2006">
      <mc:Choice xmlns:sle15="http://schemas.microsoft.com/office/drawing/2012/slicer" Requires="sle15">
        <xdr:graphicFrame macro="">
          <xdr:nvGraphicFramePr>
            <xdr:cNvPr id="10" name="Region">
              <a:extLst>
                <a:ext uri="{FF2B5EF4-FFF2-40B4-BE49-F238E27FC236}">
                  <a16:creationId xmlns:a16="http://schemas.microsoft.com/office/drawing/2014/main" id="{B6FF26E6-A0A7-44DF-B777-E156EEECA1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03104" y="119743"/>
              <a:ext cx="1836964"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450397</xdr:colOff>
      <xdr:row>0</xdr:row>
      <xdr:rowOff>111578</xdr:rowOff>
    </xdr:from>
    <xdr:to>
      <xdr:col>8</xdr:col>
      <xdr:colOff>450397</xdr:colOff>
      <xdr:row>13</xdr:row>
      <xdr:rowOff>159203</xdr:rowOff>
    </xdr:to>
    <mc:AlternateContent xmlns:mc="http://schemas.openxmlformats.org/markup-compatibility/2006">
      <mc:Choice xmlns:sle15="http://schemas.microsoft.com/office/drawing/2012/slicer" Requires="sle15">
        <xdr:graphicFrame macro="">
          <xdr:nvGraphicFramePr>
            <xdr:cNvPr id="13" name="Store_Type">
              <a:extLst>
                <a:ext uri="{FF2B5EF4-FFF2-40B4-BE49-F238E27FC236}">
                  <a16:creationId xmlns:a16="http://schemas.microsoft.com/office/drawing/2014/main" id="{DF0D88DA-6688-1095-844C-806C9ED0FFD7}"/>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6546397" y="111578"/>
              <a:ext cx="1836964"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0</xdr:colOff>
      <xdr:row>26</xdr:row>
      <xdr:rowOff>0</xdr:rowOff>
    </xdr:from>
    <xdr:to>
      <xdr:col>4</xdr:col>
      <xdr:colOff>371475</xdr:colOff>
      <xdr:row>40</xdr:row>
      <xdr:rowOff>76200</xdr:rowOff>
    </xdr:to>
    <xdr:graphicFrame macro="">
      <xdr:nvGraphicFramePr>
        <xdr:cNvPr id="15" name="Chart 14">
          <a:extLst>
            <a:ext uri="{FF2B5EF4-FFF2-40B4-BE49-F238E27FC236}">
              <a16:creationId xmlns:a16="http://schemas.microsoft.com/office/drawing/2014/main" id="{BC46CDF4-B4D9-499A-A8D2-FFA67A977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5.197490162034" createdVersion="8" refreshedVersion="8" minRefreshableVersion="3" recordCount="20" xr:uid="{2B2E60E2-CE73-4CFD-9110-EC4F5FA7084B}">
  <cacheSource type="worksheet">
    <worksheetSource name="Table13"/>
  </cacheSource>
  <cacheFields count="5">
    <cacheField name="Store_ID" numFmtId="0">
      <sharedItems count="20">
        <s v="STORE0"/>
        <s v="STORE1"/>
        <s v="STORE2"/>
        <s v="STORE3"/>
        <s v="STORE4"/>
        <s v="STORE5"/>
        <s v="STORE6"/>
        <s v="STORE7"/>
        <s v="STORE8"/>
        <s v="STORE9"/>
        <s v="STORE10"/>
        <s v="STORE11"/>
        <s v="STORE12"/>
        <s v="STORE13"/>
        <s v="STORE14"/>
        <s v="STORE15"/>
        <s v="STORE16"/>
        <s v="STORE17"/>
        <s v="STORE18"/>
        <s v="STORE19"/>
      </sharedItems>
    </cacheField>
    <cacheField name="Store_Name" numFmtId="0">
      <sharedItems count="20">
        <s v="Rivera-Warner"/>
        <s v="Martinez, Adkins and Johnson"/>
        <s v="Black-Horn"/>
        <s v="Johnson-Wright"/>
        <s v="Alexander Group"/>
        <s v="Gray Ltd"/>
        <s v="Benson-Elliott"/>
        <s v="Martinez-Mullins"/>
        <s v="Bean, Jones and Park"/>
        <s v="Moore, Padilla and Butler"/>
        <s v="Hill, Wagner and Ballard"/>
        <s v="Aguirre-Keller"/>
        <s v="Thomas, Bridges and Harris"/>
        <s v="Gardner, Humphrey and Contreras"/>
        <s v="Mcdonald Inc"/>
        <s v="Shelton PLC"/>
        <s v="Frederick-Wright"/>
        <s v="Holloway Ltd"/>
        <s v="Guerrero-Schmitt"/>
        <s v="Mann-Austin"/>
      </sharedItems>
    </cacheField>
    <cacheField name="Region" numFmtId="0">
      <sharedItems/>
    </cacheField>
    <cacheField name="City"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_Type" numFmtId="0">
      <sharedItems count="3">
        <s v="Flagship"/>
        <s v="Outlet"/>
        <s v="Onli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5.206238194442" createdVersion="8" refreshedVersion="8" minRefreshableVersion="3" recordCount="20" xr:uid="{5FFF5E30-70A5-435F-BC91-EAFC8A0B8CF4}">
  <cacheSource type="worksheet">
    <worksheetSource name="Table13689"/>
  </cacheSource>
  <cacheFields count="5">
    <cacheField name="Store_ID" numFmtId="0">
      <sharedItems/>
    </cacheField>
    <cacheField name="Store_Name" numFmtId="0">
      <sharedItems/>
    </cacheField>
    <cacheField name="Region" numFmtId="0">
      <sharedItems count="4">
        <s v="East"/>
        <s v="North"/>
        <s v="South"/>
        <s v="West"/>
      </sharedItems>
    </cacheField>
    <cacheField name="City" numFmtId="0">
      <sharedItems/>
    </cacheField>
    <cacheField name="Store_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East"/>
    <x v="0"/>
    <x v="0"/>
  </r>
  <r>
    <x v="1"/>
    <x v="1"/>
    <s v="North"/>
    <x v="1"/>
    <x v="0"/>
  </r>
  <r>
    <x v="2"/>
    <x v="2"/>
    <s v="South"/>
    <x v="2"/>
    <x v="1"/>
  </r>
  <r>
    <x v="3"/>
    <x v="3"/>
    <s v="North"/>
    <x v="3"/>
    <x v="1"/>
  </r>
  <r>
    <x v="4"/>
    <x v="4"/>
    <s v="South"/>
    <x v="4"/>
    <x v="2"/>
  </r>
  <r>
    <x v="5"/>
    <x v="5"/>
    <s v="North"/>
    <x v="5"/>
    <x v="1"/>
  </r>
  <r>
    <x v="6"/>
    <x v="6"/>
    <s v="East"/>
    <x v="6"/>
    <x v="2"/>
  </r>
  <r>
    <x v="7"/>
    <x v="7"/>
    <s v="South"/>
    <x v="7"/>
    <x v="2"/>
  </r>
  <r>
    <x v="8"/>
    <x v="8"/>
    <s v="West"/>
    <x v="8"/>
    <x v="2"/>
  </r>
  <r>
    <x v="9"/>
    <x v="9"/>
    <s v="South"/>
    <x v="9"/>
    <x v="0"/>
  </r>
  <r>
    <x v="10"/>
    <x v="10"/>
    <s v="East"/>
    <x v="10"/>
    <x v="2"/>
  </r>
  <r>
    <x v="11"/>
    <x v="11"/>
    <s v="South"/>
    <x v="11"/>
    <x v="2"/>
  </r>
  <r>
    <x v="12"/>
    <x v="12"/>
    <s v="North"/>
    <x v="12"/>
    <x v="2"/>
  </r>
  <r>
    <x v="13"/>
    <x v="13"/>
    <s v="East"/>
    <x v="13"/>
    <x v="0"/>
  </r>
  <r>
    <x v="14"/>
    <x v="14"/>
    <s v="South"/>
    <x v="14"/>
    <x v="1"/>
  </r>
  <r>
    <x v="15"/>
    <x v="15"/>
    <s v="North"/>
    <x v="15"/>
    <x v="0"/>
  </r>
  <r>
    <x v="16"/>
    <x v="16"/>
    <s v="West"/>
    <x v="16"/>
    <x v="0"/>
  </r>
  <r>
    <x v="17"/>
    <x v="17"/>
    <s v="North"/>
    <x v="17"/>
    <x v="0"/>
  </r>
  <r>
    <x v="18"/>
    <x v="18"/>
    <s v="East"/>
    <x v="18"/>
    <x v="0"/>
  </r>
  <r>
    <x v="19"/>
    <x v="19"/>
    <s v="East"/>
    <x v="19"/>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ORE0"/>
    <s v="Rivera-Warner"/>
    <x v="0"/>
    <s v="Washingtonfurt"/>
    <s v="Flagship"/>
  </r>
  <r>
    <s v="STORE1"/>
    <s v="Martinez, Adkins and Johnson"/>
    <x v="1"/>
    <s v="Danielmouth"/>
    <s v="Flagship"/>
  </r>
  <r>
    <s v="STORE2"/>
    <s v="Black-Horn"/>
    <x v="2"/>
    <s v="North Nancyview"/>
    <s v="Outlet"/>
  </r>
  <r>
    <s v="STORE3"/>
    <s v="Johnson-Wright"/>
    <x v="1"/>
    <s v="Hoodberg"/>
    <s v="Outlet"/>
  </r>
  <r>
    <s v="STORE4"/>
    <s v="Alexander Group"/>
    <x v="2"/>
    <s v="Port Sharon"/>
    <s v="Online"/>
  </r>
  <r>
    <s v="STORE5"/>
    <s v="Gray Ltd"/>
    <x v="1"/>
    <s v="New Michaelchester"/>
    <s v="Outlet"/>
  </r>
  <r>
    <s v="STORE6"/>
    <s v="Benson-Elliott"/>
    <x v="0"/>
    <s v="Port Josephberg"/>
    <s v="Online"/>
  </r>
  <r>
    <s v="STORE7"/>
    <s v="Martinez-Mullins"/>
    <x v="2"/>
    <s v="Williamsfurt"/>
    <s v="Online"/>
  </r>
  <r>
    <s v="STORE8"/>
    <s v="Bean, Jones and Park"/>
    <x v="3"/>
    <s v="Thompsonborough"/>
    <s v="Online"/>
  </r>
  <r>
    <s v="STORE9"/>
    <s v="Moore, Padilla and Butler"/>
    <x v="2"/>
    <s v="East Johnstad"/>
    <s v="Flagship"/>
  </r>
  <r>
    <s v="STORE10"/>
    <s v="Hill, Wagner and Ballard"/>
    <x v="0"/>
    <s v="East Davidville"/>
    <s v="Online"/>
  </r>
  <r>
    <s v="STORE11"/>
    <s v="Aguirre-Keller"/>
    <x v="2"/>
    <s v="Lake Michael"/>
    <s v="Online"/>
  </r>
  <r>
    <s v="STORE12"/>
    <s v="Thomas, Bridges and Harris"/>
    <x v="1"/>
    <s v="Sabrinatown"/>
    <s v="Online"/>
  </r>
  <r>
    <s v="STORE13"/>
    <s v="Gardner, Humphrey and Contreras"/>
    <x v="0"/>
    <s v="Johnsonville"/>
    <s v="Flagship"/>
  </r>
  <r>
    <s v="STORE14"/>
    <s v="Mcdonald Inc"/>
    <x v="2"/>
    <s v="Christopherland"/>
    <s v="Outlet"/>
  </r>
  <r>
    <s v="STORE15"/>
    <s v="Shelton PLC"/>
    <x v="1"/>
    <s v="East Jenniferstad"/>
    <s v="Flagship"/>
  </r>
  <r>
    <s v="STORE16"/>
    <s v="Frederick-Wright"/>
    <x v="3"/>
    <s v="New Jimmymouth"/>
    <s v="Flagship"/>
  </r>
  <r>
    <s v="STORE17"/>
    <s v="Holloway Ltd"/>
    <x v="1"/>
    <s v="Bensonhaven"/>
    <s v="Flagship"/>
  </r>
  <r>
    <s v="STORE18"/>
    <s v="Guerrero-Schmitt"/>
    <x v="0"/>
    <s v="East Stevechester"/>
    <s v="Flagship"/>
  </r>
  <r>
    <s v="STORE19"/>
    <s v="Mann-Austin"/>
    <x v="0"/>
    <s v="Vasquezborough"/>
    <s v="Onli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1F0CFE-D702-4B86-84C0-219FE2BF2809}"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5">
    <pivotField showAll="0">
      <items count="21">
        <item x="0"/>
        <item x="1"/>
        <item x="10"/>
        <item x="11"/>
        <item x="12"/>
        <item x="13"/>
        <item x="14"/>
        <item x="15"/>
        <item x="16"/>
        <item x="17"/>
        <item x="18"/>
        <item x="19"/>
        <item x="2"/>
        <item x="3"/>
        <item x="4"/>
        <item x="5"/>
        <item x="6"/>
        <item x="7"/>
        <item x="8"/>
        <item x="9"/>
        <item t="default"/>
      </items>
    </pivotField>
    <pivotField showAll="0">
      <items count="21">
        <item x="11"/>
        <item x="4"/>
        <item x="8"/>
        <item x="6"/>
        <item x="2"/>
        <item x="16"/>
        <item x="13"/>
        <item x="5"/>
        <item x="18"/>
        <item x="10"/>
        <item x="17"/>
        <item x="3"/>
        <item x="19"/>
        <item x="1"/>
        <item x="7"/>
        <item x="14"/>
        <item x="9"/>
        <item x="0"/>
        <item x="15"/>
        <item x="12"/>
        <item t="default"/>
      </items>
    </pivotField>
    <pivotField dataField="1" showAll="0"/>
    <pivotField showAll="0">
      <items count="21">
        <item x="17"/>
        <item x="14"/>
        <item x="1"/>
        <item x="10"/>
        <item x="15"/>
        <item x="9"/>
        <item x="18"/>
        <item x="3"/>
        <item x="13"/>
        <item x="11"/>
        <item x="16"/>
        <item x="5"/>
        <item x="2"/>
        <item x="6"/>
        <item x="4"/>
        <item x="12"/>
        <item x="8"/>
        <item x="19"/>
        <item x="0"/>
        <item x="7"/>
        <item t="default"/>
      </items>
    </pivotField>
    <pivotField axis="axisRow" showAll="0">
      <items count="4">
        <item x="0"/>
        <item x="2"/>
        <item x="1"/>
        <item t="default"/>
      </items>
    </pivotField>
  </pivotFields>
  <rowFields count="1">
    <field x="4"/>
  </rowFields>
  <rowItems count="4">
    <i>
      <x/>
    </i>
    <i>
      <x v="1"/>
    </i>
    <i>
      <x v="2"/>
    </i>
    <i t="grand">
      <x/>
    </i>
  </rowItems>
  <colItems count="1">
    <i/>
  </colItems>
  <dataFields count="1">
    <dataField name="Count of Region" fld="2"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408B60-1252-44F9-9ABE-524F1967F1A8}" name="PivotTable11"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7" firstHeaderRow="1" firstDataRow="1" firstDataCol="1"/>
  <pivotFields count="5">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Count of Store_ID" fld="0" subtotal="count"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2A0229-876B-4426-97FE-DF45409A510F}" sourceName="Region">
  <extLst>
    <x:ext xmlns:x15="http://schemas.microsoft.com/office/spreadsheetml/2010/11/main" uri="{2F2917AC-EB37-4324-AD4E-5DD8C200BD13}">
      <x15:tableSlicerCache tableId="8"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14C2E2A8-43A1-424D-A85F-9C39CD68D437}" sourceName="Store_Type">
  <extLst>
    <x:ext xmlns:x15="http://schemas.microsoft.com/office/spreadsheetml/2010/11/main" uri="{2F2917AC-EB37-4324-AD4E-5DD8C200BD13}">
      <x15:tableSlicerCache tableId="8"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FB86642-5254-4E1A-91E2-AD15F0746599}" cache="Slicer_Region" caption="Region" rowHeight="241300"/>
  <slicer name="Store_Type" xr10:uid="{4DC45B47-7692-4310-B629-DB3620673FEF}" cache="Slicer_Store_Type" caption="Store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062785-EFC4-45B6-A074-46551032EC58}" name="Table1" displayName="Table1" ref="A1:E21" totalsRowShown="0" headerRowDxfId="27" headerRowBorderDxfId="28" tableBorderDxfId="29">
  <autoFilter ref="A1:E21" xr:uid="{C3062785-EFC4-45B6-A074-46551032EC58}"/>
  <tableColumns count="5">
    <tableColumn id="1" xr3:uid="{881C2375-69DC-4C90-88A4-8DEF56F3DFDE}" name="Store_ID"/>
    <tableColumn id="2" xr3:uid="{A2BB6E3B-D799-4CCC-B648-25723A4E7BE0}" name="Store_Name"/>
    <tableColumn id="3" xr3:uid="{92DB26C4-E51D-4EDD-A27A-3BBF542B72CD}" name="Region"/>
    <tableColumn id="4" xr3:uid="{9B876D6C-98D3-4535-A4F9-E76A685276A2}" name="City"/>
    <tableColumn id="5" xr3:uid="{B5B09278-917B-4FB3-A714-AF0DF23EDD57}" name="Store_Type"/>
  </tableColumns>
  <tableStyleInfo name="TableStyleDark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C18119-57E6-405F-8210-E69047C75726}" name="Table13" displayName="Table13" ref="A3:E23" totalsRowShown="0" headerRowDxfId="38" headerRowBorderDxfId="37" tableBorderDxfId="36" totalsRowBorderDxfId="35">
  <autoFilter ref="A3:E23" xr:uid="{9EC18119-57E6-405F-8210-E69047C75726}"/>
  <tableColumns count="5">
    <tableColumn id="1" xr3:uid="{A721C731-503F-40C4-A82B-BF409C2DEBF5}" name="Store_ID" dataDxfId="34"/>
    <tableColumn id="2" xr3:uid="{A5748EDE-B036-42FD-8991-C71750275A78}" name="Store_Name" dataDxfId="33"/>
    <tableColumn id="3" xr3:uid="{FD08CBC1-D07D-4195-AD58-925AF235580E}" name="Region" dataDxfId="32"/>
    <tableColumn id="4" xr3:uid="{520819C9-A840-49C2-82C6-1F490C212208}" name="City" dataDxfId="31"/>
    <tableColumn id="5" xr3:uid="{0238C1FC-E241-4D09-B512-3EA03632EA56}" name="Store_Type" dataDxfId="30"/>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C67151-B3DB-45EE-8AC2-E8CB8C152234}" name="Table136" displayName="Table136" ref="A1:E21" totalsRowShown="0" headerRowDxfId="26" headerRowBorderDxfId="24" tableBorderDxfId="25" totalsRowBorderDxfId="23">
  <autoFilter ref="A1:E21" xr:uid="{27C67151-B3DB-45EE-8AC2-E8CB8C152234}"/>
  <tableColumns count="5">
    <tableColumn id="1" xr3:uid="{8AFA6751-5A3F-4ABA-B42E-86A85E41A0DE}" name="Store_ID" dataDxfId="22"/>
    <tableColumn id="2" xr3:uid="{658ECFD9-155A-47C5-A6D1-A9645D7CCC0C}" name="Store_Name" dataDxfId="21"/>
    <tableColumn id="3" xr3:uid="{4A6914DE-A911-4CF7-B2A6-0FFDFC16AB03}" name="Region" dataDxfId="20"/>
    <tableColumn id="4" xr3:uid="{52E6412C-E882-42D1-BCB9-0D11BD916B63}" name="City" dataDxfId="19"/>
    <tableColumn id="5" xr3:uid="{92E88E3F-B793-45A3-80FF-EC4A303709F2}" name="Store_Type" dataDxfId="18"/>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F9BAF01-F284-406B-8B5F-5593528AC322}" name="Table1368" displayName="Table1368" ref="A1:E21" totalsRowShown="0" headerRowDxfId="17" headerRowBorderDxfId="15" tableBorderDxfId="16" totalsRowBorderDxfId="14">
  <autoFilter ref="A1:E21" xr:uid="{0F9BAF01-F284-406B-8B5F-5593528AC322}"/>
  <tableColumns count="5">
    <tableColumn id="1" xr3:uid="{80F8746D-94EB-46D1-AACF-C5BEFBDDCA61}" name="Store_ID" dataDxfId="13"/>
    <tableColumn id="2" xr3:uid="{AD525665-00B2-4594-B1F0-C81A2160C920}" name="Store_Name" dataDxfId="12"/>
    <tableColumn id="3" xr3:uid="{E87FA33B-F6F9-40C7-BA52-5E9366E5F3F0}" name="Region" dataDxfId="11"/>
    <tableColumn id="4" xr3:uid="{6F281369-8C0B-457D-A0E1-0695B9A1DD8C}" name="City" dataDxfId="10"/>
    <tableColumn id="5" xr3:uid="{0836FFBA-2B48-434C-B9AE-7AE187FEA3AE}" name="Store_Type" dataDxfId="9"/>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9D0F063-C8BB-4588-8BBB-9B02289CF198}" name="Table13689" displayName="Table13689" ref="A1:E21" totalsRowShown="0" headerRowDxfId="8" headerRowBorderDxfId="6" tableBorderDxfId="7" totalsRowBorderDxfId="5">
  <autoFilter ref="A1:E21" xr:uid="{E9D0F063-C8BB-4588-8BBB-9B02289CF198}"/>
  <tableColumns count="5">
    <tableColumn id="1" xr3:uid="{156737D5-4A65-466A-8C96-323DC82942D5}" name="Store_ID" dataDxfId="4"/>
    <tableColumn id="2" xr3:uid="{4EF131DC-8430-449F-8CF2-C1F8A61CD5AD}" name="Store_Name" dataDxfId="3"/>
    <tableColumn id="3" xr3:uid="{BC60FA3B-9679-4232-8A64-E31CAF064241}" name="Region" dataDxfId="2"/>
    <tableColumn id="4" xr3:uid="{07026E22-3E69-4FF0-9C6B-A65745E43D86}" name="City" dataDxfId="1"/>
    <tableColumn id="5" xr3:uid="{140231E8-B6D2-40AC-9E95-7D589BDBF108}" name="Store_Type"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1E2A3A4-1A5B-4F82-9E61-E2F8EC526A69}">
  <we:reference id="wa200005502" version="1.0.0.13" store="en-US" storeType="OMEX"/>
  <we:alternateReferences>
    <we:reference id="wa200005502" version="1.0.0.13" store="wa200005502" storeType="OMEX"/>
  </we:alternateReferences>
  <we:properties>
    <we:property name="docId" value="&quot;kMn9oVcNc-vfNyzMV1DjL&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2DF66-C0EC-4D62-B953-E6A16B73E7B5}">
  <dimension ref="A1:E21"/>
  <sheetViews>
    <sheetView workbookViewId="0">
      <selection sqref="A1:E21"/>
    </sheetView>
  </sheetViews>
  <sheetFormatPr defaultRowHeight="15" x14ac:dyDescent="0.25"/>
  <cols>
    <col min="1" max="1" width="13.140625" bestFit="1" customWidth="1"/>
    <col min="2" max="2" width="31.85546875" bestFit="1" customWidth="1"/>
    <col min="3" max="3" width="11.7109375" bestFit="1" customWidth="1"/>
    <col min="4" max="4" width="19.42578125" bestFit="1" customWidth="1"/>
    <col min="5" max="5" width="15.5703125" bestFit="1" customWidth="1"/>
  </cols>
  <sheetData>
    <row r="1" spans="1:5" x14ac:dyDescent="0.25">
      <c r="A1" s="1" t="s">
        <v>6</v>
      </c>
      <c r="B1" s="1" t="s">
        <v>7</v>
      </c>
      <c r="C1" s="1" t="s">
        <v>8</v>
      </c>
      <c r="D1" s="1" t="s">
        <v>9</v>
      </c>
      <c r="E1" s="1" t="s">
        <v>10</v>
      </c>
    </row>
    <row r="2" spans="1:5" x14ac:dyDescent="0.25">
      <c r="A2" s="10" t="s">
        <v>11</v>
      </c>
      <c r="B2" s="10" t="s">
        <v>12</v>
      </c>
      <c r="C2" s="10" t="s">
        <v>13</v>
      </c>
      <c r="D2" s="10" t="s">
        <v>14</v>
      </c>
      <c r="E2" s="10" t="s">
        <v>15</v>
      </c>
    </row>
    <row r="3" spans="1:5" x14ac:dyDescent="0.25">
      <c r="A3" s="10" t="s">
        <v>16</v>
      </c>
      <c r="B3" s="10" t="s">
        <v>17</v>
      </c>
      <c r="C3" s="10" t="s">
        <v>18</v>
      </c>
      <c r="D3" s="10" t="s">
        <v>19</v>
      </c>
      <c r="E3" s="10" t="s">
        <v>15</v>
      </c>
    </row>
    <row r="4" spans="1:5" x14ac:dyDescent="0.25">
      <c r="A4" s="10" t="s">
        <v>20</v>
      </c>
      <c r="B4" s="10" t="s">
        <v>21</v>
      </c>
      <c r="C4" s="10" t="s">
        <v>22</v>
      </c>
      <c r="D4" s="10" t="s">
        <v>23</v>
      </c>
      <c r="E4" s="10" t="s">
        <v>24</v>
      </c>
    </row>
    <row r="5" spans="1:5" x14ac:dyDescent="0.25">
      <c r="A5" s="10" t="s">
        <v>25</v>
      </c>
      <c r="B5" s="10" t="s">
        <v>26</v>
      </c>
      <c r="C5" s="10" t="s">
        <v>18</v>
      </c>
      <c r="D5" s="10" t="s">
        <v>27</v>
      </c>
      <c r="E5" s="10" t="s">
        <v>24</v>
      </c>
    </row>
    <row r="6" spans="1:5" x14ac:dyDescent="0.25">
      <c r="A6" s="10" t="s">
        <v>28</v>
      </c>
      <c r="B6" s="10" t="s">
        <v>29</v>
      </c>
      <c r="C6" s="10" t="s">
        <v>22</v>
      </c>
      <c r="D6" s="10" t="s">
        <v>30</v>
      </c>
      <c r="E6" s="10" t="s">
        <v>31</v>
      </c>
    </row>
    <row r="7" spans="1:5" x14ac:dyDescent="0.25">
      <c r="A7" s="10" t="s">
        <v>32</v>
      </c>
      <c r="B7" s="10" t="s">
        <v>33</v>
      </c>
      <c r="C7" s="10" t="s">
        <v>18</v>
      </c>
      <c r="D7" s="10" t="s">
        <v>34</v>
      </c>
      <c r="E7" s="10" t="s">
        <v>24</v>
      </c>
    </row>
    <row r="8" spans="1:5" x14ac:dyDescent="0.25">
      <c r="A8" s="10" t="s">
        <v>35</v>
      </c>
      <c r="B8" s="10" t="s">
        <v>36</v>
      </c>
      <c r="C8" s="10" t="s">
        <v>13</v>
      </c>
      <c r="D8" s="10" t="s">
        <v>37</v>
      </c>
      <c r="E8" s="10" t="s">
        <v>31</v>
      </c>
    </row>
    <row r="9" spans="1:5" x14ac:dyDescent="0.25">
      <c r="A9" s="10" t="s">
        <v>38</v>
      </c>
      <c r="B9" s="10" t="s">
        <v>39</v>
      </c>
      <c r="C9" s="10" t="s">
        <v>22</v>
      </c>
      <c r="D9" s="10" t="s">
        <v>40</v>
      </c>
      <c r="E9" s="10" t="s">
        <v>31</v>
      </c>
    </row>
    <row r="10" spans="1:5" x14ac:dyDescent="0.25">
      <c r="A10" s="10" t="s">
        <v>41</v>
      </c>
      <c r="B10" s="10" t="s">
        <v>42</v>
      </c>
      <c r="C10" s="10" t="s">
        <v>43</v>
      </c>
      <c r="D10" s="10" t="s">
        <v>44</v>
      </c>
      <c r="E10" s="10" t="s">
        <v>31</v>
      </c>
    </row>
    <row r="11" spans="1:5" x14ac:dyDescent="0.25">
      <c r="A11" s="10" t="s">
        <v>45</v>
      </c>
      <c r="B11" s="10" t="s">
        <v>46</v>
      </c>
      <c r="C11" s="10" t="s">
        <v>22</v>
      </c>
      <c r="D11" s="10" t="s">
        <v>47</v>
      </c>
      <c r="E11" s="10" t="s">
        <v>15</v>
      </c>
    </row>
    <row r="12" spans="1:5" x14ac:dyDescent="0.25">
      <c r="A12" s="10" t="s">
        <v>48</v>
      </c>
      <c r="B12" s="10" t="s">
        <v>49</v>
      </c>
      <c r="C12" s="10" t="s">
        <v>13</v>
      </c>
      <c r="D12" s="10" t="s">
        <v>50</v>
      </c>
      <c r="E12" s="10" t="s">
        <v>31</v>
      </c>
    </row>
    <row r="13" spans="1:5" x14ac:dyDescent="0.25">
      <c r="A13" s="10" t="s">
        <v>51</v>
      </c>
      <c r="B13" s="10" t="s">
        <v>52</v>
      </c>
      <c r="C13" s="10" t="s">
        <v>22</v>
      </c>
      <c r="D13" s="10" t="s">
        <v>53</v>
      </c>
      <c r="E13" s="10" t="s">
        <v>31</v>
      </c>
    </row>
    <row r="14" spans="1:5" x14ac:dyDescent="0.25">
      <c r="A14" s="10" t="s">
        <v>54</v>
      </c>
      <c r="B14" s="10" t="s">
        <v>55</v>
      </c>
      <c r="C14" s="10" t="s">
        <v>18</v>
      </c>
      <c r="D14" s="10" t="s">
        <v>56</v>
      </c>
      <c r="E14" s="10" t="s">
        <v>31</v>
      </c>
    </row>
    <row r="15" spans="1:5" x14ac:dyDescent="0.25">
      <c r="A15" s="10" t="s">
        <v>57</v>
      </c>
      <c r="B15" s="10" t="s">
        <v>58</v>
      </c>
      <c r="C15" s="10" t="s">
        <v>13</v>
      </c>
      <c r="D15" s="10" t="s">
        <v>59</v>
      </c>
      <c r="E15" s="10" t="s">
        <v>15</v>
      </c>
    </row>
    <row r="16" spans="1:5" x14ac:dyDescent="0.25">
      <c r="A16" s="10" t="s">
        <v>60</v>
      </c>
      <c r="B16" s="10" t="s">
        <v>61</v>
      </c>
      <c r="C16" s="10" t="s">
        <v>22</v>
      </c>
      <c r="D16" s="10" t="s">
        <v>62</v>
      </c>
      <c r="E16" s="10" t="s">
        <v>24</v>
      </c>
    </row>
    <row r="17" spans="1:5" x14ac:dyDescent="0.25">
      <c r="A17" s="10" t="s">
        <v>63</v>
      </c>
      <c r="B17" s="10" t="s">
        <v>64</v>
      </c>
      <c r="C17" s="10" t="s">
        <v>18</v>
      </c>
      <c r="D17" s="10" t="s">
        <v>65</v>
      </c>
      <c r="E17" s="10" t="s">
        <v>15</v>
      </c>
    </row>
    <row r="18" spans="1:5" x14ac:dyDescent="0.25">
      <c r="A18" s="10" t="s">
        <v>66</v>
      </c>
      <c r="B18" s="10" t="s">
        <v>67</v>
      </c>
      <c r="C18" s="10" t="s">
        <v>43</v>
      </c>
      <c r="D18" s="10" t="s">
        <v>68</v>
      </c>
      <c r="E18" s="10" t="s">
        <v>15</v>
      </c>
    </row>
    <row r="19" spans="1:5" x14ac:dyDescent="0.25">
      <c r="A19" s="10" t="s">
        <v>69</v>
      </c>
      <c r="B19" s="10" t="s">
        <v>70</v>
      </c>
      <c r="C19" s="10" t="s">
        <v>18</v>
      </c>
      <c r="D19" s="10" t="s">
        <v>71</v>
      </c>
      <c r="E19" s="10" t="s">
        <v>15</v>
      </c>
    </row>
    <row r="20" spans="1:5" x14ac:dyDescent="0.25">
      <c r="A20" s="10" t="s">
        <v>72</v>
      </c>
      <c r="B20" s="10" t="s">
        <v>73</v>
      </c>
      <c r="C20" s="10" t="s">
        <v>13</v>
      </c>
      <c r="D20" s="10" t="s">
        <v>74</v>
      </c>
      <c r="E20" s="10" t="s">
        <v>15</v>
      </c>
    </row>
    <row r="21" spans="1:5" x14ac:dyDescent="0.25">
      <c r="A21" s="10" t="s">
        <v>75</v>
      </c>
      <c r="B21" s="10" t="s">
        <v>76</v>
      </c>
      <c r="C21" s="10" t="s">
        <v>13</v>
      </c>
      <c r="D21" s="10" t="s">
        <v>77</v>
      </c>
      <c r="E21" s="10"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CA28A-EF44-4514-A0FC-7C29463D4110}">
  <dimension ref="A1:AA23"/>
  <sheetViews>
    <sheetView topLeftCell="A19" workbookViewId="0">
      <selection activeCell="A3" sqref="A3:E23"/>
    </sheetView>
  </sheetViews>
  <sheetFormatPr defaultRowHeight="15" x14ac:dyDescent="0.25"/>
  <cols>
    <col min="1" max="1" width="13.140625" bestFit="1" customWidth="1"/>
    <col min="2" max="2" width="31.85546875" bestFit="1" customWidth="1"/>
    <col min="3" max="3" width="11.7109375" bestFit="1" customWidth="1"/>
    <col min="4" max="4" width="19.42578125" bestFit="1" customWidth="1"/>
    <col min="5" max="5" width="15.5703125" bestFit="1" customWidth="1"/>
    <col min="6" max="6" width="14.7109375" bestFit="1" customWidth="1"/>
    <col min="7" max="7" width="34.85546875" bestFit="1" customWidth="1"/>
    <col min="8" max="8" width="31.85546875" bestFit="1" customWidth="1"/>
    <col min="9" max="9" width="7.140625" bestFit="1" customWidth="1"/>
    <col min="10" max="10" width="19.42578125" bestFit="1" customWidth="1"/>
    <col min="11" max="11" width="11" bestFit="1" customWidth="1"/>
    <col min="12" max="12" width="1.140625" customWidth="1"/>
    <col min="13" max="13" width="30" hidden="1" customWidth="1"/>
    <col min="14" max="14" width="6.5703125" bestFit="1" customWidth="1"/>
    <col min="15" max="15" width="9.42578125" bestFit="1" customWidth="1"/>
    <col min="16" max="16" width="36.7109375" bestFit="1" customWidth="1"/>
    <col min="17" max="17" width="7.85546875" bestFit="1" customWidth="1"/>
    <col min="18" max="18" width="21.5703125" bestFit="1" customWidth="1"/>
    <col min="19" max="19" width="11.7109375" bestFit="1" customWidth="1"/>
    <col min="20" max="20" width="1.5703125" customWidth="1"/>
    <col min="21" max="21" width="3.140625" customWidth="1"/>
    <col min="22" max="22" width="6.5703125" bestFit="1" customWidth="1"/>
    <col min="23" max="23" width="8.42578125" bestFit="1" customWidth="1"/>
    <col min="24" max="24" width="32.140625" bestFit="1" customWidth="1"/>
    <col min="25" max="25" width="7.140625" bestFit="1" customWidth="1"/>
    <col min="26" max="26" width="19.42578125" bestFit="1" customWidth="1"/>
    <col min="27" max="27" width="11" bestFit="1" customWidth="1"/>
    <col min="28" max="28" width="6.5703125" bestFit="1" customWidth="1"/>
    <col min="29" max="29" width="5.7109375" bestFit="1" customWidth="1"/>
  </cols>
  <sheetData>
    <row r="1" spans="1:27" ht="18.75" x14ac:dyDescent="0.3">
      <c r="A1" s="2">
        <v>2</v>
      </c>
      <c r="B1" s="8" t="s">
        <v>78</v>
      </c>
      <c r="C1" s="8"/>
      <c r="D1" s="8"/>
      <c r="E1" s="8"/>
      <c r="F1" s="3" t="s">
        <v>0</v>
      </c>
      <c r="G1" s="7" t="s">
        <v>1</v>
      </c>
      <c r="H1" s="7"/>
    </row>
    <row r="3" spans="1:27" x14ac:dyDescent="0.25">
      <c r="A3" s="1" t="s">
        <v>6</v>
      </c>
      <c r="B3" s="1" t="s">
        <v>7</v>
      </c>
      <c r="C3" s="1" t="s">
        <v>8</v>
      </c>
      <c r="D3" s="1" t="s">
        <v>9</v>
      </c>
      <c r="E3" s="1" t="s">
        <v>10</v>
      </c>
      <c r="G3" s="4" t="str" cm="1">
        <f t="array" ref="G3:K23">TRIM(Table13[#All])</f>
        <v>Store_ID</v>
      </c>
      <c r="H3" s="4" t="str">
        <v>Store_Name</v>
      </c>
      <c r="I3" s="4" t="str">
        <v>Region</v>
      </c>
      <c r="J3" s="4" t="str">
        <v>City</v>
      </c>
      <c r="K3" s="4" t="str">
        <v>Store_Type</v>
      </c>
      <c r="L3" s="4"/>
      <c r="M3" s="4"/>
      <c r="O3" s="4" t="str" cm="1">
        <f t="array" ref="O3:S23">UPPER(Table13[#All])</f>
        <v>STORE_ID</v>
      </c>
      <c r="P3" s="4" t="str">
        <v>STORE_NAME</v>
      </c>
      <c r="Q3" s="4" t="str">
        <v>REGION</v>
      </c>
      <c r="R3" s="4" t="str">
        <v>CITY</v>
      </c>
      <c r="S3" s="4" t="str">
        <v>STORE_TYPE</v>
      </c>
      <c r="T3" s="4"/>
      <c r="U3" s="4"/>
      <c r="W3" s="4" t="str" cm="1">
        <f t="array" ref="W3:AA23">PROPER(Table13[#All])</f>
        <v>Store_Id</v>
      </c>
      <c r="X3" s="4" t="str">
        <v>Store_Name</v>
      </c>
      <c r="Y3" s="4" t="str">
        <v>Region</v>
      </c>
      <c r="Z3" s="4" t="str">
        <v>City</v>
      </c>
      <c r="AA3" s="4" t="str">
        <v>Store_Type</v>
      </c>
    </row>
    <row r="4" spans="1:27" x14ac:dyDescent="0.25">
      <c r="A4" s="10" t="s">
        <v>11</v>
      </c>
      <c r="B4" s="10" t="s">
        <v>12</v>
      </c>
      <c r="C4" s="10" t="s">
        <v>13</v>
      </c>
      <c r="D4" s="10" t="s">
        <v>14</v>
      </c>
      <c r="E4" s="10" t="s">
        <v>15</v>
      </c>
      <c r="G4" s="4" t="str">
        <v>STORE0</v>
      </c>
      <c r="H4" s="4" t="str">
        <v>Rivera-Warner</v>
      </c>
      <c r="I4" s="4" t="str">
        <v>East</v>
      </c>
      <c r="J4" s="4" t="str">
        <v>Washingtonfurt</v>
      </c>
      <c r="K4" s="4" t="str">
        <v>Flagship</v>
      </c>
      <c r="L4" s="4"/>
      <c r="M4" s="4"/>
      <c r="O4" s="4" t="str">
        <v>STORE0</v>
      </c>
      <c r="P4" s="4" t="str">
        <v>RIVERA-WARNER</v>
      </c>
      <c r="Q4" s="4" t="str">
        <v>EAST</v>
      </c>
      <c r="R4" s="4" t="str">
        <v>WASHINGTONFURT</v>
      </c>
      <c r="S4" s="4" t="str">
        <v>FLAGSHIP</v>
      </c>
      <c r="T4" s="4"/>
      <c r="U4" s="4"/>
      <c r="W4" s="4" t="str">
        <v>Store0</v>
      </c>
      <c r="X4" s="4" t="str">
        <v>Rivera-Warner</v>
      </c>
      <c r="Y4" s="4" t="str">
        <v>East</v>
      </c>
      <c r="Z4" s="4" t="str">
        <v>Washingtonfurt</v>
      </c>
      <c r="AA4" s="4" t="str">
        <v>Flagship</v>
      </c>
    </row>
    <row r="5" spans="1:27" x14ac:dyDescent="0.25">
      <c r="A5" s="10" t="s">
        <v>16</v>
      </c>
      <c r="B5" s="10" t="s">
        <v>17</v>
      </c>
      <c r="C5" s="10" t="s">
        <v>18</v>
      </c>
      <c r="D5" s="10" t="s">
        <v>19</v>
      </c>
      <c r="E5" s="10" t="s">
        <v>15</v>
      </c>
      <c r="G5" s="4" t="str">
        <v>STORE1</v>
      </c>
      <c r="H5" s="4" t="str">
        <v>Martinez, Adkins and Johnson</v>
      </c>
      <c r="I5" s="4" t="str">
        <v>North</v>
      </c>
      <c r="J5" s="4" t="str">
        <v>Danielmouth</v>
      </c>
      <c r="K5" s="4" t="str">
        <v>Flagship</v>
      </c>
      <c r="L5" s="4"/>
      <c r="M5" s="4"/>
      <c r="O5" s="4" t="str">
        <v>STORE1</v>
      </c>
      <c r="P5" s="4" t="str">
        <v>MARTINEZ, ADKINS AND JOHNSON</v>
      </c>
      <c r="Q5" s="4" t="str">
        <v>NORTH</v>
      </c>
      <c r="R5" s="4" t="str">
        <v>DANIELMOUTH</v>
      </c>
      <c r="S5" s="4" t="str">
        <v>FLAGSHIP</v>
      </c>
      <c r="T5" s="4"/>
      <c r="U5" s="4"/>
      <c r="W5" s="4" t="str">
        <v>Store1</v>
      </c>
      <c r="X5" s="4" t="str">
        <v>Martinez, Adkins And Johnson</v>
      </c>
      <c r="Y5" s="4" t="str">
        <v>North</v>
      </c>
      <c r="Z5" s="4" t="str">
        <v>Danielmouth</v>
      </c>
      <c r="AA5" s="4" t="str">
        <v>Flagship</v>
      </c>
    </row>
    <row r="6" spans="1:27" x14ac:dyDescent="0.25">
      <c r="A6" s="10" t="s">
        <v>20</v>
      </c>
      <c r="B6" s="10" t="s">
        <v>21</v>
      </c>
      <c r="C6" s="10" t="s">
        <v>22</v>
      </c>
      <c r="D6" s="10" t="s">
        <v>23</v>
      </c>
      <c r="E6" s="10" t="s">
        <v>24</v>
      </c>
      <c r="G6" s="4" t="str">
        <v>STORE2</v>
      </c>
      <c r="H6" s="4" t="str">
        <v>Black-Horn</v>
      </c>
      <c r="I6" s="4" t="str">
        <v>South</v>
      </c>
      <c r="J6" s="4" t="str">
        <v>North Nancyview</v>
      </c>
      <c r="K6" s="4" t="str">
        <v>Outlet</v>
      </c>
      <c r="L6" s="4"/>
      <c r="M6" s="4"/>
      <c r="O6" s="4" t="str">
        <v>STORE2</v>
      </c>
      <c r="P6" s="4" t="str">
        <v>BLACK-HORN</v>
      </c>
      <c r="Q6" s="4" t="str">
        <v>SOUTH</v>
      </c>
      <c r="R6" s="4" t="str">
        <v>NORTH NANCYVIEW</v>
      </c>
      <c r="S6" s="4" t="str">
        <v>OUTLET</v>
      </c>
      <c r="T6" s="4"/>
      <c r="U6" s="4"/>
      <c r="W6" s="4" t="str">
        <v>Store2</v>
      </c>
      <c r="X6" s="4" t="str">
        <v>Black-Horn</v>
      </c>
      <c r="Y6" s="4" t="str">
        <v>South</v>
      </c>
      <c r="Z6" s="4" t="str">
        <v>North Nancyview</v>
      </c>
      <c r="AA6" s="4" t="str">
        <v>Outlet</v>
      </c>
    </row>
    <row r="7" spans="1:27" x14ac:dyDescent="0.25">
      <c r="A7" s="10" t="s">
        <v>25</v>
      </c>
      <c r="B7" s="10" t="s">
        <v>26</v>
      </c>
      <c r="C7" s="10" t="s">
        <v>18</v>
      </c>
      <c r="D7" s="10" t="s">
        <v>27</v>
      </c>
      <c r="E7" s="10" t="s">
        <v>24</v>
      </c>
      <c r="G7" s="4" t="str">
        <v>STORE3</v>
      </c>
      <c r="H7" s="4" t="str">
        <v>Johnson-Wright</v>
      </c>
      <c r="I7" s="4" t="str">
        <v>North</v>
      </c>
      <c r="J7" s="4" t="str">
        <v>Hoodberg</v>
      </c>
      <c r="K7" s="4" t="str">
        <v>Outlet</v>
      </c>
      <c r="L7" s="4"/>
      <c r="M7" s="4"/>
      <c r="O7" s="4" t="str">
        <v>STORE3</v>
      </c>
      <c r="P7" s="4" t="str">
        <v>JOHNSON-WRIGHT</v>
      </c>
      <c r="Q7" s="4" t="str">
        <v>NORTH</v>
      </c>
      <c r="R7" s="4" t="str">
        <v>HOODBERG</v>
      </c>
      <c r="S7" s="4" t="str">
        <v>OUTLET</v>
      </c>
      <c r="T7" s="4"/>
      <c r="U7" s="4"/>
      <c r="W7" s="4" t="str">
        <v>Store3</v>
      </c>
      <c r="X7" s="4" t="str">
        <v>Johnson-Wright</v>
      </c>
      <c r="Y7" s="4" t="str">
        <v>North</v>
      </c>
      <c r="Z7" s="4" t="str">
        <v>Hoodberg</v>
      </c>
      <c r="AA7" s="4" t="str">
        <v>Outlet</v>
      </c>
    </row>
    <row r="8" spans="1:27" x14ac:dyDescent="0.25">
      <c r="A8" s="10" t="s">
        <v>28</v>
      </c>
      <c r="B8" s="10" t="s">
        <v>29</v>
      </c>
      <c r="C8" s="10" t="s">
        <v>22</v>
      </c>
      <c r="D8" s="10" t="s">
        <v>30</v>
      </c>
      <c r="E8" s="10" t="s">
        <v>31</v>
      </c>
      <c r="G8" s="4" t="str">
        <v>STORE4</v>
      </c>
      <c r="H8" s="4" t="str">
        <v>Alexander Group</v>
      </c>
      <c r="I8" s="4" t="str">
        <v>South</v>
      </c>
      <c r="J8" s="4" t="str">
        <v>Port Sharon</v>
      </c>
      <c r="K8" s="4" t="str">
        <v>Online</v>
      </c>
      <c r="L8" s="4"/>
      <c r="M8" s="4"/>
      <c r="O8" s="4" t="str">
        <v>STORE4</v>
      </c>
      <c r="P8" s="4" t="str">
        <v>ALEXANDER GROUP</v>
      </c>
      <c r="Q8" s="4" t="str">
        <v>SOUTH</v>
      </c>
      <c r="R8" s="4" t="str">
        <v>PORT SHARON</v>
      </c>
      <c r="S8" s="4" t="str">
        <v>ONLINE</v>
      </c>
      <c r="T8" s="4"/>
      <c r="U8" s="4"/>
      <c r="W8" s="4" t="str">
        <v>Store4</v>
      </c>
      <c r="X8" s="4" t="str">
        <v>Alexander Group</v>
      </c>
      <c r="Y8" s="4" t="str">
        <v>South</v>
      </c>
      <c r="Z8" s="4" t="str">
        <v>Port Sharon</v>
      </c>
      <c r="AA8" s="4" t="str">
        <v>Online</v>
      </c>
    </row>
    <row r="9" spans="1:27" x14ac:dyDescent="0.25">
      <c r="A9" s="10" t="s">
        <v>32</v>
      </c>
      <c r="B9" s="10" t="s">
        <v>33</v>
      </c>
      <c r="C9" s="10" t="s">
        <v>18</v>
      </c>
      <c r="D9" s="10" t="s">
        <v>34</v>
      </c>
      <c r="E9" s="10" t="s">
        <v>24</v>
      </c>
      <c r="G9" s="4" t="str">
        <v>STORE5</v>
      </c>
      <c r="H9" s="4" t="str">
        <v>Gray Ltd</v>
      </c>
      <c r="I9" s="4" t="str">
        <v>North</v>
      </c>
      <c r="J9" s="4" t="str">
        <v>New Michaelchester</v>
      </c>
      <c r="K9" s="4" t="str">
        <v>Outlet</v>
      </c>
      <c r="L9" s="4"/>
      <c r="M9" s="4"/>
      <c r="O9" s="4" t="str">
        <v>STORE5</v>
      </c>
      <c r="P9" s="4" t="str">
        <v>GRAY LTD</v>
      </c>
      <c r="Q9" s="4" t="str">
        <v>NORTH</v>
      </c>
      <c r="R9" s="4" t="str">
        <v>NEW MICHAELCHESTER</v>
      </c>
      <c r="S9" s="4" t="str">
        <v>OUTLET</v>
      </c>
      <c r="T9" s="4"/>
      <c r="U9" s="4"/>
      <c r="W9" s="4" t="str">
        <v>Store5</v>
      </c>
      <c r="X9" s="4" t="str">
        <v>Gray Ltd</v>
      </c>
      <c r="Y9" s="4" t="str">
        <v>North</v>
      </c>
      <c r="Z9" s="4" t="str">
        <v>New Michaelchester</v>
      </c>
      <c r="AA9" s="4" t="str">
        <v>Outlet</v>
      </c>
    </row>
    <row r="10" spans="1:27" x14ac:dyDescent="0.25">
      <c r="A10" s="10" t="s">
        <v>35</v>
      </c>
      <c r="B10" s="10" t="s">
        <v>36</v>
      </c>
      <c r="C10" s="10" t="s">
        <v>13</v>
      </c>
      <c r="D10" s="10" t="s">
        <v>37</v>
      </c>
      <c r="E10" s="10" t="s">
        <v>31</v>
      </c>
      <c r="G10" s="4" t="str">
        <v>STORE6</v>
      </c>
      <c r="H10" s="4" t="str">
        <v>Benson-Elliott</v>
      </c>
      <c r="I10" s="4" t="str">
        <v>East</v>
      </c>
      <c r="J10" s="4" t="str">
        <v>Port Josephberg</v>
      </c>
      <c r="K10" s="4" t="str">
        <v>Online</v>
      </c>
      <c r="L10" s="4"/>
      <c r="M10" s="4"/>
      <c r="O10" s="4" t="str">
        <v>STORE6</v>
      </c>
      <c r="P10" s="4" t="str">
        <v>BENSON-ELLIOTT</v>
      </c>
      <c r="Q10" s="4" t="str">
        <v>EAST</v>
      </c>
      <c r="R10" s="4" t="str">
        <v>PORT JOSEPHBERG</v>
      </c>
      <c r="S10" s="4" t="str">
        <v>ONLINE</v>
      </c>
      <c r="T10" s="4"/>
      <c r="U10" s="4"/>
      <c r="W10" s="4" t="str">
        <v>Store6</v>
      </c>
      <c r="X10" s="4" t="str">
        <v>Benson-Elliott</v>
      </c>
      <c r="Y10" s="4" t="str">
        <v>East</v>
      </c>
      <c r="Z10" s="4" t="str">
        <v>Port Josephberg</v>
      </c>
      <c r="AA10" s="4" t="str">
        <v>Online</v>
      </c>
    </row>
    <row r="11" spans="1:27" x14ac:dyDescent="0.25">
      <c r="A11" s="10" t="s">
        <v>38</v>
      </c>
      <c r="B11" s="10" t="s">
        <v>39</v>
      </c>
      <c r="C11" s="10" t="s">
        <v>22</v>
      </c>
      <c r="D11" s="10" t="s">
        <v>40</v>
      </c>
      <c r="E11" s="10" t="s">
        <v>31</v>
      </c>
      <c r="G11" s="4" t="str">
        <v>STORE7</v>
      </c>
      <c r="H11" s="4" t="str">
        <v>Martinez-Mullins</v>
      </c>
      <c r="I11" s="4" t="str">
        <v>South</v>
      </c>
      <c r="J11" s="4" t="str">
        <v>Williamsfurt</v>
      </c>
      <c r="K11" s="4" t="str">
        <v>Online</v>
      </c>
      <c r="L11" s="4"/>
      <c r="M11" s="4"/>
      <c r="O11" s="4" t="str">
        <v>STORE7</v>
      </c>
      <c r="P11" s="4" t="str">
        <v>MARTINEZ-MULLINS</v>
      </c>
      <c r="Q11" s="4" t="str">
        <v>SOUTH</v>
      </c>
      <c r="R11" s="4" t="str">
        <v>WILLIAMSFURT</v>
      </c>
      <c r="S11" s="4" t="str">
        <v>ONLINE</v>
      </c>
      <c r="T11" s="4"/>
      <c r="U11" s="4"/>
      <c r="W11" s="4" t="str">
        <v>Store7</v>
      </c>
      <c r="X11" s="4" t="str">
        <v>Martinez-Mullins</v>
      </c>
      <c r="Y11" s="4" t="str">
        <v>South</v>
      </c>
      <c r="Z11" s="4" t="str">
        <v>Williamsfurt</v>
      </c>
      <c r="AA11" s="4" t="str">
        <v>Online</v>
      </c>
    </row>
    <row r="12" spans="1:27" x14ac:dyDescent="0.25">
      <c r="A12" s="10" t="s">
        <v>41</v>
      </c>
      <c r="B12" s="10" t="s">
        <v>42</v>
      </c>
      <c r="C12" s="10" t="s">
        <v>43</v>
      </c>
      <c r="D12" s="10" t="s">
        <v>44</v>
      </c>
      <c r="E12" s="10" t="s">
        <v>31</v>
      </c>
      <c r="G12" s="4" t="str">
        <v>STORE8</v>
      </c>
      <c r="H12" s="4" t="str">
        <v>Bean, Jones and Park</v>
      </c>
      <c r="I12" s="4" t="str">
        <v>West</v>
      </c>
      <c r="J12" s="4" t="str">
        <v>Thompsonborough</v>
      </c>
      <c r="K12" s="4" t="str">
        <v>Online</v>
      </c>
      <c r="L12" s="4"/>
      <c r="M12" s="4"/>
      <c r="O12" s="4" t="str">
        <v>STORE8</v>
      </c>
      <c r="P12" s="4" t="str">
        <v>BEAN, JONES AND PARK</v>
      </c>
      <c r="Q12" s="4" t="str">
        <v>WEST</v>
      </c>
      <c r="R12" s="4" t="str">
        <v>THOMPSONBOROUGH</v>
      </c>
      <c r="S12" s="4" t="str">
        <v>ONLINE</v>
      </c>
      <c r="T12" s="4"/>
      <c r="U12" s="4"/>
      <c r="W12" s="4" t="str">
        <v>Store8</v>
      </c>
      <c r="X12" s="4" t="str">
        <v>Bean, Jones And Park</v>
      </c>
      <c r="Y12" s="4" t="str">
        <v>West</v>
      </c>
      <c r="Z12" s="4" t="str">
        <v>Thompsonborough</v>
      </c>
      <c r="AA12" s="4" t="str">
        <v>Online</v>
      </c>
    </row>
    <row r="13" spans="1:27" x14ac:dyDescent="0.25">
      <c r="A13" s="10" t="s">
        <v>45</v>
      </c>
      <c r="B13" s="10" t="s">
        <v>46</v>
      </c>
      <c r="C13" s="10" t="s">
        <v>22</v>
      </c>
      <c r="D13" s="10" t="s">
        <v>47</v>
      </c>
      <c r="E13" s="10" t="s">
        <v>15</v>
      </c>
      <c r="G13" s="4" t="str">
        <v>STORE9</v>
      </c>
      <c r="H13" s="4" t="str">
        <v>Moore, Padilla and Butler</v>
      </c>
      <c r="I13" s="4" t="str">
        <v>South</v>
      </c>
      <c r="J13" s="4" t="str">
        <v>East Johnstad</v>
      </c>
      <c r="K13" s="4" t="str">
        <v>Flagship</v>
      </c>
      <c r="L13" s="4"/>
      <c r="M13" s="4"/>
      <c r="O13" s="4" t="str">
        <v>STORE9</v>
      </c>
      <c r="P13" s="4" t="str">
        <v>MOORE, PADILLA AND BUTLER</v>
      </c>
      <c r="Q13" s="4" t="str">
        <v>SOUTH</v>
      </c>
      <c r="R13" s="4" t="str">
        <v>EAST JOHNSTAD</v>
      </c>
      <c r="S13" s="4" t="str">
        <v>FLAGSHIP</v>
      </c>
      <c r="T13" s="4"/>
      <c r="U13" s="4"/>
      <c r="W13" s="4" t="str">
        <v>Store9</v>
      </c>
      <c r="X13" s="4" t="str">
        <v>Moore, Padilla And Butler</v>
      </c>
      <c r="Y13" s="4" t="str">
        <v>South</v>
      </c>
      <c r="Z13" s="4" t="str">
        <v>East Johnstad</v>
      </c>
      <c r="AA13" s="4" t="str">
        <v>Flagship</v>
      </c>
    </row>
    <row r="14" spans="1:27" x14ac:dyDescent="0.25">
      <c r="A14" s="10" t="s">
        <v>48</v>
      </c>
      <c r="B14" s="10" t="s">
        <v>49</v>
      </c>
      <c r="C14" s="10" t="s">
        <v>13</v>
      </c>
      <c r="D14" s="10" t="s">
        <v>50</v>
      </c>
      <c r="E14" s="10" t="s">
        <v>31</v>
      </c>
      <c r="G14" s="4" t="str">
        <v>STORE10</v>
      </c>
      <c r="H14" s="4" t="str">
        <v>Hill, Wagner and Ballard</v>
      </c>
      <c r="I14" s="4" t="str">
        <v>East</v>
      </c>
      <c r="J14" s="4" t="str">
        <v>East Davidville</v>
      </c>
      <c r="K14" s="4" t="str">
        <v>Online</v>
      </c>
      <c r="L14" s="4"/>
      <c r="M14" s="4"/>
      <c r="O14" s="4" t="str">
        <v>STORE10</v>
      </c>
      <c r="P14" s="4" t="str">
        <v>HILL, WAGNER AND BALLARD</v>
      </c>
      <c r="Q14" s="4" t="str">
        <v>EAST</v>
      </c>
      <c r="R14" s="4" t="str">
        <v>EAST DAVIDVILLE</v>
      </c>
      <c r="S14" s="4" t="str">
        <v>ONLINE</v>
      </c>
      <c r="T14" s="4"/>
      <c r="U14" s="4"/>
      <c r="W14" s="4" t="str">
        <v>Store10</v>
      </c>
      <c r="X14" s="4" t="str">
        <v>Hill, Wagner And Ballard</v>
      </c>
      <c r="Y14" s="4" t="str">
        <v>East</v>
      </c>
      <c r="Z14" s="4" t="str">
        <v>East Davidville</v>
      </c>
      <c r="AA14" s="4" t="str">
        <v>Online</v>
      </c>
    </row>
    <row r="15" spans="1:27" x14ac:dyDescent="0.25">
      <c r="A15" s="10" t="s">
        <v>51</v>
      </c>
      <c r="B15" s="10" t="s">
        <v>52</v>
      </c>
      <c r="C15" s="10" t="s">
        <v>22</v>
      </c>
      <c r="D15" s="10" t="s">
        <v>53</v>
      </c>
      <c r="E15" s="10" t="s">
        <v>31</v>
      </c>
      <c r="G15" s="4" t="str">
        <v>STORE11</v>
      </c>
      <c r="H15" s="4" t="str">
        <v>Aguirre-Keller</v>
      </c>
      <c r="I15" s="4" t="str">
        <v>South</v>
      </c>
      <c r="J15" s="4" t="str">
        <v>Lake Michael</v>
      </c>
      <c r="K15" s="4" t="str">
        <v>Online</v>
      </c>
      <c r="L15" s="4"/>
      <c r="M15" s="4"/>
      <c r="O15" s="4" t="str">
        <v>STORE11</v>
      </c>
      <c r="P15" s="4" t="str">
        <v>AGUIRRE-KELLER</v>
      </c>
      <c r="Q15" s="4" t="str">
        <v>SOUTH</v>
      </c>
      <c r="R15" s="4" t="str">
        <v>LAKE MICHAEL</v>
      </c>
      <c r="S15" s="4" t="str">
        <v>ONLINE</v>
      </c>
      <c r="T15" s="4"/>
      <c r="U15" s="4"/>
      <c r="W15" s="4" t="str">
        <v>Store11</v>
      </c>
      <c r="X15" s="4" t="str">
        <v>Aguirre-Keller</v>
      </c>
      <c r="Y15" s="4" t="str">
        <v>South</v>
      </c>
      <c r="Z15" s="4" t="str">
        <v>Lake Michael</v>
      </c>
      <c r="AA15" s="4" t="str">
        <v>Online</v>
      </c>
    </row>
    <row r="16" spans="1:27" x14ac:dyDescent="0.25">
      <c r="A16" s="10" t="s">
        <v>54</v>
      </c>
      <c r="B16" s="10" t="s">
        <v>55</v>
      </c>
      <c r="C16" s="10" t="s">
        <v>18</v>
      </c>
      <c r="D16" s="10" t="s">
        <v>56</v>
      </c>
      <c r="E16" s="10" t="s">
        <v>31</v>
      </c>
      <c r="G16" s="4" t="str">
        <v>STORE12</v>
      </c>
      <c r="H16" s="4" t="str">
        <v>Thomas, Bridges and Harris</v>
      </c>
      <c r="I16" s="4" t="str">
        <v>North</v>
      </c>
      <c r="J16" s="4" t="str">
        <v>Sabrinatown</v>
      </c>
      <c r="K16" s="4" t="str">
        <v>Online</v>
      </c>
      <c r="L16" s="4"/>
      <c r="M16" s="4"/>
      <c r="O16" s="4" t="str">
        <v>STORE12</v>
      </c>
      <c r="P16" s="4" t="str">
        <v>THOMAS, BRIDGES AND HARRIS</v>
      </c>
      <c r="Q16" s="4" t="str">
        <v>NORTH</v>
      </c>
      <c r="R16" s="4" t="str">
        <v>SABRINATOWN</v>
      </c>
      <c r="S16" s="4" t="str">
        <v>ONLINE</v>
      </c>
      <c r="T16" s="4"/>
      <c r="U16" s="4"/>
      <c r="W16" s="4" t="str">
        <v>Store12</v>
      </c>
      <c r="X16" s="4" t="str">
        <v>Thomas, Bridges And Harris</v>
      </c>
      <c r="Y16" s="4" t="str">
        <v>North</v>
      </c>
      <c r="Z16" s="4" t="str">
        <v>Sabrinatown</v>
      </c>
      <c r="AA16" s="4" t="str">
        <v>Online</v>
      </c>
    </row>
    <row r="17" spans="1:27" x14ac:dyDescent="0.25">
      <c r="A17" s="10" t="s">
        <v>57</v>
      </c>
      <c r="B17" s="10" t="s">
        <v>58</v>
      </c>
      <c r="C17" s="10" t="s">
        <v>13</v>
      </c>
      <c r="D17" s="10" t="s">
        <v>59</v>
      </c>
      <c r="E17" s="10" t="s">
        <v>15</v>
      </c>
      <c r="G17" s="4" t="str">
        <v>STORE13</v>
      </c>
      <c r="H17" s="4" t="str">
        <v>Gardner, Humphrey and Contreras</v>
      </c>
      <c r="I17" s="4" t="str">
        <v>East</v>
      </c>
      <c r="J17" s="4" t="str">
        <v>Johnsonville</v>
      </c>
      <c r="K17" s="4" t="str">
        <v>Flagship</v>
      </c>
      <c r="L17" s="4"/>
      <c r="M17" s="4"/>
      <c r="O17" s="4" t="str">
        <v>STORE13</v>
      </c>
      <c r="P17" s="4" t="str">
        <v>GARDNER, HUMPHREY AND CONTRERAS</v>
      </c>
      <c r="Q17" s="4" t="str">
        <v>EAST</v>
      </c>
      <c r="R17" s="4" t="str">
        <v>JOHNSONVILLE</v>
      </c>
      <c r="S17" s="4" t="str">
        <v>FLAGSHIP</v>
      </c>
      <c r="T17" s="4"/>
      <c r="U17" s="4"/>
      <c r="W17" s="4" t="str">
        <v>Store13</v>
      </c>
      <c r="X17" s="4" t="str">
        <v>Gardner, Humphrey And Contreras</v>
      </c>
      <c r="Y17" s="4" t="str">
        <v>East</v>
      </c>
      <c r="Z17" s="4" t="str">
        <v>Johnsonville</v>
      </c>
      <c r="AA17" s="4" t="str">
        <v>Flagship</v>
      </c>
    </row>
    <row r="18" spans="1:27" x14ac:dyDescent="0.25">
      <c r="A18" s="10" t="s">
        <v>60</v>
      </c>
      <c r="B18" s="10" t="s">
        <v>61</v>
      </c>
      <c r="C18" s="10" t="s">
        <v>22</v>
      </c>
      <c r="D18" s="10" t="s">
        <v>62</v>
      </c>
      <c r="E18" s="10" t="s">
        <v>24</v>
      </c>
      <c r="G18" s="4" t="str">
        <v>STORE14</v>
      </c>
      <c r="H18" s="4" t="str">
        <v>Mcdonald Inc</v>
      </c>
      <c r="I18" s="4" t="str">
        <v>South</v>
      </c>
      <c r="J18" s="4" t="str">
        <v>Christopherland</v>
      </c>
      <c r="K18" s="4" t="str">
        <v>Outlet</v>
      </c>
      <c r="L18" s="4"/>
      <c r="M18" s="4"/>
      <c r="O18" s="4" t="str">
        <v>STORE14</v>
      </c>
      <c r="P18" s="4" t="str">
        <v>MCDONALD INC</v>
      </c>
      <c r="Q18" s="4" t="str">
        <v>SOUTH</v>
      </c>
      <c r="R18" s="4" t="str">
        <v>CHRISTOPHERLAND</v>
      </c>
      <c r="S18" s="4" t="str">
        <v>OUTLET</v>
      </c>
      <c r="T18" s="4"/>
      <c r="U18" s="4"/>
      <c r="W18" s="4" t="str">
        <v>Store14</v>
      </c>
      <c r="X18" s="4" t="str">
        <v>Mcdonald Inc</v>
      </c>
      <c r="Y18" s="4" t="str">
        <v>South</v>
      </c>
      <c r="Z18" s="4" t="str">
        <v>Christopherland</v>
      </c>
      <c r="AA18" s="4" t="str">
        <v>Outlet</v>
      </c>
    </row>
    <row r="19" spans="1:27" x14ac:dyDescent="0.25">
      <c r="A19" s="10" t="s">
        <v>63</v>
      </c>
      <c r="B19" s="10" t="s">
        <v>64</v>
      </c>
      <c r="C19" s="10" t="s">
        <v>18</v>
      </c>
      <c r="D19" s="10" t="s">
        <v>65</v>
      </c>
      <c r="E19" s="10" t="s">
        <v>15</v>
      </c>
      <c r="G19" s="4" t="str">
        <v>STORE15</v>
      </c>
      <c r="H19" s="4" t="str">
        <v>Shelton PLC</v>
      </c>
      <c r="I19" s="4" t="str">
        <v>North</v>
      </c>
      <c r="J19" s="4" t="str">
        <v>East Jenniferstad</v>
      </c>
      <c r="K19" s="4" t="str">
        <v>Flagship</v>
      </c>
      <c r="L19" s="4"/>
      <c r="M19" s="4"/>
      <c r="O19" s="4" t="str">
        <v>STORE15</v>
      </c>
      <c r="P19" s="4" t="str">
        <v>SHELTON PLC</v>
      </c>
      <c r="Q19" s="4" t="str">
        <v>NORTH</v>
      </c>
      <c r="R19" s="4" t="str">
        <v>EAST JENNIFERSTAD</v>
      </c>
      <c r="S19" s="4" t="str">
        <v>FLAGSHIP</v>
      </c>
      <c r="T19" s="4"/>
      <c r="U19" s="4"/>
      <c r="W19" s="4" t="str">
        <v>Store15</v>
      </c>
      <c r="X19" s="4" t="str">
        <v>Shelton Plc</v>
      </c>
      <c r="Y19" s="4" t="str">
        <v>North</v>
      </c>
      <c r="Z19" s="4" t="str">
        <v>East Jenniferstad</v>
      </c>
      <c r="AA19" s="4" t="str">
        <v>Flagship</v>
      </c>
    </row>
    <row r="20" spans="1:27" x14ac:dyDescent="0.25">
      <c r="A20" s="10" t="s">
        <v>66</v>
      </c>
      <c r="B20" s="10" t="s">
        <v>67</v>
      </c>
      <c r="C20" s="10" t="s">
        <v>43</v>
      </c>
      <c r="D20" s="10" t="s">
        <v>68</v>
      </c>
      <c r="E20" s="10" t="s">
        <v>15</v>
      </c>
      <c r="G20" s="4" t="str">
        <v>STORE16</v>
      </c>
      <c r="H20" s="4" t="str">
        <v>Frederick-Wright</v>
      </c>
      <c r="I20" s="4" t="str">
        <v>West</v>
      </c>
      <c r="J20" s="4" t="str">
        <v>New Jimmymouth</v>
      </c>
      <c r="K20" s="4" t="str">
        <v>Flagship</v>
      </c>
      <c r="L20" s="4"/>
      <c r="M20" s="4"/>
      <c r="O20" s="4" t="str">
        <v>STORE16</v>
      </c>
      <c r="P20" s="4" t="str">
        <v>FREDERICK-WRIGHT</v>
      </c>
      <c r="Q20" s="4" t="str">
        <v>WEST</v>
      </c>
      <c r="R20" s="4" t="str">
        <v>NEW JIMMYMOUTH</v>
      </c>
      <c r="S20" s="4" t="str">
        <v>FLAGSHIP</v>
      </c>
      <c r="T20" s="4"/>
      <c r="U20" s="4"/>
      <c r="W20" s="4" t="str">
        <v>Store16</v>
      </c>
      <c r="X20" s="4" t="str">
        <v>Frederick-Wright</v>
      </c>
      <c r="Y20" s="4" t="str">
        <v>West</v>
      </c>
      <c r="Z20" s="4" t="str">
        <v>New Jimmymouth</v>
      </c>
      <c r="AA20" s="4" t="str">
        <v>Flagship</v>
      </c>
    </row>
    <row r="21" spans="1:27" x14ac:dyDescent="0.25">
      <c r="A21" s="10" t="s">
        <v>69</v>
      </c>
      <c r="B21" s="10" t="s">
        <v>70</v>
      </c>
      <c r="C21" s="10" t="s">
        <v>18</v>
      </c>
      <c r="D21" s="10" t="s">
        <v>71</v>
      </c>
      <c r="E21" s="10" t="s">
        <v>15</v>
      </c>
      <c r="G21" s="4" t="str">
        <v>STORE17</v>
      </c>
      <c r="H21" s="4" t="str">
        <v>Holloway Ltd</v>
      </c>
      <c r="I21" s="4" t="str">
        <v>North</v>
      </c>
      <c r="J21" s="4" t="str">
        <v>Bensonhaven</v>
      </c>
      <c r="K21" s="4" t="str">
        <v>Flagship</v>
      </c>
      <c r="L21" s="4"/>
      <c r="M21" s="4"/>
      <c r="O21" s="4" t="str">
        <v>STORE17</v>
      </c>
      <c r="P21" s="4" t="str">
        <v>HOLLOWAY LTD</v>
      </c>
      <c r="Q21" s="4" t="str">
        <v>NORTH</v>
      </c>
      <c r="R21" s="4" t="str">
        <v>BENSONHAVEN</v>
      </c>
      <c r="S21" s="4" t="str">
        <v>FLAGSHIP</v>
      </c>
      <c r="T21" s="4"/>
      <c r="U21" s="4"/>
      <c r="W21" s="4" t="str">
        <v>Store17</v>
      </c>
      <c r="X21" s="4" t="str">
        <v>Holloway Ltd</v>
      </c>
      <c r="Y21" s="4" t="str">
        <v>North</v>
      </c>
      <c r="Z21" s="4" t="str">
        <v>Bensonhaven</v>
      </c>
      <c r="AA21" s="4" t="str">
        <v>Flagship</v>
      </c>
    </row>
    <row r="22" spans="1:27" x14ac:dyDescent="0.25">
      <c r="A22" s="10" t="s">
        <v>72</v>
      </c>
      <c r="B22" s="10" t="s">
        <v>73</v>
      </c>
      <c r="C22" s="10" t="s">
        <v>13</v>
      </c>
      <c r="D22" s="10" t="s">
        <v>74</v>
      </c>
      <c r="E22" s="10" t="s">
        <v>15</v>
      </c>
      <c r="G22" s="4" t="str">
        <v>STORE18</v>
      </c>
      <c r="H22" s="4" t="str">
        <v>Guerrero-Schmitt</v>
      </c>
      <c r="I22" s="4" t="str">
        <v>East</v>
      </c>
      <c r="J22" s="4" t="str">
        <v>East Stevechester</v>
      </c>
      <c r="K22" s="4" t="str">
        <v>Flagship</v>
      </c>
      <c r="L22" s="4"/>
      <c r="M22" s="4"/>
      <c r="O22" s="4" t="str">
        <v>STORE18</v>
      </c>
      <c r="P22" s="4" t="str">
        <v>GUERRERO-SCHMITT</v>
      </c>
      <c r="Q22" s="4" t="str">
        <v>EAST</v>
      </c>
      <c r="R22" s="4" t="str">
        <v>EAST STEVECHESTER</v>
      </c>
      <c r="S22" s="4" t="str">
        <v>FLAGSHIP</v>
      </c>
      <c r="T22" s="4"/>
      <c r="U22" s="4"/>
      <c r="W22" s="4" t="str">
        <v>Store18</v>
      </c>
      <c r="X22" s="4" t="str">
        <v>Guerrero-Schmitt</v>
      </c>
      <c r="Y22" s="4" t="str">
        <v>East</v>
      </c>
      <c r="Z22" s="4" t="str">
        <v>East Stevechester</v>
      </c>
      <c r="AA22" s="4" t="str">
        <v>Flagship</v>
      </c>
    </row>
    <row r="23" spans="1:27" x14ac:dyDescent="0.25">
      <c r="A23" s="10" t="s">
        <v>75</v>
      </c>
      <c r="B23" s="10" t="s">
        <v>76</v>
      </c>
      <c r="C23" s="10" t="s">
        <v>13</v>
      </c>
      <c r="D23" s="10" t="s">
        <v>77</v>
      </c>
      <c r="E23" s="10" t="s">
        <v>31</v>
      </c>
      <c r="G23" s="4" t="str">
        <v>STORE19</v>
      </c>
      <c r="H23" s="4" t="str">
        <v>Mann-Austin</v>
      </c>
      <c r="I23" s="4" t="str">
        <v>East</v>
      </c>
      <c r="J23" s="4" t="str">
        <v>Vasquezborough</v>
      </c>
      <c r="K23" s="4" t="str">
        <v>Online</v>
      </c>
      <c r="L23" s="4"/>
      <c r="M23" s="4"/>
      <c r="O23" s="4" t="str">
        <v>STORE19</v>
      </c>
      <c r="P23" s="4" t="str">
        <v>MANN-AUSTIN</v>
      </c>
      <c r="Q23" s="4" t="str">
        <v>EAST</v>
      </c>
      <c r="R23" s="4" t="str">
        <v>VASQUEZBOROUGH</v>
      </c>
      <c r="S23" s="4" t="str">
        <v>ONLINE</v>
      </c>
      <c r="T23" s="4"/>
      <c r="U23" s="4"/>
      <c r="W23" s="4" t="str">
        <v>Store19</v>
      </c>
      <c r="X23" s="4" t="str">
        <v>Mann-Austin</v>
      </c>
      <c r="Y23" s="4" t="str">
        <v>East</v>
      </c>
      <c r="Z23" s="4" t="str">
        <v>Vasquezborough</v>
      </c>
      <c r="AA23" s="4" t="str">
        <v>Online</v>
      </c>
    </row>
  </sheetData>
  <mergeCells count="1">
    <mergeCell ref="B1:E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7B8C5-6D59-4126-8EB1-8BAD91105422}">
  <dimension ref="A1:H21"/>
  <sheetViews>
    <sheetView workbookViewId="0">
      <selection sqref="A1:E21"/>
    </sheetView>
  </sheetViews>
  <sheetFormatPr defaultRowHeight="15" x14ac:dyDescent="0.25"/>
  <cols>
    <col min="1" max="1" width="13.140625" bestFit="1" customWidth="1"/>
    <col min="2" max="2" width="31.85546875" bestFit="1" customWidth="1"/>
    <col min="3" max="3" width="11.7109375" bestFit="1" customWidth="1"/>
    <col min="4" max="4" width="19.42578125" bestFit="1" customWidth="1"/>
    <col min="5" max="5" width="15.5703125" bestFit="1" customWidth="1"/>
  </cols>
  <sheetData>
    <row r="1" spans="1:8" x14ac:dyDescent="0.25">
      <c r="A1" s="1" t="s">
        <v>6</v>
      </c>
      <c r="B1" s="1" t="s">
        <v>7</v>
      </c>
      <c r="C1" s="1" t="s">
        <v>8</v>
      </c>
      <c r="D1" s="1" t="s">
        <v>9</v>
      </c>
      <c r="E1" s="1" t="s">
        <v>10</v>
      </c>
    </row>
    <row r="2" spans="1:8" x14ac:dyDescent="0.25">
      <c r="A2" s="10" t="s">
        <v>11</v>
      </c>
      <c r="B2" s="10" t="s">
        <v>12</v>
      </c>
      <c r="C2" s="10" t="s">
        <v>13</v>
      </c>
      <c r="D2" s="10" t="s">
        <v>14</v>
      </c>
      <c r="E2" s="10" t="s">
        <v>15</v>
      </c>
    </row>
    <row r="3" spans="1:8" x14ac:dyDescent="0.25">
      <c r="A3" s="10" t="s">
        <v>16</v>
      </c>
      <c r="B3" s="10" t="s">
        <v>17</v>
      </c>
      <c r="C3" s="10" t="s">
        <v>18</v>
      </c>
      <c r="D3" s="10" t="s">
        <v>19</v>
      </c>
      <c r="E3" s="10" t="s">
        <v>15</v>
      </c>
      <c r="G3" t="s">
        <v>79</v>
      </c>
      <c r="H3">
        <f>COUNTA(Table136[Store_ID])</f>
        <v>20</v>
      </c>
    </row>
    <row r="4" spans="1:8" x14ac:dyDescent="0.25">
      <c r="A4" s="10" t="s">
        <v>20</v>
      </c>
      <c r="B4" s="10" t="s">
        <v>21</v>
      </c>
      <c r="C4" s="10" t="s">
        <v>22</v>
      </c>
      <c r="D4" s="10" t="s">
        <v>23</v>
      </c>
      <c r="E4" s="10" t="s">
        <v>24</v>
      </c>
      <c r="G4" s="11" t="s">
        <v>15</v>
      </c>
      <c r="H4">
        <f>COUNTIFS(Table136[Store_Type],"Flagship")</f>
        <v>8</v>
      </c>
    </row>
    <row r="5" spans="1:8" x14ac:dyDescent="0.25">
      <c r="A5" s="10" t="s">
        <v>25</v>
      </c>
      <c r="B5" s="10" t="s">
        <v>26</v>
      </c>
      <c r="C5" s="10" t="s">
        <v>18</v>
      </c>
      <c r="D5" s="10" t="s">
        <v>27</v>
      </c>
      <c r="E5" s="10" t="s">
        <v>24</v>
      </c>
    </row>
    <row r="6" spans="1:8" x14ac:dyDescent="0.25">
      <c r="A6" s="10" t="s">
        <v>28</v>
      </c>
      <c r="B6" s="10" t="s">
        <v>29</v>
      </c>
      <c r="C6" s="10" t="s">
        <v>22</v>
      </c>
      <c r="D6" s="10" t="s">
        <v>30</v>
      </c>
      <c r="E6" s="10" t="s">
        <v>31</v>
      </c>
    </row>
    <row r="7" spans="1:8" x14ac:dyDescent="0.25">
      <c r="A7" s="10" t="s">
        <v>32</v>
      </c>
      <c r="B7" s="10" t="s">
        <v>33</v>
      </c>
      <c r="C7" s="10" t="s">
        <v>18</v>
      </c>
      <c r="D7" s="10" t="s">
        <v>34</v>
      </c>
      <c r="E7" s="10" t="s">
        <v>24</v>
      </c>
    </row>
    <row r="8" spans="1:8" x14ac:dyDescent="0.25">
      <c r="A8" s="10" t="s">
        <v>35</v>
      </c>
      <c r="B8" s="10" t="s">
        <v>36</v>
      </c>
      <c r="C8" s="10" t="s">
        <v>13</v>
      </c>
      <c r="D8" s="10" t="s">
        <v>37</v>
      </c>
      <c r="E8" s="10" t="s">
        <v>31</v>
      </c>
    </row>
    <row r="9" spans="1:8" x14ac:dyDescent="0.25">
      <c r="A9" s="10" t="s">
        <v>38</v>
      </c>
      <c r="B9" s="10" t="s">
        <v>39</v>
      </c>
      <c r="C9" s="10" t="s">
        <v>22</v>
      </c>
      <c r="D9" s="10" t="s">
        <v>40</v>
      </c>
      <c r="E9" s="10" t="s">
        <v>31</v>
      </c>
    </row>
    <row r="10" spans="1:8" x14ac:dyDescent="0.25">
      <c r="A10" s="10" t="s">
        <v>41</v>
      </c>
      <c r="B10" s="10" t="s">
        <v>42</v>
      </c>
      <c r="C10" s="10" t="s">
        <v>43</v>
      </c>
      <c r="D10" s="10" t="s">
        <v>44</v>
      </c>
      <c r="E10" s="10" t="s">
        <v>31</v>
      </c>
    </row>
    <row r="11" spans="1:8" x14ac:dyDescent="0.25">
      <c r="A11" s="10" t="s">
        <v>45</v>
      </c>
      <c r="B11" s="10" t="s">
        <v>46</v>
      </c>
      <c r="C11" s="10" t="s">
        <v>22</v>
      </c>
      <c r="D11" s="10" t="s">
        <v>47</v>
      </c>
      <c r="E11" s="10" t="s">
        <v>15</v>
      </c>
    </row>
    <row r="12" spans="1:8" x14ac:dyDescent="0.25">
      <c r="A12" s="10" t="s">
        <v>48</v>
      </c>
      <c r="B12" s="10" t="s">
        <v>49</v>
      </c>
      <c r="C12" s="10" t="s">
        <v>13</v>
      </c>
      <c r="D12" s="10" t="s">
        <v>50</v>
      </c>
      <c r="E12" s="10" t="s">
        <v>31</v>
      </c>
    </row>
    <row r="13" spans="1:8" x14ac:dyDescent="0.25">
      <c r="A13" s="10" t="s">
        <v>51</v>
      </c>
      <c r="B13" s="10" t="s">
        <v>52</v>
      </c>
      <c r="C13" s="10" t="s">
        <v>22</v>
      </c>
      <c r="D13" s="10" t="s">
        <v>53</v>
      </c>
      <c r="E13" s="10" t="s">
        <v>31</v>
      </c>
    </row>
    <row r="14" spans="1:8" x14ac:dyDescent="0.25">
      <c r="A14" s="10" t="s">
        <v>54</v>
      </c>
      <c r="B14" s="10" t="s">
        <v>55</v>
      </c>
      <c r="C14" s="10" t="s">
        <v>18</v>
      </c>
      <c r="D14" s="10" t="s">
        <v>56</v>
      </c>
      <c r="E14" s="10" t="s">
        <v>31</v>
      </c>
    </row>
    <row r="15" spans="1:8" x14ac:dyDescent="0.25">
      <c r="A15" s="10" t="s">
        <v>57</v>
      </c>
      <c r="B15" s="10" t="s">
        <v>58</v>
      </c>
      <c r="C15" s="10" t="s">
        <v>13</v>
      </c>
      <c r="D15" s="10" t="s">
        <v>59</v>
      </c>
      <c r="E15" s="10" t="s">
        <v>15</v>
      </c>
    </row>
    <row r="16" spans="1:8" x14ac:dyDescent="0.25">
      <c r="A16" s="10" t="s">
        <v>60</v>
      </c>
      <c r="B16" s="10" t="s">
        <v>61</v>
      </c>
      <c r="C16" s="10" t="s">
        <v>22</v>
      </c>
      <c r="D16" s="10" t="s">
        <v>62</v>
      </c>
      <c r="E16" s="10" t="s">
        <v>24</v>
      </c>
    </row>
    <row r="17" spans="1:5" x14ac:dyDescent="0.25">
      <c r="A17" s="10" t="s">
        <v>63</v>
      </c>
      <c r="B17" s="10" t="s">
        <v>64</v>
      </c>
      <c r="C17" s="10" t="s">
        <v>18</v>
      </c>
      <c r="D17" s="10" t="s">
        <v>65</v>
      </c>
      <c r="E17" s="10" t="s">
        <v>15</v>
      </c>
    </row>
    <row r="18" spans="1:5" x14ac:dyDescent="0.25">
      <c r="A18" s="10" t="s">
        <v>66</v>
      </c>
      <c r="B18" s="10" t="s">
        <v>67</v>
      </c>
      <c r="C18" s="10" t="s">
        <v>43</v>
      </c>
      <c r="D18" s="10" t="s">
        <v>68</v>
      </c>
      <c r="E18" s="10" t="s">
        <v>15</v>
      </c>
    </row>
    <row r="19" spans="1:5" x14ac:dyDescent="0.25">
      <c r="A19" s="10" t="s">
        <v>69</v>
      </c>
      <c r="B19" s="10" t="s">
        <v>70</v>
      </c>
      <c r="C19" s="10" t="s">
        <v>18</v>
      </c>
      <c r="D19" s="10" t="s">
        <v>71</v>
      </c>
      <c r="E19" s="10" t="s">
        <v>15</v>
      </c>
    </row>
    <row r="20" spans="1:5" x14ac:dyDescent="0.25">
      <c r="A20" s="10" t="s">
        <v>72</v>
      </c>
      <c r="B20" s="10" t="s">
        <v>73</v>
      </c>
      <c r="C20" s="10" t="s">
        <v>13</v>
      </c>
      <c r="D20" s="10" t="s">
        <v>74</v>
      </c>
      <c r="E20" s="10" t="s">
        <v>15</v>
      </c>
    </row>
    <row r="21" spans="1:5" x14ac:dyDescent="0.25">
      <c r="A21" s="10" t="s">
        <v>75</v>
      </c>
      <c r="B21" s="10" t="s">
        <v>76</v>
      </c>
      <c r="C21" s="10" t="s">
        <v>13</v>
      </c>
      <c r="D21" s="10" t="s">
        <v>77</v>
      </c>
      <c r="E21" s="10"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8D605-F8E3-4AAB-B8D4-1432E1951150}">
  <dimension ref="A1:K22"/>
  <sheetViews>
    <sheetView workbookViewId="0">
      <selection activeCell="M7" sqref="M7"/>
    </sheetView>
  </sheetViews>
  <sheetFormatPr defaultRowHeight="15" x14ac:dyDescent="0.25"/>
  <cols>
    <col min="1" max="1" width="8.5703125" bestFit="1" customWidth="1"/>
    <col min="2" max="2" width="31.85546875" bestFit="1" customWidth="1"/>
    <col min="3" max="3" width="7.140625" bestFit="1" customWidth="1"/>
    <col min="4" max="4" width="18" bestFit="1" customWidth="1"/>
    <col min="5" max="5" width="11" bestFit="1" customWidth="1"/>
    <col min="7" max="7" width="8.5703125" bestFit="1" customWidth="1"/>
    <col min="8" max="8" width="31.85546875" bestFit="1" customWidth="1"/>
    <col min="9" max="9" width="7.140625" bestFit="1" customWidth="1"/>
    <col min="10" max="10" width="18" bestFit="1" customWidth="1"/>
    <col min="11" max="11" width="11" bestFit="1" customWidth="1"/>
  </cols>
  <sheetData>
    <row r="1" spans="1:11" x14ac:dyDescent="0.25">
      <c r="A1" s="9" t="s">
        <v>2</v>
      </c>
      <c r="B1" s="9"/>
      <c r="C1" s="9"/>
      <c r="D1" s="9"/>
      <c r="E1" s="9"/>
      <c r="G1" s="9" t="s">
        <v>5</v>
      </c>
      <c r="H1" s="9"/>
      <c r="I1" s="9"/>
      <c r="J1" s="9"/>
      <c r="K1" s="9"/>
    </row>
    <row r="2" spans="1:11" x14ac:dyDescent="0.25">
      <c r="A2" s="12" t="s">
        <v>6</v>
      </c>
      <c r="B2" s="12" t="s">
        <v>7</v>
      </c>
      <c r="C2" s="12" t="s">
        <v>8</v>
      </c>
      <c r="D2" s="12" t="s">
        <v>9</v>
      </c>
      <c r="E2" s="12" t="s">
        <v>10</v>
      </c>
      <c r="G2" s="12" t="s">
        <v>6</v>
      </c>
      <c r="H2" s="12" t="s">
        <v>7</v>
      </c>
      <c r="I2" s="12" t="s">
        <v>8</v>
      </c>
      <c r="J2" s="12" t="s">
        <v>9</v>
      </c>
      <c r="K2" s="12" t="s">
        <v>10</v>
      </c>
    </row>
    <row r="3" spans="1:11" x14ac:dyDescent="0.25">
      <c r="A3" s="13" t="s">
        <v>11</v>
      </c>
      <c r="B3" s="4" t="str">
        <f>VLOOKUP(A3,'f Excel formulas for calculatio'!A:E,2,FALSE)</f>
        <v>Rivera-Warner</v>
      </c>
      <c r="C3" s="4" t="str">
        <f>VLOOKUP(B3,'f Excel formulas for calculatio'!B:F,2,FALSE)</f>
        <v>East</v>
      </c>
      <c r="D3" s="4" t="str">
        <f>VLOOKUP(C3,'f Excel formulas for calculatio'!C:G,2,FALSE)</f>
        <v>Washingtonfurt</v>
      </c>
      <c r="E3" s="4" t="str">
        <f>VLOOKUP(D3,'f Excel formulas for calculatio'!D:H,2,FALSE)</f>
        <v>Flagship</v>
      </c>
      <c r="G3" s="13" t="s">
        <v>11</v>
      </c>
      <c r="H3" s="4" t="str">
        <f>_xlfn.XLOOKUP(G3,A3,B3)</f>
        <v>Rivera-Warner</v>
      </c>
      <c r="I3" s="4" t="str">
        <f>_xlfn.XLOOKUP(H3,B3,C3)</f>
        <v>East</v>
      </c>
      <c r="J3" s="4" t="str">
        <f>_xlfn.XLOOKUP(I3,C3,D3)</f>
        <v>Washingtonfurt</v>
      </c>
      <c r="K3" s="4" t="str">
        <f>_xlfn.XLOOKUP(J3,D3,E3)</f>
        <v>Flagship</v>
      </c>
    </row>
    <row r="4" spans="1:11" x14ac:dyDescent="0.25">
      <c r="A4" s="14" t="s">
        <v>16</v>
      </c>
      <c r="B4" s="4" t="str">
        <f>VLOOKUP(A4,'f Excel formulas for calculatio'!A:E,2,FALSE)</f>
        <v>Martinez, Adkins and Johnson</v>
      </c>
      <c r="C4" s="4" t="str">
        <f>VLOOKUP(B4,'f Excel formulas for calculatio'!B:F,2,FALSE)</f>
        <v>North</v>
      </c>
      <c r="D4" s="4" t="str">
        <f>VLOOKUP(C4,'f Excel formulas for calculatio'!C:G,2,FALSE)</f>
        <v>Danielmouth</v>
      </c>
      <c r="E4" s="4" t="str">
        <f>VLOOKUP(D4,'f Excel formulas for calculatio'!D:H,2,FALSE)</f>
        <v>Flagship</v>
      </c>
      <c r="G4" s="14" t="s">
        <v>16</v>
      </c>
      <c r="H4" s="4" t="str">
        <f>_xlfn.XLOOKUP(G4,A4,B4)</f>
        <v>Martinez, Adkins and Johnson</v>
      </c>
      <c r="I4" s="4" t="str">
        <f>_xlfn.XLOOKUP(H4,B4,C4)</f>
        <v>North</v>
      </c>
      <c r="J4" s="4" t="str">
        <f>_xlfn.XLOOKUP(I4,C4,D4)</f>
        <v>Danielmouth</v>
      </c>
      <c r="K4" s="4" t="str">
        <f>_xlfn.XLOOKUP(J4,D4,E4)</f>
        <v>Flagship</v>
      </c>
    </row>
    <row r="5" spans="1:11" x14ac:dyDescent="0.25">
      <c r="A5" s="13" t="s">
        <v>20</v>
      </c>
      <c r="B5" s="4" t="str">
        <f>VLOOKUP(A5,'f Excel formulas for calculatio'!A:E,2,FALSE)</f>
        <v>Black-Horn</v>
      </c>
      <c r="C5" s="4" t="str">
        <f>VLOOKUP(B5,'f Excel formulas for calculatio'!B:F,2,FALSE)</f>
        <v>South</v>
      </c>
      <c r="D5" s="4" t="str">
        <f>VLOOKUP(C5,'f Excel formulas for calculatio'!C:G,2,FALSE)</f>
        <v>North Nancyview</v>
      </c>
      <c r="E5" s="4" t="str">
        <f>VLOOKUP(D5,'f Excel formulas for calculatio'!D:H,2,FALSE)</f>
        <v>Outlet</v>
      </c>
      <c r="G5" s="13" t="s">
        <v>20</v>
      </c>
      <c r="H5" s="4" t="str">
        <f>_xlfn.XLOOKUP(G5,A5,B5)</f>
        <v>Black-Horn</v>
      </c>
      <c r="I5" s="4" t="str">
        <f>_xlfn.XLOOKUP(H5,B5,C5)</f>
        <v>South</v>
      </c>
      <c r="J5" s="4" t="str">
        <f>_xlfn.XLOOKUP(I5,C5,D5)</f>
        <v>North Nancyview</v>
      </c>
      <c r="K5" s="4" t="str">
        <f>_xlfn.XLOOKUP(J5,D5,E5)</f>
        <v>Outlet</v>
      </c>
    </row>
    <row r="6" spans="1:11" x14ac:dyDescent="0.25">
      <c r="A6" s="14" t="s">
        <v>25</v>
      </c>
      <c r="B6" s="4" t="str">
        <f>VLOOKUP(A6,'f Excel formulas for calculatio'!A:E,2,FALSE)</f>
        <v>Johnson-Wright</v>
      </c>
      <c r="C6" s="4" t="str">
        <f>VLOOKUP(B6,'f Excel formulas for calculatio'!B:F,2,FALSE)</f>
        <v>North</v>
      </c>
      <c r="D6" s="4" t="str">
        <f>VLOOKUP(C6,'f Excel formulas for calculatio'!C:G,2,FALSE)</f>
        <v>Danielmouth</v>
      </c>
      <c r="E6" s="4" t="str">
        <f>VLOOKUP(D6,'f Excel formulas for calculatio'!D:H,2,FALSE)</f>
        <v>Flagship</v>
      </c>
      <c r="G6" s="14" t="s">
        <v>25</v>
      </c>
      <c r="H6" s="4" t="str">
        <f>_xlfn.XLOOKUP(G6,A6,B6)</f>
        <v>Johnson-Wright</v>
      </c>
      <c r="I6" s="4" t="str">
        <f>_xlfn.XLOOKUP(H6,B6,C6)</f>
        <v>North</v>
      </c>
      <c r="J6" s="4" t="str">
        <f>_xlfn.XLOOKUP(I6,C6,D6)</f>
        <v>Danielmouth</v>
      </c>
      <c r="K6" s="4" t="str">
        <f>_xlfn.XLOOKUP(J6,D6,E6)</f>
        <v>Flagship</v>
      </c>
    </row>
    <row r="7" spans="1:11" x14ac:dyDescent="0.25">
      <c r="A7" s="13" t="s">
        <v>28</v>
      </c>
      <c r="B7" s="4" t="str">
        <f>VLOOKUP(A7,'f Excel formulas for calculatio'!A:E,2,FALSE)</f>
        <v>Alexander Group</v>
      </c>
      <c r="C7" s="4" t="str">
        <f>VLOOKUP(B7,'f Excel formulas for calculatio'!B:F,2,FALSE)</f>
        <v>South</v>
      </c>
      <c r="D7" s="4" t="str">
        <f>VLOOKUP(C7,'f Excel formulas for calculatio'!C:G,2,FALSE)</f>
        <v>North Nancyview</v>
      </c>
      <c r="E7" s="4" t="str">
        <f>VLOOKUP(D7,'f Excel formulas for calculatio'!D:H,2,FALSE)</f>
        <v>Outlet</v>
      </c>
      <c r="G7" s="13" t="s">
        <v>28</v>
      </c>
      <c r="H7" s="4" t="str">
        <f>_xlfn.XLOOKUP(G7,A7,B7)</f>
        <v>Alexander Group</v>
      </c>
      <c r="I7" s="4" t="str">
        <f>_xlfn.XLOOKUP(H7,B7,C7)</f>
        <v>South</v>
      </c>
      <c r="J7" s="4" t="str">
        <f>_xlfn.XLOOKUP(I7,C7,D7)</f>
        <v>North Nancyview</v>
      </c>
      <c r="K7" s="4" t="str">
        <f>_xlfn.XLOOKUP(J7,D7,E7)</f>
        <v>Outlet</v>
      </c>
    </row>
    <row r="8" spans="1:11" x14ac:dyDescent="0.25">
      <c r="A8" s="14" t="s">
        <v>32</v>
      </c>
      <c r="B8" s="4" t="str">
        <f>VLOOKUP(A8,'f Excel formulas for calculatio'!A:E,2,FALSE)</f>
        <v>Gray Ltd</v>
      </c>
      <c r="C8" s="4" t="str">
        <f>VLOOKUP(B8,'f Excel formulas for calculatio'!B:F,2,FALSE)</f>
        <v>North</v>
      </c>
      <c r="D8" s="4" t="str">
        <f>VLOOKUP(C8,'f Excel formulas for calculatio'!C:G,2,FALSE)</f>
        <v>Danielmouth</v>
      </c>
      <c r="E8" s="4" t="str">
        <f>VLOOKUP(D8,'f Excel formulas for calculatio'!D:H,2,FALSE)</f>
        <v>Flagship</v>
      </c>
      <c r="G8" s="14" t="s">
        <v>32</v>
      </c>
      <c r="H8" s="4" t="str">
        <f>_xlfn.XLOOKUP(G8,A8,B8)</f>
        <v>Gray Ltd</v>
      </c>
      <c r="I8" s="4" t="str">
        <f>_xlfn.XLOOKUP(H8,B8,C8)</f>
        <v>North</v>
      </c>
      <c r="J8" s="4" t="str">
        <f>_xlfn.XLOOKUP(I8,C8,D8)</f>
        <v>Danielmouth</v>
      </c>
      <c r="K8" s="4" t="str">
        <f>_xlfn.XLOOKUP(J8,D8,E8)</f>
        <v>Flagship</v>
      </c>
    </row>
    <row r="9" spans="1:11" x14ac:dyDescent="0.25">
      <c r="A9" s="13" t="s">
        <v>35</v>
      </c>
      <c r="B9" s="4" t="str">
        <f>VLOOKUP(A9,'f Excel formulas for calculatio'!A:E,2,FALSE)</f>
        <v>Benson-Elliott</v>
      </c>
      <c r="C9" s="4" t="str">
        <f>VLOOKUP(B9,'f Excel formulas for calculatio'!B:F,2,FALSE)</f>
        <v>East</v>
      </c>
      <c r="D9" s="4" t="str">
        <f>VLOOKUP(C9,'f Excel formulas for calculatio'!C:G,2,FALSE)</f>
        <v>Washingtonfurt</v>
      </c>
      <c r="E9" s="4" t="str">
        <f>VLOOKUP(D9,'f Excel formulas for calculatio'!D:H,2,FALSE)</f>
        <v>Flagship</v>
      </c>
      <c r="G9" s="13" t="s">
        <v>35</v>
      </c>
      <c r="H9" s="4" t="str">
        <f>_xlfn.XLOOKUP(G9,A9,B9)</f>
        <v>Benson-Elliott</v>
      </c>
      <c r="I9" s="4" t="str">
        <f>_xlfn.XLOOKUP(H9,B9,C9)</f>
        <v>East</v>
      </c>
      <c r="J9" s="4" t="str">
        <f>_xlfn.XLOOKUP(I9,C9,D9)</f>
        <v>Washingtonfurt</v>
      </c>
      <c r="K9" s="4" t="str">
        <f>_xlfn.XLOOKUP(J9,D9,E9)</f>
        <v>Flagship</v>
      </c>
    </row>
    <row r="10" spans="1:11" x14ac:dyDescent="0.25">
      <c r="A10" s="14" t="s">
        <v>38</v>
      </c>
      <c r="B10" s="4" t="str">
        <f>VLOOKUP(A10,'f Excel formulas for calculatio'!A:E,2,FALSE)</f>
        <v>Martinez-Mullins</v>
      </c>
      <c r="C10" s="4" t="str">
        <f>VLOOKUP(B10,'f Excel formulas for calculatio'!B:F,2,FALSE)</f>
        <v>South</v>
      </c>
      <c r="D10" s="4" t="str">
        <f>VLOOKUP(C10,'f Excel formulas for calculatio'!C:G,2,FALSE)</f>
        <v>North Nancyview</v>
      </c>
      <c r="E10" s="4" t="str">
        <f>VLOOKUP(D10,'f Excel formulas for calculatio'!D:H,2,FALSE)</f>
        <v>Outlet</v>
      </c>
      <c r="G10" s="14" t="s">
        <v>38</v>
      </c>
      <c r="H10" s="4" t="str">
        <f>_xlfn.XLOOKUP(G10,A10,B10)</f>
        <v>Martinez-Mullins</v>
      </c>
      <c r="I10" s="4" t="str">
        <f>_xlfn.XLOOKUP(H10,B10,C10)</f>
        <v>South</v>
      </c>
      <c r="J10" s="4" t="str">
        <f>_xlfn.XLOOKUP(I10,C10,D10)</f>
        <v>North Nancyview</v>
      </c>
      <c r="K10" s="4" t="str">
        <f>_xlfn.XLOOKUP(J10,D10,E10)</f>
        <v>Outlet</v>
      </c>
    </row>
    <row r="11" spans="1:11" x14ac:dyDescent="0.25">
      <c r="A11" s="13" t="s">
        <v>41</v>
      </c>
      <c r="B11" s="4" t="str">
        <f>VLOOKUP(A11,'f Excel formulas for calculatio'!A:E,2,FALSE)</f>
        <v>Bean, Jones and Park</v>
      </c>
      <c r="C11" s="4" t="str">
        <f>VLOOKUP(B11,'f Excel formulas for calculatio'!B:F,2,FALSE)</f>
        <v>West</v>
      </c>
      <c r="D11" s="4" t="str">
        <f>VLOOKUP(C11,'f Excel formulas for calculatio'!C:G,2,FALSE)</f>
        <v>Thompsonborough</v>
      </c>
      <c r="E11" s="4" t="str">
        <f>VLOOKUP(D11,'f Excel formulas for calculatio'!D:H,2,FALSE)</f>
        <v>Online</v>
      </c>
      <c r="G11" s="13" t="s">
        <v>41</v>
      </c>
      <c r="H11" s="4" t="str">
        <f>_xlfn.XLOOKUP(G11,A11,B11)</f>
        <v>Bean, Jones and Park</v>
      </c>
      <c r="I11" s="4" t="str">
        <f>_xlfn.XLOOKUP(H11,B11,C11)</f>
        <v>West</v>
      </c>
      <c r="J11" s="4" t="str">
        <f>_xlfn.XLOOKUP(I11,C11,D11)</f>
        <v>Thompsonborough</v>
      </c>
      <c r="K11" s="4" t="str">
        <f>_xlfn.XLOOKUP(J11,D11,E11)</f>
        <v>Online</v>
      </c>
    </row>
    <row r="12" spans="1:11" x14ac:dyDescent="0.25">
      <c r="A12" s="14" t="s">
        <v>45</v>
      </c>
      <c r="B12" s="4" t="str">
        <f>VLOOKUP(A12,'f Excel formulas for calculatio'!A:E,2,FALSE)</f>
        <v>Moore, Padilla and Butler</v>
      </c>
      <c r="C12" s="4" t="str">
        <f>VLOOKUP(B12,'f Excel formulas for calculatio'!B:F,2,FALSE)</f>
        <v>South</v>
      </c>
      <c r="D12" s="4" t="str">
        <f>VLOOKUP(C12,'f Excel formulas for calculatio'!C:G,2,FALSE)</f>
        <v>North Nancyview</v>
      </c>
      <c r="E12" s="4" t="str">
        <f>VLOOKUP(D12,'f Excel formulas for calculatio'!D:H,2,FALSE)</f>
        <v>Outlet</v>
      </c>
      <c r="G12" s="14" t="s">
        <v>45</v>
      </c>
      <c r="H12" s="4" t="str">
        <f>_xlfn.XLOOKUP(G12,A12,B12)</f>
        <v>Moore, Padilla and Butler</v>
      </c>
      <c r="I12" s="4" t="str">
        <f>_xlfn.XLOOKUP(H12,B12,C12)</f>
        <v>South</v>
      </c>
      <c r="J12" s="4" t="str">
        <f>_xlfn.XLOOKUP(I12,C12,D12)</f>
        <v>North Nancyview</v>
      </c>
      <c r="K12" s="4" t="str">
        <f>_xlfn.XLOOKUP(J12,D12,E12)</f>
        <v>Outlet</v>
      </c>
    </row>
    <row r="13" spans="1:11" x14ac:dyDescent="0.25">
      <c r="A13" s="13" t="s">
        <v>48</v>
      </c>
      <c r="B13" s="4" t="str">
        <f>VLOOKUP(A13,'f Excel formulas for calculatio'!A:E,2,FALSE)</f>
        <v>Hill, Wagner and Ballard</v>
      </c>
      <c r="C13" s="4" t="str">
        <f>VLOOKUP(B13,'f Excel formulas for calculatio'!B:F,2,FALSE)</f>
        <v>East</v>
      </c>
      <c r="D13" s="4" t="str">
        <f>VLOOKUP(C13,'f Excel formulas for calculatio'!C:G,2,FALSE)</f>
        <v>Washingtonfurt</v>
      </c>
      <c r="E13" s="4" t="str">
        <f>VLOOKUP(D13,'f Excel formulas for calculatio'!D:H,2,FALSE)</f>
        <v>Flagship</v>
      </c>
      <c r="G13" s="13" t="s">
        <v>48</v>
      </c>
      <c r="H13" s="4" t="str">
        <f>_xlfn.XLOOKUP(G13,A13,B13)</f>
        <v>Hill, Wagner and Ballard</v>
      </c>
      <c r="I13" s="4" t="str">
        <f>_xlfn.XLOOKUP(H13,B13,C13)</f>
        <v>East</v>
      </c>
      <c r="J13" s="4" t="str">
        <f>_xlfn.XLOOKUP(I13,C13,D13)</f>
        <v>Washingtonfurt</v>
      </c>
      <c r="K13" s="4" t="str">
        <f>_xlfn.XLOOKUP(J13,D13,E13)</f>
        <v>Flagship</v>
      </c>
    </row>
    <row r="14" spans="1:11" x14ac:dyDescent="0.25">
      <c r="A14" s="14" t="s">
        <v>51</v>
      </c>
      <c r="B14" s="4" t="str">
        <f>VLOOKUP(A14,'f Excel formulas for calculatio'!A:E,2,FALSE)</f>
        <v>Aguirre-Keller</v>
      </c>
      <c r="C14" s="4" t="str">
        <f>VLOOKUP(B14,'f Excel formulas for calculatio'!B:F,2,FALSE)</f>
        <v>South</v>
      </c>
      <c r="D14" s="4" t="str">
        <f>VLOOKUP(C14,'f Excel formulas for calculatio'!C:G,2,FALSE)</f>
        <v>North Nancyview</v>
      </c>
      <c r="E14" s="4" t="str">
        <f>VLOOKUP(D14,'f Excel formulas for calculatio'!D:H,2,FALSE)</f>
        <v>Outlet</v>
      </c>
      <c r="G14" s="14" t="s">
        <v>51</v>
      </c>
      <c r="H14" s="4" t="str">
        <f>_xlfn.XLOOKUP(G14,A14,B14)</f>
        <v>Aguirre-Keller</v>
      </c>
      <c r="I14" s="4" t="str">
        <f>_xlfn.XLOOKUP(H14,B14,C14)</f>
        <v>South</v>
      </c>
      <c r="J14" s="4" t="str">
        <f>_xlfn.XLOOKUP(I14,C14,D14)</f>
        <v>North Nancyview</v>
      </c>
      <c r="K14" s="4" t="str">
        <f>_xlfn.XLOOKUP(J14,D14,E14)</f>
        <v>Outlet</v>
      </c>
    </row>
    <row r="15" spans="1:11" x14ac:dyDescent="0.25">
      <c r="A15" s="13" t="s">
        <v>54</v>
      </c>
      <c r="B15" s="4" t="str">
        <f>VLOOKUP(A15,'f Excel formulas for calculatio'!A:E,2,FALSE)</f>
        <v>Thomas, Bridges and Harris</v>
      </c>
      <c r="C15" s="4" t="str">
        <f>VLOOKUP(B15,'f Excel formulas for calculatio'!B:F,2,FALSE)</f>
        <v>North</v>
      </c>
      <c r="D15" s="4" t="str">
        <f>VLOOKUP(C15,'f Excel formulas for calculatio'!C:G,2,FALSE)</f>
        <v>Danielmouth</v>
      </c>
      <c r="E15" s="4" t="str">
        <f>VLOOKUP(D15,'f Excel formulas for calculatio'!D:H,2,FALSE)</f>
        <v>Flagship</v>
      </c>
      <c r="G15" s="13" t="s">
        <v>54</v>
      </c>
      <c r="H15" s="4" t="str">
        <f>_xlfn.XLOOKUP(G15,A15,B15)</f>
        <v>Thomas, Bridges and Harris</v>
      </c>
      <c r="I15" s="4" t="str">
        <f>_xlfn.XLOOKUP(H15,B15,C15)</f>
        <v>North</v>
      </c>
      <c r="J15" s="4" t="str">
        <f>_xlfn.XLOOKUP(I15,C15,D15)</f>
        <v>Danielmouth</v>
      </c>
      <c r="K15" s="4" t="str">
        <f>_xlfn.XLOOKUP(J15,D15,E15)</f>
        <v>Flagship</v>
      </c>
    </row>
    <row r="16" spans="1:11" x14ac:dyDescent="0.25">
      <c r="A16" s="14" t="s">
        <v>57</v>
      </c>
      <c r="B16" s="4" t="str">
        <f>VLOOKUP(A16,'f Excel formulas for calculatio'!A:E,2,FALSE)</f>
        <v>Gardner, Humphrey and Contreras</v>
      </c>
      <c r="C16" s="4" t="str">
        <f>VLOOKUP(B16,'f Excel formulas for calculatio'!B:F,2,FALSE)</f>
        <v>East</v>
      </c>
      <c r="D16" s="4" t="str">
        <f>VLOOKUP(C16,'f Excel formulas for calculatio'!C:G,2,FALSE)</f>
        <v>Washingtonfurt</v>
      </c>
      <c r="E16" s="4" t="str">
        <f>VLOOKUP(D16,'f Excel formulas for calculatio'!D:H,2,FALSE)</f>
        <v>Flagship</v>
      </c>
      <c r="G16" s="14" t="s">
        <v>57</v>
      </c>
      <c r="H16" s="4" t="str">
        <f>_xlfn.XLOOKUP(G16,A16,B16)</f>
        <v>Gardner, Humphrey and Contreras</v>
      </c>
      <c r="I16" s="4" t="str">
        <f>_xlfn.XLOOKUP(H16,B16,C16)</f>
        <v>East</v>
      </c>
      <c r="J16" s="4" t="str">
        <f>_xlfn.XLOOKUP(I16,C16,D16)</f>
        <v>Washingtonfurt</v>
      </c>
      <c r="K16" s="4" t="str">
        <f>_xlfn.XLOOKUP(J16,D16,E16)</f>
        <v>Flagship</v>
      </c>
    </row>
    <row r="17" spans="1:11" x14ac:dyDescent="0.25">
      <c r="A17" s="13" t="s">
        <v>60</v>
      </c>
      <c r="B17" s="4" t="str">
        <f>VLOOKUP(A17,'f Excel formulas for calculatio'!A:E,2,FALSE)</f>
        <v>Mcdonald Inc</v>
      </c>
      <c r="C17" s="4" t="str">
        <f>VLOOKUP(B17,'f Excel formulas for calculatio'!B:F,2,FALSE)</f>
        <v>South</v>
      </c>
      <c r="D17" s="4" t="str">
        <f>VLOOKUP(C17,'f Excel formulas for calculatio'!C:G,2,FALSE)</f>
        <v>North Nancyview</v>
      </c>
      <c r="E17" s="4" t="str">
        <f>VLOOKUP(D17,'f Excel formulas for calculatio'!D:H,2,FALSE)</f>
        <v>Outlet</v>
      </c>
      <c r="G17" s="13" t="s">
        <v>60</v>
      </c>
      <c r="H17" s="4" t="str">
        <f>_xlfn.XLOOKUP(G17,A17,B17)</f>
        <v>Mcdonald Inc</v>
      </c>
      <c r="I17" s="4" t="str">
        <f>_xlfn.XLOOKUP(H17,B17,C17)</f>
        <v>South</v>
      </c>
      <c r="J17" s="4" t="str">
        <f>_xlfn.XLOOKUP(I17,C17,D17)</f>
        <v>North Nancyview</v>
      </c>
      <c r="K17" s="4" t="str">
        <f>_xlfn.XLOOKUP(J17,D17,E17)</f>
        <v>Outlet</v>
      </c>
    </row>
    <row r="18" spans="1:11" x14ac:dyDescent="0.25">
      <c r="A18" s="14" t="s">
        <v>63</v>
      </c>
      <c r="B18" s="4" t="str">
        <f>VLOOKUP(A18,'f Excel formulas for calculatio'!A:E,2,FALSE)</f>
        <v>Shelton PLC</v>
      </c>
      <c r="C18" s="4" t="str">
        <f>VLOOKUP(B18,'f Excel formulas for calculatio'!B:F,2,FALSE)</f>
        <v>North</v>
      </c>
      <c r="D18" s="4" t="str">
        <f>VLOOKUP(C18,'f Excel formulas for calculatio'!C:G,2,FALSE)</f>
        <v>Danielmouth</v>
      </c>
      <c r="E18" s="4" t="str">
        <f>VLOOKUP(D18,'f Excel formulas for calculatio'!D:H,2,FALSE)</f>
        <v>Flagship</v>
      </c>
      <c r="G18" s="14" t="s">
        <v>63</v>
      </c>
      <c r="H18" s="4" t="str">
        <f>_xlfn.XLOOKUP(G18,A18,B18)</f>
        <v>Shelton PLC</v>
      </c>
      <c r="I18" s="4" t="str">
        <f>_xlfn.XLOOKUP(H18,B18,C18)</f>
        <v>North</v>
      </c>
      <c r="J18" s="4" t="str">
        <f>_xlfn.XLOOKUP(I18,C18,D18)</f>
        <v>Danielmouth</v>
      </c>
      <c r="K18" s="4" t="str">
        <f>_xlfn.XLOOKUP(J18,D18,E18)</f>
        <v>Flagship</v>
      </c>
    </row>
    <row r="19" spans="1:11" x14ac:dyDescent="0.25">
      <c r="A19" s="13" t="s">
        <v>66</v>
      </c>
      <c r="B19" s="4" t="str">
        <f>VLOOKUP(A19,'f Excel formulas for calculatio'!A:E,2,FALSE)</f>
        <v>Frederick-Wright</v>
      </c>
      <c r="C19" s="4" t="str">
        <f>VLOOKUP(B19,'f Excel formulas for calculatio'!B:F,2,FALSE)</f>
        <v>West</v>
      </c>
      <c r="D19" s="4" t="str">
        <f>VLOOKUP(C19,'f Excel formulas for calculatio'!C:G,2,FALSE)</f>
        <v>Thompsonborough</v>
      </c>
      <c r="E19" s="4" t="str">
        <f>VLOOKUP(D19,'f Excel formulas for calculatio'!D:H,2,FALSE)</f>
        <v>Online</v>
      </c>
      <c r="G19" s="13" t="s">
        <v>66</v>
      </c>
      <c r="H19" s="4" t="str">
        <f>_xlfn.XLOOKUP(G19,A19,B19)</f>
        <v>Frederick-Wright</v>
      </c>
      <c r="I19" s="4" t="str">
        <f>_xlfn.XLOOKUP(H19,B19,C19)</f>
        <v>West</v>
      </c>
      <c r="J19" s="4" t="str">
        <f>_xlfn.XLOOKUP(I19,C19,D19)</f>
        <v>Thompsonborough</v>
      </c>
      <c r="K19" s="4" t="str">
        <f>_xlfn.XLOOKUP(J19,D19,E19)</f>
        <v>Online</v>
      </c>
    </row>
    <row r="20" spans="1:11" x14ac:dyDescent="0.25">
      <c r="A20" s="14" t="s">
        <v>69</v>
      </c>
      <c r="B20" s="4" t="str">
        <f>VLOOKUP(A20,'f Excel formulas for calculatio'!A:E,2,FALSE)</f>
        <v>Holloway Ltd</v>
      </c>
      <c r="C20" s="4" t="str">
        <f>VLOOKUP(B20,'f Excel formulas for calculatio'!B:F,2,FALSE)</f>
        <v>North</v>
      </c>
      <c r="D20" s="4" t="str">
        <f>VLOOKUP(C20,'f Excel formulas for calculatio'!C:G,2,FALSE)</f>
        <v>Danielmouth</v>
      </c>
      <c r="E20" s="4" t="str">
        <f>VLOOKUP(D20,'f Excel formulas for calculatio'!D:H,2,FALSE)</f>
        <v>Flagship</v>
      </c>
      <c r="G20" s="14" t="s">
        <v>69</v>
      </c>
      <c r="H20" s="4" t="str">
        <f>_xlfn.XLOOKUP(G20,A20,B20)</f>
        <v>Holloway Ltd</v>
      </c>
      <c r="I20" s="4" t="str">
        <f>_xlfn.XLOOKUP(H20,B20,C20)</f>
        <v>North</v>
      </c>
      <c r="J20" s="4" t="str">
        <f>_xlfn.XLOOKUP(I20,C20,D20)</f>
        <v>Danielmouth</v>
      </c>
      <c r="K20" s="4" t="str">
        <f>_xlfn.XLOOKUP(J20,D20,E20)</f>
        <v>Flagship</v>
      </c>
    </row>
    <row r="21" spans="1:11" x14ac:dyDescent="0.25">
      <c r="A21" s="13" t="s">
        <v>72</v>
      </c>
      <c r="B21" s="4" t="str">
        <f>VLOOKUP(A21,'f Excel formulas for calculatio'!A:E,2,FALSE)</f>
        <v>Guerrero-Schmitt</v>
      </c>
      <c r="C21" s="4" t="str">
        <f>VLOOKUP(B21,'f Excel formulas for calculatio'!B:F,2,FALSE)</f>
        <v>East</v>
      </c>
      <c r="D21" s="4" t="str">
        <f>VLOOKUP(C21,'f Excel formulas for calculatio'!C:G,2,FALSE)</f>
        <v>Washingtonfurt</v>
      </c>
      <c r="E21" s="4" t="str">
        <f>VLOOKUP(D21,'f Excel formulas for calculatio'!D:H,2,FALSE)</f>
        <v>Flagship</v>
      </c>
      <c r="G21" s="13" t="s">
        <v>72</v>
      </c>
      <c r="H21" s="4" t="str">
        <f>_xlfn.XLOOKUP(G21,A21,B21)</f>
        <v>Guerrero-Schmitt</v>
      </c>
      <c r="I21" s="4" t="str">
        <f>_xlfn.XLOOKUP(H21,B21,C21)</f>
        <v>East</v>
      </c>
      <c r="J21" s="4" t="str">
        <f>_xlfn.XLOOKUP(I21,C21,D21)</f>
        <v>Washingtonfurt</v>
      </c>
      <c r="K21" s="4" t="str">
        <f>_xlfn.XLOOKUP(J21,D21,E21)</f>
        <v>Flagship</v>
      </c>
    </row>
    <row r="22" spans="1:11" x14ac:dyDescent="0.25">
      <c r="A22" s="15" t="s">
        <v>75</v>
      </c>
      <c r="B22" s="4" t="str">
        <f>VLOOKUP(A22,'f Excel formulas for calculatio'!A:E,2,FALSE)</f>
        <v>Mann-Austin</v>
      </c>
      <c r="C22" s="4" t="str">
        <f>VLOOKUP(B22,'f Excel formulas for calculatio'!B:F,2,FALSE)</f>
        <v>East</v>
      </c>
      <c r="D22" s="4" t="str">
        <f>VLOOKUP(C22,'f Excel formulas for calculatio'!C:G,2,FALSE)</f>
        <v>Washingtonfurt</v>
      </c>
      <c r="E22" s="4" t="str">
        <f>VLOOKUP(D22,'f Excel formulas for calculatio'!D:H,2,FALSE)</f>
        <v>Flagship</v>
      </c>
      <c r="G22" s="15" t="s">
        <v>75</v>
      </c>
      <c r="H22" s="4" t="str">
        <f>_xlfn.XLOOKUP(G22,A22,B22)</f>
        <v>Mann-Austin</v>
      </c>
      <c r="I22" s="4" t="str">
        <f>_xlfn.XLOOKUP(H22,B22,C22)</f>
        <v>East</v>
      </c>
      <c r="J22" s="4" t="str">
        <f>_xlfn.XLOOKUP(I22,C22,D22)</f>
        <v>Washingtonfurt</v>
      </c>
      <c r="K22" s="4" t="str">
        <f>_xlfn.XLOOKUP(J22,D22,E22)</f>
        <v>Flagship</v>
      </c>
    </row>
  </sheetData>
  <mergeCells count="2">
    <mergeCell ref="A1:E1"/>
    <mergeCell ref="G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243E2-FD9C-4BD7-AA81-6B1CC7086863}">
  <dimension ref="A3:B7"/>
  <sheetViews>
    <sheetView topLeftCell="A3" workbookViewId="0">
      <selection activeCell="M18" sqref="M18"/>
    </sheetView>
  </sheetViews>
  <sheetFormatPr defaultRowHeight="15" x14ac:dyDescent="0.25"/>
  <cols>
    <col min="1" max="1" width="13.140625" bestFit="1" customWidth="1"/>
    <col min="2" max="2" width="15.28515625" bestFit="1" customWidth="1"/>
    <col min="3" max="3" width="12.42578125" bestFit="1" customWidth="1"/>
    <col min="4" max="4" width="16.7109375" bestFit="1" customWidth="1"/>
  </cols>
  <sheetData>
    <row r="3" spans="1:2" x14ac:dyDescent="0.25">
      <c r="A3" s="5" t="s">
        <v>3</v>
      </c>
      <c r="B3" t="s">
        <v>81</v>
      </c>
    </row>
    <row r="4" spans="1:2" x14ac:dyDescent="0.25">
      <c r="A4" s="6" t="s">
        <v>15</v>
      </c>
      <c r="B4" s="16">
        <v>8</v>
      </c>
    </row>
    <row r="5" spans="1:2" x14ac:dyDescent="0.25">
      <c r="A5" s="6" t="s">
        <v>31</v>
      </c>
      <c r="B5" s="16">
        <v>8</v>
      </c>
    </row>
    <row r="6" spans="1:2" x14ac:dyDescent="0.25">
      <c r="A6" s="6" t="s">
        <v>24</v>
      </c>
      <c r="B6" s="16">
        <v>4</v>
      </c>
    </row>
    <row r="7" spans="1:2" x14ac:dyDescent="0.25">
      <c r="A7" s="6" t="s">
        <v>4</v>
      </c>
      <c r="B7" s="16">
        <v>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05ACD-497A-4111-8778-937E191B291D}">
  <dimension ref="A1:I21"/>
  <sheetViews>
    <sheetView zoomScale="70" zoomScaleNormal="70" workbookViewId="0">
      <selection sqref="A1:E21"/>
    </sheetView>
  </sheetViews>
  <sheetFormatPr defaultRowHeight="15" x14ac:dyDescent="0.25"/>
  <cols>
    <col min="1" max="1" width="13.140625" bestFit="1" customWidth="1"/>
    <col min="2" max="2" width="31.85546875" bestFit="1" customWidth="1"/>
    <col min="3" max="3" width="11.7109375" bestFit="1" customWidth="1"/>
    <col min="4" max="4" width="19.42578125" bestFit="1" customWidth="1"/>
    <col min="5" max="5" width="15.5703125" bestFit="1" customWidth="1"/>
  </cols>
  <sheetData>
    <row r="1" spans="1:9" x14ac:dyDescent="0.25">
      <c r="A1" s="1" t="s">
        <v>6</v>
      </c>
      <c r="B1" s="1" t="s">
        <v>7</v>
      </c>
      <c r="C1" s="1" t="s">
        <v>8</v>
      </c>
      <c r="D1" s="1" t="s">
        <v>9</v>
      </c>
      <c r="E1" s="1" t="s">
        <v>10</v>
      </c>
    </row>
    <row r="2" spans="1:9" x14ac:dyDescent="0.25">
      <c r="A2" s="10" t="s">
        <v>11</v>
      </c>
      <c r="B2" s="10" t="s">
        <v>12</v>
      </c>
      <c r="C2" s="10" t="s">
        <v>13</v>
      </c>
      <c r="D2" s="10" t="s">
        <v>14</v>
      </c>
      <c r="E2" s="10" t="s">
        <v>15</v>
      </c>
    </row>
    <row r="3" spans="1:9" x14ac:dyDescent="0.25">
      <c r="A3" s="10" t="s">
        <v>16</v>
      </c>
      <c r="B3" s="10" t="s">
        <v>17</v>
      </c>
      <c r="C3" s="10" t="s">
        <v>18</v>
      </c>
      <c r="D3" s="10" t="s">
        <v>19</v>
      </c>
      <c r="E3" s="10" t="s">
        <v>15</v>
      </c>
    </row>
    <row r="4" spans="1:9" x14ac:dyDescent="0.25">
      <c r="A4" s="10" t="s">
        <v>20</v>
      </c>
      <c r="B4" s="10" t="s">
        <v>21</v>
      </c>
      <c r="C4" s="10" t="s">
        <v>22</v>
      </c>
      <c r="D4" s="10" t="s">
        <v>23</v>
      </c>
      <c r="E4" s="10" t="s">
        <v>24</v>
      </c>
    </row>
    <row r="5" spans="1:9" x14ac:dyDescent="0.25">
      <c r="A5" s="10" t="s">
        <v>25</v>
      </c>
      <c r="B5" s="10" t="s">
        <v>26</v>
      </c>
      <c r="C5" s="10" t="s">
        <v>18</v>
      </c>
      <c r="D5" s="10" t="s">
        <v>27</v>
      </c>
      <c r="E5" s="10" t="s">
        <v>24</v>
      </c>
    </row>
    <row r="6" spans="1:9" x14ac:dyDescent="0.25">
      <c r="A6" s="10" t="s">
        <v>28</v>
      </c>
      <c r="B6" s="10" t="s">
        <v>29</v>
      </c>
      <c r="C6" s="10" t="s">
        <v>22</v>
      </c>
      <c r="D6" s="10" t="s">
        <v>30</v>
      </c>
      <c r="E6" s="10" t="s">
        <v>31</v>
      </c>
    </row>
    <row r="7" spans="1:9" x14ac:dyDescent="0.25">
      <c r="A7" s="10" t="s">
        <v>32</v>
      </c>
      <c r="B7" s="10" t="s">
        <v>33</v>
      </c>
      <c r="C7" s="10" t="s">
        <v>18</v>
      </c>
      <c r="D7" s="10" t="s">
        <v>34</v>
      </c>
      <c r="E7" s="10" t="s">
        <v>24</v>
      </c>
    </row>
    <row r="8" spans="1:9" x14ac:dyDescent="0.25">
      <c r="A8" s="10" t="s">
        <v>35</v>
      </c>
      <c r="B8" s="10" t="s">
        <v>36</v>
      </c>
      <c r="C8" s="10" t="s">
        <v>13</v>
      </c>
      <c r="D8" s="10" t="s">
        <v>37</v>
      </c>
      <c r="E8" s="10" t="s">
        <v>31</v>
      </c>
      <c r="I8" t="s">
        <v>82</v>
      </c>
    </row>
    <row r="9" spans="1:9" x14ac:dyDescent="0.25">
      <c r="A9" s="10" t="s">
        <v>38</v>
      </c>
      <c r="B9" s="10" t="s">
        <v>39</v>
      </c>
      <c r="C9" s="10" t="s">
        <v>22</v>
      </c>
      <c r="D9" s="10" t="s">
        <v>40</v>
      </c>
      <c r="E9" s="10" t="s">
        <v>31</v>
      </c>
    </row>
    <row r="10" spans="1:9" x14ac:dyDescent="0.25">
      <c r="A10" s="10" t="s">
        <v>41</v>
      </c>
      <c r="B10" s="10" t="s">
        <v>42</v>
      </c>
      <c r="C10" s="10" t="s">
        <v>43</v>
      </c>
      <c r="D10" s="10" t="s">
        <v>44</v>
      </c>
      <c r="E10" s="10" t="s">
        <v>31</v>
      </c>
    </row>
    <row r="11" spans="1:9" x14ac:dyDescent="0.25">
      <c r="A11" s="10" t="s">
        <v>45</v>
      </c>
      <c r="B11" s="10" t="s">
        <v>46</v>
      </c>
      <c r="C11" s="10" t="s">
        <v>22</v>
      </c>
      <c r="D11" s="10" t="s">
        <v>47</v>
      </c>
      <c r="E11" s="10" t="s">
        <v>15</v>
      </c>
    </row>
    <row r="12" spans="1:9" x14ac:dyDescent="0.25">
      <c r="A12" s="10" t="s">
        <v>48</v>
      </c>
      <c r="B12" s="10" t="s">
        <v>49</v>
      </c>
      <c r="C12" s="10" t="s">
        <v>13</v>
      </c>
      <c r="D12" s="10" t="s">
        <v>50</v>
      </c>
      <c r="E12" s="10" t="s">
        <v>31</v>
      </c>
    </row>
    <row r="13" spans="1:9" x14ac:dyDescent="0.25">
      <c r="A13" s="10" t="s">
        <v>51</v>
      </c>
      <c r="B13" s="10" t="s">
        <v>52</v>
      </c>
      <c r="C13" s="10" t="s">
        <v>22</v>
      </c>
      <c r="D13" s="10" t="s">
        <v>53</v>
      </c>
      <c r="E13" s="10" t="s">
        <v>31</v>
      </c>
    </row>
    <row r="14" spans="1:9" x14ac:dyDescent="0.25">
      <c r="A14" s="10" t="s">
        <v>54</v>
      </c>
      <c r="B14" s="10" t="s">
        <v>55</v>
      </c>
      <c r="C14" s="10" t="s">
        <v>18</v>
      </c>
      <c r="D14" s="10" t="s">
        <v>56</v>
      </c>
      <c r="E14" s="10" t="s">
        <v>31</v>
      </c>
    </row>
    <row r="15" spans="1:9" x14ac:dyDescent="0.25">
      <c r="A15" s="10" t="s">
        <v>57</v>
      </c>
      <c r="B15" s="10" t="s">
        <v>58</v>
      </c>
      <c r="C15" s="10" t="s">
        <v>13</v>
      </c>
      <c r="D15" s="10" t="s">
        <v>59</v>
      </c>
      <c r="E15" s="10" t="s">
        <v>15</v>
      </c>
    </row>
    <row r="16" spans="1:9" x14ac:dyDescent="0.25">
      <c r="A16" s="10" t="s">
        <v>60</v>
      </c>
      <c r="B16" s="10" t="s">
        <v>61</v>
      </c>
      <c r="C16" s="10" t="s">
        <v>22</v>
      </c>
      <c r="D16" s="10" t="s">
        <v>62</v>
      </c>
      <c r="E16" s="10" t="s">
        <v>24</v>
      </c>
    </row>
    <row r="17" spans="1:5" x14ac:dyDescent="0.25">
      <c r="A17" s="10" t="s">
        <v>63</v>
      </c>
      <c r="B17" s="10" t="s">
        <v>64</v>
      </c>
      <c r="C17" s="10" t="s">
        <v>18</v>
      </c>
      <c r="D17" s="10" t="s">
        <v>65</v>
      </c>
      <c r="E17" s="10" t="s">
        <v>15</v>
      </c>
    </row>
    <row r="18" spans="1:5" x14ac:dyDescent="0.25">
      <c r="A18" s="10" t="s">
        <v>66</v>
      </c>
      <c r="B18" s="10" t="s">
        <v>67</v>
      </c>
      <c r="C18" s="10" t="s">
        <v>43</v>
      </c>
      <c r="D18" s="10" t="s">
        <v>68</v>
      </c>
      <c r="E18" s="10" t="s">
        <v>15</v>
      </c>
    </row>
    <row r="19" spans="1:5" x14ac:dyDescent="0.25">
      <c r="A19" s="10" t="s">
        <v>69</v>
      </c>
      <c r="B19" s="10" t="s">
        <v>70</v>
      </c>
      <c r="C19" s="10" t="s">
        <v>18</v>
      </c>
      <c r="D19" s="10" t="s">
        <v>71</v>
      </c>
      <c r="E19" s="10" t="s">
        <v>15</v>
      </c>
    </row>
    <row r="20" spans="1:5" x14ac:dyDescent="0.25">
      <c r="A20" s="10" t="s">
        <v>72</v>
      </c>
      <c r="B20" s="10" t="s">
        <v>73</v>
      </c>
      <c r="C20" s="10" t="s">
        <v>13</v>
      </c>
      <c r="D20" s="10" t="s">
        <v>74</v>
      </c>
      <c r="E20" s="10" t="s">
        <v>15</v>
      </c>
    </row>
    <row r="21" spans="1:5" x14ac:dyDescent="0.25">
      <c r="A21" s="10" t="s">
        <v>75</v>
      </c>
      <c r="B21" s="10" t="s">
        <v>76</v>
      </c>
      <c r="C21" s="10" t="s">
        <v>13</v>
      </c>
      <c r="D21" s="10" t="s">
        <v>77</v>
      </c>
      <c r="E21" s="10" t="s">
        <v>31</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9D8C7-BF1D-4122-88E6-35A7180593A5}">
  <dimension ref="A3:B7"/>
  <sheetViews>
    <sheetView workbookViewId="0">
      <selection activeCell="A3" sqref="A3"/>
    </sheetView>
  </sheetViews>
  <sheetFormatPr defaultRowHeight="15" x14ac:dyDescent="0.25"/>
  <cols>
    <col min="1" max="1" width="9.42578125" bestFit="1" customWidth="1"/>
    <col min="2" max="2" width="16.7109375" bestFit="1" customWidth="1"/>
  </cols>
  <sheetData>
    <row r="3" spans="1:2" x14ac:dyDescent="0.25">
      <c r="A3" s="5" t="s">
        <v>8</v>
      </c>
      <c r="B3" t="s">
        <v>80</v>
      </c>
    </row>
    <row r="4" spans="1:2" x14ac:dyDescent="0.25">
      <c r="A4" s="10" t="s">
        <v>13</v>
      </c>
      <c r="B4" s="16">
        <v>6</v>
      </c>
    </row>
    <row r="5" spans="1:2" x14ac:dyDescent="0.25">
      <c r="A5" s="10" t="s">
        <v>18</v>
      </c>
      <c r="B5" s="16">
        <v>6</v>
      </c>
    </row>
    <row r="6" spans="1:2" x14ac:dyDescent="0.25">
      <c r="A6" s="10" t="s">
        <v>22</v>
      </c>
      <c r="B6" s="16">
        <v>6</v>
      </c>
    </row>
    <row r="7" spans="1:2" x14ac:dyDescent="0.25">
      <c r="A7" s="10" t="s">
        <v>43</v>
      </c>
      <c r="B7" s="16">
        <v>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94647-E5BA-4DB1-81AC-C034F0FF1579}">
  <dimension ref="A1:E21"/>
  <sheetViews>
    <sheetView tabSelected="1" topLeftCell="A15" zoomScale="70" zoomScaleNormal="70" workbookViewId="0">
      <selection activeCell="J35" sqref="J35"/>
    </sheetView>
  </sheetViews>
  <sheetFormatPr defaultRowHeight="15" x14ac:dyDescent="0.25"/>
  <cols>
    <col min="1" max="1" width="13.140625" bestFit="1" customWidth="1"/>
    <col min="2" max="2" width="31.85546875" bestFit="1" customWidth="1"/>
    <col min="3" max="3" width="11.7109375" bestFit="1" customWidth="1"/>
    <col min="4" max="4" width="19.42578125" bestFit="1" customWidth="1"/>
    <col min="5" max="5" width="15.5703125" bestFit="1" customWidth="1"/>
  </cols>
  <sheetData>
    <row r="1" spans="1:5" x14ac:dyDescent="0.25">
      <c r="A1" s="1" t="s">
        <v>6</v>
      </c>
      <c r="B1" s="1" t="s">
        <v>7</v>
      </c>
      <c r="C1" s="1" t="s">
        <v>8</v>
      </c>
      <c r="D1" s="1" t="s">
        <v>9</v>
      </c>
      <c r="E1" s="1" t="s">
        <v>10</v>
      </c>
    </row>
    <row r="2" spans="1:5" x14ac:dyDescent="0.25">
      <c r="A2" s="10" t="s">
        <v>11</v>
      </c>
      <c r="B2" s="10" t="s">
        <v>12</v>
      </c>
      <c r="C2" s="10" t="s">
        <v>13</v>
      </c>
      <c r="D2" s="10" t="s">
        <v>14</v>
      </c>
      <c r="E2" s="10" t="s">
        <v>15</v>
      </c>
    </row>
    <row r="3" spans="1:5" x14ac:dyDescent="0.25">
      <c r="A3" s="10" t="s">
        <v>16</v>
      </c>
      <c r="B3" s="10" t="s">
        <v>17</v>
      </c>
      <c r="C3" s="10" t="s">
        <v>18</v>
      </c>
      <c r="D3" s="10" t="s">
        <v>19</v>
      </c>
      <c r="E3" s="10" t="s">
        <v>15</v>
      </c>
    </row>
    <row r="4" spans="1:5" x14ac:dyDescent="0.25">
      <c r="A4" s="10" t="s">
        <v>20</v>
      </c>
      <c r="B4" s="10" t="s">
        <v>21</v>
      </c>
      <c r="C4" s="10" t="s">
        <v>22</v>
      </c>
      <c r="D4" s="10" t="s">
        <v>23</v>
      </c>
      <c r="E4" s="10" t="s">
        <v>24</v>
      </c>
    </row>
    <row r="5" spans="1:5" x14ac:dyDescent="0.25">
      <c r="A5" s="10" t="s">
        <v>25</v>
      </c>
      <c r="B5" s="10" t="s">
        <v>26</v>
      </c>
      <c r="C5" s="10" t="s">
        <v>18</v>
      </c>
      <c r="D5" s="10" t="s">
        <v>27</v>
      </c>
      <c r="E5" s="10" t="s">
        <v>24</v>
      </c>
    </row>
    <row r="6" spans="1:5" x14ac:dyDescent="0.25">
      <c r="A6" s="10" t="s">
        <v>28</v>
      </c>
      <c r="B6" s="10" t="s">
        <v>29</v>
      </c>
      <c r="C6" s="10" t="s">
        <v>22</v>
      </c>
      <c r="D6" s="10" t="s">
        <v>30</v>
      </c>
      <c r="E6" s="10" t="s">
        <v>31</v>
      </c>
    </row>
    <row r="7" spans="1:5" x14ac:dyDescent="0.25">
      <c r="A7" s="10" t="s">
        <v>32</v>
      </c>
      <c r="B7" s="10" t="s">
        <v>33</v>
      </c>
      <c r="C7" s="10" t="s">
        <v>18</v>
      </c>
      <c r="D7" s="10" t="s">
        <v>34</v>
      </c>
      <c r="E7" s="10" t="s">
        <v>24</v>
      </c>
    </row>
    <row r="8" spans="1:5" x14ac:dyDescent="0.25">
      <c r="A8" s="10" t="s">
        <v>35</v>
      </c>
      <c r="B8" s="10" t="s">
        <v>36</v>
      </c>
      <c r="C8" s="10" t="s">
        <v>13</v>
      </c>
      <c r="D8" s="10" t="s">
        <v>37</v>
      </c>
      <c r="E8" s="10" t="s">
        <v>31</v>
      </c>
    </row>
    <row r="9" spans="1:5" x14ac:dyDescent="0.25">
      <c r="A9" s="10" t="s">
        <v>38</v>
      </c>
      <c r="B9" s="10" t="s">
        <v>39</v>
      </c>
      <c r="C9" s="10" t="s">
        <v>22</v>
      </c>
      <c r="D9" s="10" t="s">
        <v>40</v>
      </c>
      <c r="E9" s="10" t="s">
        <v>31</v>
      </c>
    </row>
    <row r="10" spans="1:5" x14ac:dyDescent="0.25">
      <c r="A10" s="10" t="s">
        <v>41</v>
      </c>
      <c r="B10" s="10" t="s">
        <v>42</v>
      </c>
      <c r="C10" s="10" t="s">
        <v>43</v>
      </c>
      <c r="D10" s="10" t="s">
        <v>44</v>
      </c>
      <c r="E10" s="10" t="s">
        <v>31</v>
      </c>
    </row>
    <row r="11" spans="1:5" x14ac:dyDescent="0.25">
      <c r="A11" s="10" t="s">
        <v>45</v>
      </c>
      <c r="B11" s="10" t="s">
        <v>46</v>
      </c>
      <c r="C11" s="10" t="s">
        <v>22</v>
      </c>
      <c r="D11" s="10" t="s">
        <v>47</v>
      </c>
      <c r="E11" s="10" t="s">
        <v>15</v>
      </c>
    </row>
    <row r="12" spans="1:5" x14ac:dyDescent="0.25">
      <c r="A12" s="10" t="s">
        <v>48</v>
      </c>
      <c r="B12" s="10" t="s">
        <v>49</v>
      </c>
      <c r="C12" s="10" t="s">
        <v>13</v>
      </c>
      <c r="D12" s="10" t="s">
        <v>50</v>
      </c>
      <c r="E12" s="10" t="s">
        <v>31</v>
      </c>
    </row>
    <row r="13" spans="1:5" x14ac:dyDescent="0.25">
      <c r="A13" s="10" t="s">
        <v>51</v>
      </c>
      <c r="B13" s="10" t="s">
        <v>52</v>
      </c>
      <c r="C13" s="10" t="s">
        <v>22</v>
      </c>
      <c r="D13" s="10" t="s">
        <v>53</v>
      </c>
      <c r="E13" s="10" t="s">
        <v>31</v>
      </c>
    </row>
    <row r="14" spans="1:5" x14ac:dyDescent="0.25">
      <c r="A14" s="10" t="s">
        <v>54</v>
      </c>
      <c r="B14" s="10" t="s">
        <v>55</v>
      </c>
      <c r="C14" s="10" t="s">
        <v>18</v>
      </c>
      <c r="D14" s="10" t="s">
        <v>56</v>
      </c>
      <c r="E14" s="10" t="s">
        <v>31</v>
      </c>
    </row>
    <row r="15" spans="1:5" x14ac:dyDescent="0.25">
      <c r="A15" s="10" t="s">
        <v>57</v>
      </c>
      <c r="B15" s="10" t="s">
        <v>58</v>
      </c>
      <c r="C15" s="10" t="s">
        <v>13</v>
      </c>
      <c r="D15" s="10" t="s">
        <v>59</v>
      </c>
      <c r="E15" s="10" t="s">
        <v>15</v>
      </c>
    </row>
    <row r="16" spans="1:5" x14ac:dyDescent="0.25">
      <c r="A16" s="10" t="s">
        <v>60</v>
      </c>
      <c r="B16" s="10" t="s">
        <v>61</v>
      </c>
      <c r="C16" s="10" t="s">
        <v>22</v>
      </c>
      <c r="D16" s="10" t="s">
        <v>62</v>
      </c>
      <c r="E16" s="10" t="s">
        <v>24</v>
      </c>
    </row>
    <row r="17" spans="1:5" x14ac:dyDescent="0.25">
      <c r="A17" s="10" t="s">
        <v>63</v>
      </c>
      <c r="B17" s="10" t="s">
        <v>64</v>
      </c>
      <c r="C17" s="10" t="s">
        <v>18</v>
      </c>
      <c r="D17" s="10" t="s">
        <v>65</v>
      </c>
      <c r="E17" s="10" t="s">
        <v>15</v>
      </c>
    </row>
    <row r="18" spans="1:5" x14ac:dyDescent="0.25">
      <c r="A18" s="10" t="s">
        <v>66</v>
      </c>
      <c r="B18" s="10" t="s">
        <v>67</v>
      </c>
      <c r="C18" s="10" t="s">
        <v>43</v>
      </c>
      <c r="D18" s="10" t="s">
        <v>68</v>
      </c>
      <c r="E18" s="10" t="s">
        <v>15</v>
      </c>
    </row>
    <row r="19" spans="1:5" x14ac:dyDescent="0.25">
      <c r="A19" s="10" t="s">
        <v>69</v>
      </c>
      <c r="B19" s="10" t="s">
        <v>70</v>
      </c>
      <c r="C19" s="10" t="s">
        <v>18</v>
      </c>
      <c r="D19" s="10" t="s">
        <v>71</v>
      </c>
      <c r="E19" s="10" t="s">
        <v>15</v>
      </c>
    </row>
    <row r="20" spans="1:5" x14ac:dyDescent="0.25">
      <c r="A20" s="10" t="s">
        <v>72</v>
      </c>
      <c r="B20" s="10" t="s">
        <v>73</v>
      </c>
      <c r="C20" s="10" t="s">
        <v>13</v>
      </c>
      <c r="D20" s="10" t="s">
        <v>74</v>
      </c>
      <c r="E20" s="10" t="s">
        <v>15</v>
      </c>
    </row>
    <row r="21" spans="1:5" x14ac:dyDescent="0.25">
      <c r="A21" s="10" t="s">
        <v>75</v>
      </c>
      <c r="B21" s="10" t="s">
        <v>76</v>
      </c>
      <c r="C21" s="10" t="s">
        <v>13</v>
      </c>
      <c r="D21" s="10" t="s">
        <v>77</v>
      </c>
      <c r="E21" s="10" t="s">
        <v>31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vt:lpstr>
      <vt:lpstr>Data cleaning</vt:lpstr>
      <vt:lpstr>f Excel formulas for calculatio</vt:lpstr>
      <vt:lpstr> XLOOKUP VLOOKUP </vt:lpstr>
      <vt:lpstr>pivot table</vt:lpstr>
      <vt:lpstr>Descriptive statistics</vt:lpstr>
      <vt:lpstr>Sheet2</vt:lpstr>
      <vt:lpstr>●Data 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2026-06-08T19:13:28Z</dcterms:created>
  <dcterms:modified xsi:type="dcterms:W3CDTF">2026-06-11T23:28:08Z</dcterms:modified>
</cp:coreProperties>
</file>