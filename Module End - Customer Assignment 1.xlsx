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Excel Assment\"/>
    </mc:Choice>
  </mc:AlternateContent>
  <xr:revisionPtr revIDLastSave="0" documentId="13_ncr:1_{D439C352-327D-445A-8231-169F52909042}" xr6:coauthVersionLast="47" xr6:coauthVersionMax="47" xr10:uidLastSave="{00000000-0000-0000-0000-000000000000}"/>
  <bookViews>
    <workbookView xWindow="-120" yWindow="-120" windowWidth="20730" windowHeight="11160" firstSheet="5" activeTab="7" xr2:uid="{E4D125EB-1332-45CE-A8CD-563403D3E6BE}"/>
  </bookViews>
  <sheets>
    <sheet name="Data " sheetId="1" r:id="rId1"/>
    <sheet name="Data cleaning" sheetId="2" r:id="rId2"/>
    <sheet name="f Excel formulas for calculatio" sheetId="3" r:id="rId3"/>
    <sheet name=" XLOOKUP VLOOKUP " sheetId="4" r:id="rId4"/>
    <sheet name="Pivot Tables" sheetId="6" r:id="rId5"/>
    <sheet name="Descriptive statistics" sheetId="7" r:id="rId6"/>
    <sheet name="pivt chart" sheetId="11" r:id="rId7"/>
    <sheet name="●Data visualization" sheetId="8" r:id="rId8"/>
  </sheets>
  <definedNames>
    <definedName name="_xlchart.v1.0" hidden="1">'●Data visualization'!$S$22:$U$22</definedName>
    <definedName name="_xlchart.v1.1" hidden="1">'●Data visualization'!$V$1:$V$21</definedName>
    <definedName name="_xlchart.v1.10" hidden="1">'●Data visualization'!$U$1:$U$18</definedName>
    <definedName name="_xlchart.v1.11" hidden="1">'●Data visualization'!$V$1:$V$19</definedName>
    <definedName name="_xlchart.v1.12" hidden="1">'●Data visualization'!$W$19</definedName>
    <definedName name="_xlchart.v1.13" hidden="1">'●Data visualization'!$W$3:$W$18</definedName>
    <definedName name="_xlchart.v1.14" hidden="1">'●Data visualization'!$U$501:$Y$501</definedName>
    <definedName name="_xlchart.v1.15" hidden="1">'●Data visualization'!$Z$1:$Z$500</definedName>
    <definedName name="_xlchart.v1.16" hidden="1">'●Data visualization'!$Z$501</definedName>
    <definedName name="_xlchart.v1.2" hidden="1">'●Data visualization'!$V$22</definedName>
    <definedName name="_xlchart.v1.3" hidden="1">'●Data visualization'!$S$22:$U$22</definedName>
    <definedName name="_xlchart.v1.4" hidden="1">'●Data visualization'!$V$1:$V$21</definedName>
    <definedName name="_xlchart.v1.5" hidden="1">'●Data visualization'!$V$22</definedName>
    <definedName name="_xlchart.v1.6" hidden="1">'●Data visualization'!$U$19:$V$19</definedName>
    <definedName name="_xlchart.v1.7" hidden="1">'●Data visualization'!$W$19</definedName>
    <definedName name="_xlchart.v1.8" hidden="1">'●Data visualization'!$W$3:$W$18</definedName>
    <definedName name="_xlchart.v1.9" hidden="1">'●Data visualization'!$U$19:$V$19</definedName>
  </definedNames>
  <calcPr calcId="191029"/>
  <pivotCaches>
    <pivotCache cacheId="0" r:id="rId9"/>
    <pivotCache cacheId="6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H3" i="4"/>
  <c r="G3" i="4"/>
  <c r="F3" i="4"/>
  <c r="E3" i="4"/>
  <c r="D3" i="4"/>
  <c r="C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3" i="4"/>
  <c r="F508" i="3"/>
  <c r="D511" i="3"/>
  <c r="C508" i="3"/>
  <c r="J3" i="2" a="1"/>
  <c r="J3" i="2"/>
  <c r="S3" i="2" s="1" a="1"/>
  <c r="S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<sst xmlns="http://schemas.openxmlformats.org/spreadsheetml/2006/main" count="18692" uniqueCount="1626">
  <si>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</si>
  <si>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</si>
  <si>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</si>
  <si>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</si>
  <si>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</si>
  <si>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</si>
  <si>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</si>
  <si>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</si>
  <si>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</si>
  <si>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</si>
  <si>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</si>
  <si>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</si>
  <si>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</si>
  <si>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</si>
  <si>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</si>
  <si>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</si>
  <si>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</si>
  <si>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</si>
  <si>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</si>
  <si>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</si>
  <si>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</si>
  <si>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</si>
  <si>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</si>
  <si>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</si>
  <si>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</si>
  <si>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</si>
  <si>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</si>
  <si>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</si>
  <si>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</si>
  <si>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</si>
  <si>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</si>
  <si>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</si>
  <si>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</si>
  <si>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</si>
  <si>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</si>
  <si>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</si>
  <si>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</si>
  <si>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</si>
  <si>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</si>
  <si>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</si>
  <si>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</si>
  <si>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</si>
  <si>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</si>
  <si>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</si>
  <si>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</si>
  <si>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</si>
  <si>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</si>
  <si>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</si>
  <si>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</si>
  <si>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</si>
  <si>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</si>
  <si>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</si>
  <si>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</si>
  <si>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</si>
  <si>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</si>
  <si>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</si>
  <si>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</si>
  <si>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</si>
  <si>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</si>
  <si>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</si>
  <si>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</si>
  <si>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</si>
  <si>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</si>
  <si>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</si>
  <si>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</si>
  <si>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</si>
  <si>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</si>
  <si>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</si>
  <si>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</si>
  <si>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</si>
  <si>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</si>
  <si>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</si>
  <si>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</si>
  <si>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</si>
  <si>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</si>
  <si>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</si>
  <si>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</si>
  <si>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</si>
  <si>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</si>
  <si>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</si>
  <si>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</si>
  <si>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</si>
  <si>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</si>
  <si>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</si>
  <si>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</si>
  <si>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</si>
  <si>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</si>
  <si>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</si>
  <si>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</si>
  <si>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</si>
  <si>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</si>
  <si>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</si>
  <si>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</si>
  <si>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</si>
  <si>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</si>
  <si>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</si>
  <si>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</si>
  <si>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</si>
  <si>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</si>
  <si>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</si>
  <si>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</si>
  <si>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</si>
  <si>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</si>
  <si>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</si>
  <si>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</si>
  <si>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</si>
  <si>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</si>
  <si>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</si>
  <si>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</si>
  <si>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</si>
  <si>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</si>
  <si>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</si>
  <si>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</si>
  <si>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</si>
  <si>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</si>
  <si>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</si>
  <si>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</si>
  <si>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</si>
  <si>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</si>
  <si>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</si>
  <si>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</si>
  <si>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</si>
  <si>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</si>
  <si>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</si>
  <si>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</si>
  <si>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</si>
  <si>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</si>
  <si>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</si>
  <si>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</si>
  <si>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</si>
  <si>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</si>
  <si>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</si>
  <si>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</si>
  <si>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</si>
  <si>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</si>
  <si>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</si>
  <si>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</si>
  <si>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</si>
  <si>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</si>
  <si>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</si>
  <si>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</si>
  <si>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</si>
  <si>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</si>
  <si>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</si>
  <si>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</si>
  <si>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</si>
  <si>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</si>
  <si>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</si>
  <si>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</si>
  <si>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</si>
  <si>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</si>
  <si>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</si>
  <si>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</si>
  <si>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</si>
  <si>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</si>
  <si>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</si>
  <si>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</si>
  <si>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</si>
  <si>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</si>
  <si>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</si>
  <si>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</si>
  <si>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</si>
  <si>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</si>
  <si>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</si>
  <si>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</si>
  <si>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</si>
  <si>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</si>
  <si>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</si>
  <si>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</si>
  <si>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</si>
  <si>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</si>
  <si>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</si>
  <si>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</si>
  <si>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</si>
  <si>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</si>
  <si>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</si>
  <si>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</si>
  <si>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</si>
  <si>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</si>
  <si>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</si>
  <si>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</si>
  <si>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</si>
  <si>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</si>
  <si>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</si>
  <si>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</si>
  <si>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</si>
  <si>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</si>
  <si>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</si>
  <si>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</si>
  <si>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</si>
  <si>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</si>
  <si>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</si>
  <si>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</si>
  <si>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</si>
  <si>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</si>
  <si>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</si>
  <si>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</si>
  <si>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</si>
  <si>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</si>
  <si>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</si>
  <si>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</si>
  <si>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</si>
  <si>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</si>
  <si>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</si>
  <si>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</si>
  <si>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</si>
  <si>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</si>
  <si>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</si>
  <si>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</si>
  <si>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</si>
  <si>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</si>
  <si>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</si>
  <si>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</si>
  <si>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</si>
  <si>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</si>
  <si>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</si>
  <si>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</si>
  <si>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</si>
  <si>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</si>
  <si>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</si>
  <si>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</si>
  <si>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</si>
  <si>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</si>
  <si>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</si>
  <si>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</si>
  <si>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</si>
  <si>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</si>
  <si>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</si>
  <si>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</si>
  <si>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</si>
  <si>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</si>
  <si>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</si>
  <si>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</si>
  <si>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</si>
  <si>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</si>
  <si>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</si>
  <si>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</si>
  <si>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</si>
  <si>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</si>
  <si>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</si>
  <si>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</si>
  <si>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</si>
  <si>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</si>
  <si>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</si>
  <si>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</si>
  <si>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</si>
  <si>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</si>
  <si>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</si>
  <si>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</si>
  <si>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</si>
  <si>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</si>
  <si>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</si>
  <si>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</si>
  <si>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</si>
  <si>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</si>
  <si>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</si>
  <si>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</si>
  <si>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</si>
  <si>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</si>
  <si>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</si>
  <si>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</si>
  <si>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</si>
  <si>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</si>
  <si>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</si>
  <si>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</si>
  <si>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</si>
  <si>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</si>
  <si>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</si>
  <si>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</si>
  <si>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</si>
  <si>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</si>
  <si>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</si>
  <si>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</si>
  <si>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</si>
  <si>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</si>
  <si>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</si>
  <si>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</si>
  <si>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</si>
  <si>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</si>
  <si>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</si>
  <si>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</si>
  <si>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</si>
  <si>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</si>
  <si>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</si>
  <si>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</si>
  <si>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</si>
  <si>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</si>
  <si>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</si>
  <si>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</si>
  <si>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</si>
  <si>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</si>
  <si>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</si>
  <si>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</si>
  <si>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</si>
  <si>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</si>
  <si>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</si>
  <si>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</si>
  <si>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</si>
  <si>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</si>
  <si>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</si>
  <si>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</si>
  <si>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</si>
  <si>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</si>
  <si>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</si>
  <si>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</si>
  <si>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</si>
  <si>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</si>
  <si>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</si>
  <si>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</si>
  <si>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</si>
  <si>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</si>
  <si>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</si>
  <si>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</si>
  <si>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</si>
  <si>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</si>
  <si>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</si>
  <si>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</si>
  <si>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</si>
  <si>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</si>
  <si>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</si>
  <si>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</si>
  <si>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</si>
  <si>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</si>
  <si>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</si>
  <si>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</si>
  <si>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</si>
  <si>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</si>
  <si>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</si>
  <si>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</si>
  <si>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</si>
  <si>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</si>
  <si>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</si>
  <si>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</si>
  <si>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</si>
  <si>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</si>
  <si>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</si>
  <si>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</si>
  <si>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</si>
  <si>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</si>
  <si>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</si>
  <si>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</si>
  <si>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</si>
  <si>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</si>
  <si>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</si>
  <si>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</si>
  <si>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</si>
  <si>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</si>
  <si>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</si>
  <si>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</si>
  <si>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</si>
  <si>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</si>
  <si>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</si>
  <si>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</si>
  <si>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</si>
  <si>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</si>
  <si>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</si>
  <si>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</si>
  <si>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</si>
  <si>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</si>
  <si>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</si>
  <si>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</si>
  <si>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</si>
  <si>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</si>
  <si>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</si>
  <si>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</si>
  <si>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</si>
  <si>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</si>
  <si>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</si>
  <si>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</si>
  <si>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</si>
  <si>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</si>
  <si>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</si>
  <si>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</si>
  <si>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</si>
  <si>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</si>
  <si>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</si>
  <si>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</si>
  <si>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</si>
  <si>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</si>
  <si>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</si>
  <si>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</si>
  <si>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</si>
  <si>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</si>
  <si>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</si>
  <si>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</si>
  <si>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</si>
  <si>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</si>
  <si>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</si>
  <si>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</si>
  <si>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</si>
  <si>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</si>
  <si>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</si>
  <si>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</si>
  <si>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</si>
  <si>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</si>
  <si>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</si>
  <si>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</si>
  <si>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</si>
  <si>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</si>
  <si>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</si>
  <si>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</si>
  <si>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</si>
  <si>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</si>
  <si>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</si>
  <si>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</si>
  <si>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</si>
  <si>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</si>
  <si>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</si>
  <si>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</si>
  <si>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</si>
  <si>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</si>
  <si>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</si>
  <si>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</si>
  <si>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</si>
  <si>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</si>
  <si>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</si>
  <si>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</si>
  <si>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</si>
  <si>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</si>
  <si>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</si>
  <si>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</si>
  <si>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</si>
  <si>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</si>
  <si>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</si>
  <si>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</si>
  <si>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</si>
  <si>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</si>
  <si>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</si>
  <si>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</si>
  <si>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</si>
  <si>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</si>
  <si>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</si>
  <si>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</si>
  <si>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</si>
  <si>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</si>
  <si>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</si>
  <si>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</si>
  <si>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</si>
  <si>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</si>
  <si>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</si>
  <si>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</si>
  <si>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</si>
  <si>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</si>
  <si>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</si>
  <si>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</si>
  <si>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</si>
  <si>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</si>
  <si>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</si>
  <si>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</si>
  <si>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</si>
  <si>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</si>
  <si>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</si>
  <si>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</si>
  <si>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</si>
  <si>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</si>
  <si>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</si>
  <si>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</si>
  <si>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</si>
  <si>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</si>
  <si>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</si>
  <si>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</si>
  <si>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</si>
  <si>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</si>
  <si>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</si>
  <si>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</si>
  <si>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</si>
  <si>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</si>
  <si>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</si>
  <si>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</si>
  <si>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</si>
  <si>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</si>
  <si>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</si>
  <si>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</si>
  <si>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</si>
  <si>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</si>
  <si>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</si>
  <si>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</si>
  <si>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</si>
  <si>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</si>
  <si>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</si>
  <si>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</si>
  <si>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</si>
  <si>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</si>
  <si>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</si>
  <si>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</si>
  <si>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</si>
  <si>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</si>
  <si>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</si>
  <si>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</si>
  <si>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</si>
  <si>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</si>
  <si>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</si>
  <si>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</si>
  <si>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</si>
  <si>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</si>
  <si>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</si>
  <si>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</si>
  <si>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</si>
  <si>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</si>
  <si>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</si>
  <si>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</si>
  <si>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</si>
  <si>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</si>
  <si>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</si>
  <si>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</si>
  <si>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</si>
  <si>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</si>
  <si>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</si>
  <si>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</si>
  <si>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</si>
  <si>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</si>
  <si>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</si>
  <si>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</si>
  <si>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</si>
  <si>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</si>
  <si>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</si>
  <si>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</si>
  <si>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</si>
  <si>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</si>
  <si>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</si>
  <si>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</si>
  <si>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</si>
  <si>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</si>
  <si>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</si>
  <si>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</si>
  <si>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</si>
  <si>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</si>
  <si>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</si>
  <si>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</si>
  <si>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</si>
  <si>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</si>
  <si>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</si>
  <si>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</si>
  <si>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</si>
  <si>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</si>
  <si>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</si>
  <si>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</si>
  <si>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</si>
  <si>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</si>
  <si>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</si>
  <si>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</si>
  <si>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</si>
  <si>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</si>
  <si>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</si>
  <si>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</si>
  <si>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</si>
  <si>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</si>
  <si>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</si>
  <si>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</si>
  <si>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</si>
  <si>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</si>
  <si>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</si>
  <si>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</si>
  <si>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</si>
  <si>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</si>
  <si>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</si>
  <si>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</si>
  <si>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</si>
  <si>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</si>
  <si>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</si>
  <si>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</si>
  <si>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</si>
  <si>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</si>
  <si>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</si>
  <si>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</si>
  <si>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</si>
  <si>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</si>
  <si>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</si>
  <si>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</si>
  <si>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</si>
  <si>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</si>
  <si>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</si>
  <si>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</si>
  <si>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</si>
  <si>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</si>
  <si>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</si>
  <si>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</si>
  <si>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</si>
  <si>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</si>
  <si>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</si>
  <si>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</si>
  <si>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</si>
  <si>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</si>
  <si>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</si>
  <si>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</si>
  <si>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</si>
  <si>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</si>
  <si>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</si>
  <si>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</si>
  <si>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</si>
  <si>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</si>
  <si>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</si>
  <si>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</si>
  <si>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</si>
  <si>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</si>
  <si>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</si>
  <si>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</si>
  <si>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</si>
  <si>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</si>
  <si>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</si>
  <si>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</si>
  <si>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</si>
  <si>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</si>
  <si>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</si>
  <si>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</si>
  <si>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</si>
  <si>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</si>
  <si>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</si>
  <si>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</si>
  <si>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</si>
  <si>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</si>
  <si>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</si>
  <si>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</si>
  <si>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</si>
  <si>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</si>
  <si>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</si>
  <si>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</si>
  <si>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</si>
  <si>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</si>
  <si>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</si>
  <si>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</si>
  <si>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</si>
  <si>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</si>
  <si>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</si>
  <si>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</si>
  <si>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</si>
  <si>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</si>
  <si>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</si>
  <si>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</si>
  <si>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</si>
  <si>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</si>
  <si>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</si>
  <si>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</si>
  <si>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</si>
  <si>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</si>
  <si>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</si>
  <si>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</si>
  <si>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</si>
  <si>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</si>
  <si>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</si>
  <si>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</si>
  <si>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</si>
  <si>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</si>
  <si>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</si>
  <si>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</si>
  <si>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</si>
  <si>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</si>
  <si>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</si>
  <si>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</si>
  <si>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</si>
  <si>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</si>
  <si>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</si>
  <si>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</si>
  <si>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</si>
  <si>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</si>
  <si>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</si>
  <si>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</si>
  <si>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</si>
  <si>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</si>
  <si>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</si>
  <si>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</si>
  <si>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</si>
  <si>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</si>
  <si>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</si>
  <si>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</si>
  <si>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</si>
  <si>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</si>
  <si>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</si>
  <si>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</si>
  <si>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</si>
  <si>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</si>
  <si>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</si>
  <si>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</si>
  <si>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</si>
  <si>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</si>
  <si>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</si>
  <si>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</si>
  <si>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</si>
  <si>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</si>
  <si>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</si>
  <si>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</si>
  <si>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</si>
  <si>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</si>
  <si>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</si>
  <si>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</si>
  <si>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</si>
  <si>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</si>
  <si>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</si>
  <si>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</si>
  <si>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</si>
  <si>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</si>
  <si>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</si>
  <si>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</si>
  <si>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</si>
  <si>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</si>
  <si>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</si>
  <si>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</si>
  <si>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</si>
  <si>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</si>
  <si>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</si>
  <si>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</si>
  <si>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</si>
  <si>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</si>
  <si>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</si>
  <si>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</si>
  <si>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</si>
  <si>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</si>
  <si>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</si>
  <si>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</si>
  <si>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</si>
  <si>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</si>
  <si>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</si>
  <si>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</si>
  <si>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</si>
  <si>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</si>
  <si>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</si>
  <si>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</si>
  <si>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</si>
  <si>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</si>
  <si>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</si>
  <si>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</si>
  <si>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</si>
  <si>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</si>
  <si>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</si>
  <si>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</si>
  <si>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</si>
  <si>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</si>
  <si>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</si>
  <si>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</si>
  <si>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</si>
  <si>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</si>
  <si>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</si>
  <si>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</si>
  <si>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</si>
  <si>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</si>
  <si>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</si>
  <si>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</si>
  <si>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</si>
  <si>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</si>
  <si>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</si>
  <si>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</si>
  <si>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</si>
  <si>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</si>
  <si>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</si>
  <si>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</si>
  <si>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</si>
  <si>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</si>
  <si>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</si>
  <si>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</si>
  <si>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</si>
  <si>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</si>
  <si>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</si>
  <si>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</si>
  <si>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</si>
  <si>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</si>
  <si>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</si>
  <si>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</si>
  <si>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</si>
  <si>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</si>
  <si>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</si>
  <si>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</si>
  <si>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</si>
  <si>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</si>
  <si>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</si>
  <si>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</si>
  <si>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</si>
  <si>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</si>
  <si>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</si>
  <si>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</si>
  <si>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</si>
  <si>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</si>
  <si>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</si>
  <si>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</si>
  <si>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</si>
  <si>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</si>
  <si>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</si>
  <si>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</si>
  <si>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</si>
  <si>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</si>
  <si>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</si>
  <si>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</si>
  <si>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</si>
  <si>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</si>
  <si>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</si>
  <si>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</si>
  <si>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</si>
  <si>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</si>
  <si>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</si>
  <si>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</si>
  <si>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</si>
  <si>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</si>
  <si>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</si>
  <si>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</si>
  <si>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</si>
  <si>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</si>
  <si>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</si>
  <si>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</si>
  <si>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</si>
  <si>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</si>
  <si>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</si>
  <si>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</si>
  <si>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</si>
  <si>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</si>
  <si>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</si>
  <si>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</si>
  <si>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</si>
  <si>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</si>
  <si>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</si>
  <si>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</si>
  <si>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</si>
  <si>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</si>
  <si>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</si>
  <si>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</si>
  <si>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</si>
  <si>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</si>
  <si>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</si>
  <si>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</si>
  <si>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</si>
  <si>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</si>
  <si>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</si>
  <si>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</si>
  <si>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</si>
  <si>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</si>
  <si>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</si>
  <si>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</si>
  <si>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</si>
  <si>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</si>
  <si>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</si>
  <si>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</si>
  <si>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</si>
  <si>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</si>
  <si>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</si>
  <si>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</si>
  <si>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</si>
  <si>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</si>
  <si>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</si>
  <si>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</si>
  <si>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</si>
  <si>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</si>
  <si>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</si>
  <si>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</si>
  <si>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</si>
  <si>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</si>
  <si>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</si>
  <si>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</si>
  <si>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</si>
  <si>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</si>
  <si>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</si>
  <si>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</si>
  <si>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</si>
  <si>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</si>
  <si>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</si>
  <si>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</si>
  <si>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</si>
  <si>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</si>
  <si>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</si>
  <si>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</si>
  <si>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</si>
  <si>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</si>
  <si>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</si>
  <si>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</si>
  <si>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</si>
  <si>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</si>
  <si>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</si>
  <si>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</si>
  <si>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</si>
  <si>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</si>
  <si>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</si>
  <si>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</si>
  <si>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</si>
  <si>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</si>
  <si>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</si>
  <si>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</si>
  <si>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</si>
  <si>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</si>
  <si>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</si>
  <si>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</si>
  <si>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</si>
  <si>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</si>
  <si>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</si>
  <si>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</si>
  <si>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</si>
  <si>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</si>
  <si>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</si>
  <si>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</si>
  <si>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</si>
  <si>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</si>
  <si>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</si>
  <si>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</si>
  <si>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</si>
  <si>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</si>
  <si>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</si>
  <si>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</si>
  <si>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</si>
  <si>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</si>
  <si>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</si>
  <si>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</si>
  <si>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</si>
  <si>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</si>
  <si>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</si>
  <si>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</si>
  <si>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</si>
  <si>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</si>
  <si>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</si>
  <si>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</si>
  <si>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</si>
  <si>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</si>
  <si>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</si>
  <si>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</si>
  <si>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</si>
  <si>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</si>
  <si>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</si>
  <si>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</si>
  <si>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</si>
  <si>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</si>
  <si>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</si>
  <si>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</si>
  <si>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</si>
  <si>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</si>
  <si>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</si>
  <si>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</si>
  <si>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</si>
  <si>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</si>
  <si>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</si>
  <si>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</si>
  <si>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</si>
  <si>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</si>
  <si>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</si>
  <si>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</si>
  <si>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</si>
  <si>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</si>
  <si>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</si>
  <si>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</si>
  <si>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</si>
  <si>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</si>
  <si>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</si>
  <si>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</si>
  <si>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</si>
  <si>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</si>
  <si>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</si>
  <si>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</si>
  <si>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</si>
  <si>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</si>
  <si>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</si>
  <si>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</si>
  <si>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</si>
  <si>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</si>
  <si>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</si>
  <si>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</si>
  <si>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</si>
  <si>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</si>
  <si>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</si>
  <si>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</si>
  <si>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</si>
  <si>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</si>
  <si>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</si>
  <si>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</si>
  <si>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</si>
  <si>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</si>
  <si>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</si>
  <si>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</si>
  <si>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</si>
  <si>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</si>
  <si>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</si>
  <si>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</si>
  <si>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</si>
  <si>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</si>
  <si>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</si>
  <si>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</si>
  <si>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</si>
  <si>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</si>
  <si>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</si>
  <si>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</si>
  <si>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</si>
  <si>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</si>
  <si>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</si>
  <si>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</si>
  <si>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</si>
  <si>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</si>
  <si>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</si>
  <si>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</si>
  <si>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</si>
  <si>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</si>
  <si>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</si>
  <si>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</si>
  <si>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</si>
  <si>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</si>
  <si>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</si>
  <si>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</si>
  <si>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</si>
  <si>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</si>
  <si>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</si>
  <si>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</si>
  <si>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</si>
  <si>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</si>
  <si>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</si>
  <si>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</si>
  <si>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</si>
  <si>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</si>
  <si>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</si>
  <si>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</si>
  <si>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</si>
  <si>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</si>
  <si>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</si>
  <si>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</si>
  <si>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</si>
  <si>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</si>
  <si>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</si>
  <si>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</si>
  <si>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</si>
  <si>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</si>
  <si>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</si>
  <si>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</si>
  <si>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</si>
  <si>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</si>
  <si>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</si>
  <si>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</si>
  <si>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</si>
  <si>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</si>
  <si>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</si>
  <si>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</si>
  <si>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</si>
  <si>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</si>
  <si>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</si>
  <si>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</si>
  <si>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</si>
  <si>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</si>
  <si>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</si>
  <si>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</si>
  <si>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</si>
  <si>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</si>
  <si>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</si>
  <si>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</si>
  <si>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</si>
  <si>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</si>
  <si>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</si>
  <si>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</si>
  <si>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</si>
  <si>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</si>
  <si>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</si>
  <si>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</si>
  <si>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</si>
  <si>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</si>
  <si>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</si>
  <si>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</si>
  <si>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</si>
  <si>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</si>
  <si>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</si>
  <si>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</si>
  <si>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</si>
  <si>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</si>
  <si>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</si>
  <si>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</si>
  <si>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</si>
  <si>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</si>
  <si>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</si>
  <si>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</si>
  <si>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</si>
  <si>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</si>
  <si>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</si>
  <si>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</si>
  <si>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</si>
  <si>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</si>
  <si>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</si>
  <si>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</si>
  <si>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</si>
  <si>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</si>
  <si>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</si>
  <si>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</si>
  <si>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</si>
  <si>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</si>
  <si>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</si>
  <si>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</si>
  <si>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</si>
  <si>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</si>
  <si>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</si>
  <si>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</si>
  <si>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</si>
  <si>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</si>
  <si>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</si>
  <si>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</si>
  <si>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</si>
  <si>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</si>
  <si>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</si>
  <si>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</si>
  <si>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</si>
  <si>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</si>
  <si>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</si>
  <si>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</si>
  <si>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</si>
  <si>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</si>
  <si>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</si>
  <si>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</si>
  <si>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</si>
  <si>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</si>
  <si>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</si>
  <si>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</si>
  <si>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</si>
  <si>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</si>
  <si>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</si>
  <si>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</si>
  <si>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</si>
  <si>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</si>
  <si>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</si>
  <si>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</si>
  <si>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</si>
  <si>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</si>
  <si>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</si>
  <si>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</si>
  <si>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</si>
  <si>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</si>
  <si>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</si>
  <si>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</si>
  <si>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</si>
  <si>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</si>
  <si>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</si>
  <si>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</si>
  <si>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</si>
  <si>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</si>
  <si>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</si>
  <si>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</si>
  <si>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</si>
  <si>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</si>
  <si>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</si>
  <si>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</si>
  <si>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</si>
  <si>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</si>
  <si>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</si>
  <si>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</si>
  <si>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</si>
  <si>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</si>
  <si>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</si>
  <si>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</si>
  <si>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</si>
  <si>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</si>
  <si>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</si>
  <si>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</si>
  <si>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</si>
  <si>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</si>
  <si>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</si>
  <si>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</si>
  <si>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</si>
  <si>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</si>
  <si>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</si>
  <si>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</si>
  <si>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</si>
  <si>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</si>
  <si>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</si>
  <si>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</si>
  <si>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</si>
  <si>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</si>
  <si>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</si>
  <si>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</si>
  <si>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</si>
  <si>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</si>
  <si>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</si>
  <si>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</si>
  <si>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</si>
  <si>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</si>
  <si>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</si>
  <si>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</si>
  <si>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</si>
  <si>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</si>
  <si>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</si>
  <si>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</si>
  <si>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</si>
  <si>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</si>
  <si>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</si>
  <si>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</si>
  <si>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</si>
  <si>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</si>
  <si>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</si>
  <si>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</si>
  <si>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</si>
  <si>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</si>
  <si>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</si>
  <si>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</si>
  <si>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</si>
  <si>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</si>
  <si>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</si>
  <si>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</si>
  <si>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</si>
  <si>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</si>
  <si>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</si>
  <si>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</si>
  <si>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</si>
  <si>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</si>
  <si>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</si>
  <si>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</si>
  <si>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</si>
  <si>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</si>
  <si>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</si>
  <si>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</si>
  <si>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</si>
  <si>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</si>
  <si>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</si>
  <si>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</si>
  <si>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</si>
  <si>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</si>
  <si>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</si>
  <si>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</si>
  <si>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</si>
  <si>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</si>
  <si>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</si>
  <si>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</si>
  <si>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</si>
  <si>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</si>
  <si>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</si>
  <si>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</si>
  <si>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</si>
  <si>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</si>
  <si>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</si>
  <si>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</si>
  <si>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</si>
  <si>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</si>
  <si>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</si>
  <si>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</si>
  <si>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</si>
  <si>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</si>
  <si>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</si>
  <si>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</si>
  <si>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</si>
  <si>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</si>
  <si>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</si>
  <si>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</si>
  <si>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</si>
  <si>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</si>
  <si>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</si>
  <si>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</si>
  <si>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</si>
  <si>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</si>
  <si>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</si>
  <si>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</si>
  <si>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</si>
  <si>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</si>
  <si>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</si>
  <si>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</si>
  <si>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</si>
  <si>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</si>
  <si>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</si>
  <si>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</si>
  <si>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</si>
  <si>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</si>
  <si>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</si>
  <si>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</si>
  <si>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</si>
  <si>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</si>
  <si>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</si>
  <si>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</si>
  <si>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</si>
  <si>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</si>
  <si>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</si>
  <si>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</si>
  <si>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</si>
  <si>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</si>
  <si>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</si>
  <si>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</si>
  <si>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</si>
  <si>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</si>
  <si>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</si>
  <si>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</si>
  <si>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</si>
  <si>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</si>
  <si>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</si>
  <si>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</si>
  <si>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</si>
  <si>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</si>
  <si>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</si>
  <si>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</si>
  <si>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</si>
  <si>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</si>
  <si>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</si>
  <si>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</si>
  <si>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</si>
  <si>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</si>
  <si>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</si>
  <si>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</si>
  <si>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</si>
  <si>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</si>
  <si>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</si>
  <si>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</si>
  <si>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</si>
  <si>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</si>
  <si>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</si>
  <si>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</si>
  <si>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</si>
  <si>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</si>
  <si>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</si>
  <si>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</si>
  <si>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</si>
  <si>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</si>
  <si>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</si>
  <si>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</si>
  <si>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</si>
  <si>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</si>
  <si>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</si>
  <si>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</si>
  <si>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</si>
  <si>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</si>
  <si>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</si>
  <si>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</si>
  <si>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</si>
  <si>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</si>
  <si>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</si>
  <si>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</si>
  <si>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</si>
  <si>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</si>
  <si>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</si>
  <si>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</si>
  <si>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</si>
  <si>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</si>
  <si>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</si>
  <si>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</si>
  <si>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</si>
  <si>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</si>
  <si>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</si>
  <si>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</si>
  <si>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</si>
  <si>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</si>
  <si>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</si>
  <si>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</si>
  <si>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</si>
  <si>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</si>
  <si>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</si>
  <si>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</si>
  <si>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</si>
  <si>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</si>
  <si>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</si>
  <si>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</si>
  <si>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</si>
  <si>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</si>
  <si>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</si>
  <si>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</si>
  <si>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</si>
  <si>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</si>
  <si>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</si>
  <si>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</si>
  <si>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</si>
  <si>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</si>
  <si>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</si>
  <si>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</si>
  <si>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</si>
  <si>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</si>
  <si>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</si>
  <si>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</si>
  <si>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</si>
  <si>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</si>
  <si>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</si>
  <si>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</si>
  <si>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</si>
  <si>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</si>
  <si>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</si>
  <si>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</si>
  <si>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</si>
  <si>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</si>
  <si>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</si>
  <si>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</si>
  <si>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</si>
  <si>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</si>
  <si>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</si>
  <si>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</si>
  <si>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</si>
  <si>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</si>
  <si>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</si>
  <si>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</si>
  <si>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</si>
  <si>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</si>
  <si>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</si>
  <si>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</si>
  <si>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</si>
  <si>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</si>
  <si>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</si>
  <si>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</si>
  <si>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</si>
  <si>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</si>
  <si>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</si>
  <si>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</si>
  <si>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</si>
  <si>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</si>
  <si>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</si>
  <si>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</si>
  <si>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</si>
  <si>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</si>
  <si>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</si>
  <si>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</si>
  <si>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</si>
  <si>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</si>
  <si>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</si>
  <si>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</si>
  <si>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</si>
  <si>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</si>
  <si>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</si>
  <si>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</si>
  <si>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</si>
  <si>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</si>
  <si>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</si>
  <si>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</si>
  <si>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</si>
  <si>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</si>
  <si>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</si>
  <si>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</si>
  <si>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</si>
  <si>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</si>
  <si>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</si>
  <si>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</si>
  <si>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</si>
  <si>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</si>
  <si>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</si>
  <si>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</si>
  <si>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</si>
  <si>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</si>
  <si>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</si>
  <si>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</si>
  <si>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</si>
  <si>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</si>
  <si>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</si>
  <si>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</si>
  <si>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</si>
  <si>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</si>
  <si>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</si>
  <si>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</si>
  <si>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</si>
  <si>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</si>
  <si>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</si>
  <si>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</si>
  <si>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</si>
  <si>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</si>
  <si>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</si>
  <si>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</si>
  <si>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</si>
  <si>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</si>
  <si>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</si>
  <si>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</si>
  <si>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</si>
  <si>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</si>
  <si>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</si>
  <si>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</si>
  <si>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</si>
  <si>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</si>
  <si>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</si>
  <si>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</si>
  <si>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</si>
  <si>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</si>
  <si>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</si>
  <si>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</si>
  <si>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</si>
  <si>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</si>
  <si>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</si>
  <si>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</si>
  <si>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</si>
  <si>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</si>
  <si>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</si>
  <si>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</si>
  <si>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</si>
  <si>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</si>
  <si>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</si>
  <si>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</si>
  <si>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</si>
  <si>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</si>
  <si>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</si>
  <si>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</si>
  <si>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</si>
  <si>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</si>
  <si>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</si>
  <si>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</si>
  <si>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</si>
  <si>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</si>
  <si>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</si>
  <si>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</si>
  <si>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</si>
  <si>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</si>
  <si>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</si>
  <si>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</si>
  <si>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</si>
  <si>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</si>
  <si>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</si>
  <si>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</si>
  <si>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</si>
  <si>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</si>
  <si>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</si>
  <si>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</si>
  <si>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</si>
  <si>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</si>
  <si>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</si>
  <si>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</si>
  <si>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</si>
  <si>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</si>
  <si>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</si>
  <si>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</si>
  <si>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</si>
  <si>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</si>
  <si>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</si>
  <si>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</si>
  <si>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</si>
  <si>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</si>
  <si>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</si>
  <si>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</si>
  <si>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</si>
  <si>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</si>
  <si>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</si>
  <si>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</si>
  <si>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</si>
  <si>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</si>
  <si>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</si>
  <si>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</si>
  <si>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</si>
  <si>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</si>
  <si>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</si>
  <si>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</si>
  <si>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</si>
  <si>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</si>
  <si>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</si>
  <si>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</si>
  <si>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</si>
  <si>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</si>
  <si>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</si>
  <si>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</si>
  <si>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</si>
  <si>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</si>
  <si>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</si>
  <si>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</si>
  <si>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</si>
  <si>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</si>
  <si>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</si>
  <si>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</si>
  <si>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</si>
  <si>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</si>
  <si>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</si>
  <si>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</si>
  <si>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</si>
  <si>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</si>
  <si>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</si>
  <si>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</si>
  <si>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</si>
  <si>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</si>
  <si>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</si>
  <si>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</si>
  <si>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</si>
  <si>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</si>
  <si>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</si>
  <si>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</si>
  <si>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</si>
  <si>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</si>
  <si>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</si>
  <si>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</si>
  <si>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</si>
  <si>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</si>
  <si>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</si>
  <si>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1. Data entry, import, and basic organization using tables</t>
  </si>
  <si>
    <t> validate data</t>
  </si>
  <si>
    <t>CUST1464</t>
  </si>
  <si>
    <t>CUST1486</t>
  </si>
  <si>
    <t>CUST1491</t>
  </si>
  <si>
    <t>CUST1499</t>
  </si>
  <si>
    <t> handle missing/inconsistent data</t>
  </si>
  <si>
    <t>find/remove duplicates - No duplicate / 4 replaced</t>
  </si>
  <si>
    <t>Trim</t>
  </si>
  <si>
    <t>Upper</t>
  </si>
  <si>
    <t xml:space="preserve">Count </t>
  </si>
  <si>
    <t>Sum</t>
  </si>
  <si>
    <t>Avg</t>
  </si>
  <si>
    <t>Vlookup</t>
  </si>
  <si>
    <t>Row Labels</t>
  </si>
  <si>
    <t>Count of Customer_ID</t>
  </si>
  <si>
    <t>28</t>
  </si>
  <si>
    <t>29</t>
  </si>
  <si>
    <t>34</t>
  </si>
  <si>
    <t>40</t>
  </si>
  <si>
    <t>46</t>
  </si>
  <si>
    <t>50</t>
  </si>
  <si>
    <t>56</t>
  </si>
  <si>
    <t>60</t>
  </si>
  <si>
    <t>64</t>
  </si>
  <si>
    <t>18</t>
  </si>
  <si>
    <t>21</t>
  </si>
  <si>
    <t>22</t>
  </si>
  <si>
    <t>24</t>
  </si>
  <si>
    <t>26</t>
  </si>
  <si>
    <t>31</t>
  </si>
  <si>
    <t>49</t>
  </si>
  <si>
    <t>54</t>
  </si>
  <si>
    <t>63</t>
  </si>
  <si>
    <t>33</t>
  </si>
  <si>
    <t>36</t>
  </si>
  <si>
    <t>48</t>
  </si>
  <si>
    <t>52</t>
  </si>
  <si>
    <t>58</t>
  </si>
  <si>
    <t>62</t>
  </si>
  <si>
    <t>45</t>
  </si>
  <si>
    <t>57</t>
  </si>
  <si>
    <t>59</t>
  </si>
  <si>
    <t>20</t>
  </si>
  <si>
    <t>23</t>
  </si>
  <si>
    <t>27</t>
  </si>
  <si>
    <t>30</t>
  </si>
  <si>
    <t>41</t>
  </si>
  <si>
    <t>44</t>
  </si>
  <si>
    <t>61</t>
  </si>
  <si>
    <t>19</t>
  </si>
  <si>
    <t>38</t>
  </si>
  <si>
    <t>39</t>
  </si>
  <si>
    <t>43</t>
  </si>
  <si>
    <t>47</t>
  </si>
  <si>
    <t>53</t>
  </si>
  <si>
    <t>37</t>
  </si>
  <si>
    <t>42</t>
  </si>
  <si>
    <t>35</t>
  </si>
  <si>
    <t>25</t>
  </si>
  <si>
    <t>32</t>
  </si>
  <si>
    <t>55</t>
  </si>
  <si>
    <t>51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</si>
  <si>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</si>
  <si>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</si>
  <si>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</si>
  <si>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</si>
  <si>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</si>
  <si>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</si>
  <si>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</si>
  <si>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</si>
  <si>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</si>
  <si>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</si>
  <si>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</si>
  <si>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</si>
  <si>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Sum of Age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</si>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</sst>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7" tint="0.39997558519241921"/>
      </left>
      <right/>
      <top style="double">
        <color theme="7"/>
      </top>
      <bottom style="thin">
        <color theme="7" tint="0.39997558519241921"/>
      </bottom>
      <diagonal/>
    </border>
    <border>
      <left/>
      <right/>
      <top style="double">
        <color theme="7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0" fontId="3" fillId="4" borderId="0" xfId="0" applyFont="1" applyFill="1"/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5" fillId="0" borderId="0" xfId="0" applyFont="1"/>
    <xf numFmtId="0" fontId="6" fillId="0" borderId="0" xfId="0" applyFont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0" fillId="0" borderId="0" xfId="0" applyNumberFormat="1"/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[Module End - Customer Assignment 1.xlsx]pivt chart!PivotTable45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Loyalty_Level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'pivt chart'!$B$1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'pivt chart'!$A$2:$A$17</c:f>
              <c:multiLvlStrCache>
                <c:ptCount val="10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</c:lvl>
                <c:lvl>
                  <c:pt idx="0">
                    <c:v>Bronze</c:v>
                  </c:pt>
                  <c:pt idx="2">
                    <c:v>Gold</c:v>
                  </c:pt>
                  <c:pt idx="4">
                    <c:v>Platinum</c:v>
                  </c:pt>
                  <c:pt idx="6">
                    <c:v>Silver</c:v>
                  </c:pt>
                  <c:pt idx="8">
                    <c:v>(blank)</c:v>
                  </c:pt>
                </c:lvl>
              </c:multiLvlStrCache>
            </c:multiLvlStrRef>
          </c:cat>
          <c:val>
            <c:numRef>
              <c:f>'pivt chart'!$B$2:$B$17</c:f>
              <c:numCache>
                <c:formatCode>General</c:formatCode>
                <c:ptCount val="10"/>
                <c:pt idx="0">
                  <c:v>2490</c:v>
                </c:pt>
                <c:pt idx="1">
                  <c:v>2647</c:v>
                </c:pt>
                <c:pt idx="2">
                  <c:v>2849</c:v>
                </c:pt>
                <c:pt idx="3">
                  <c:v>2107</c:v>
                </c:pt>
                <c:pt idx="4">
                  <c:v>3515</c:v>
                </c:pt>
                <c:pt idx="5">
                  <c:v>2750</c:v>
                </c:pt>
                <c:pt idx="6">
                  <c:v>2060</c:v>
                </c:pt>
                <c:pt idx="7">
                  <c:v>2207</c:v>
                </c:pt>
                <c:pt idx="8">
                  <c:v>27</c:v>
                </c:pt>
                <c:pt idx="9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0-4324-8741-0D19CB63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0088991"/>
        <c:axId val="30106847"/>
      </c:barChart>
      <c:catAx>
        <c:axId val="30088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847"/>
        <c:crosses val="autoZero"/>
        <c:auto val="1"/>
        <c:lblAlgn val="ctr"/>
        <c:lblOffset val="100"/>
        <c:noMultiLvlLbl val="0"/>
      </c:catAx>
      <c:valAx>
        <c:axId val="301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8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'●Data visualization'!$Y$1:$Y$9</c:f>
              <c:strCache>
                <c:ptCount val="9"/>
                <c:pt idx="0">
                  <c:v>Country</c:v>
                </c:pt>
                <c:pt idx="1">
                  <c:v>USA</c:v>
                </c:pt>
                <c:pt idx="2">
                  <c:v>USA</c:v>
                </c:pt>
                <c:pt idx="3">
                  <c:v>USA</c:v>
                </c:pt>
                <c:pt idx="4">
                  <c:v>USA</c:v>
                </c:pt>
                <c:pt idx="5">
                  <c:v>USA</c:v>
                </c:pt>
                <c:pt idx="6">
                  <c:v>USA</c:v>
                </c:pt>
                <c:pt idx="7">
                  <c:v>USA</c:v>
                </c:pt>
                <c:pt idx="8">
                  <c:v>USA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>
                <a:outerShdw blurRad="50800" dist="1003300" dir="13500000" sx="141000" sy="141000" algn="ctr" rotWithShape="0">
                  <a:srgbClr val="FF0000"/>
                </a:outerShdw>
              </a:effectLst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05-431E-8198-7983F725CB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'●Data visualization'!$U$10:$X$10</c:f>
              <c:strCache>
                <c:ptCount val="4"/>
                <c:pt idx="0">
                  <c:v>53</c:v>
                </c:pt>
                <c:pt idx="1">
                  <c:v>Female</c:v>
                </c:pt>
                <c:pt idx="2">
                  <c:v>Maynardton</c:v>
                </c:pt>
                <c:pt idx="3">
                  <c:v>New Hampshire</c:v>
                </c:pt>
              </c:strCache>
            </c:strRef>
          </c:cat>
          <c:val>
            <c:numRef>
              <c:f>'●Data visualization'!$Y$10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5-431E-8198-7983F725CB3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8"/>
        <c:gapDepth val="52"/>
        <c:shape val="box"/>
        <c:axId val="20206943"/>
        <c:axId val="20195039"/>
        <c:axId val="0"/>
      </c:bar3DChart>
      <c:catAx>
        <c:axId val="202069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039"/>
        <c:crosses val="autoZero"/>
        <c:auto val="1"/>
        <c:lblAlgn val="ctr"/>
        <c:lblOffset val="100"/>
        <c:noMultiLvlLbl val="0"/>
      </c:catAx>
      <c:valAx>
        <c:axId val="201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6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'●Data visualization'!$S$8:$W$8</c:f>
              <c:strCache>
                <c:ptCount val="5"/>
                <c:pt idx="0">
                  <c:v>CUST1006</c:v>
                </c:pt>
                <c:pt idx="1">
                  <c:v>Amber Jackson</c:v>
                </c:pt>
                <c:pt idx="2">
                  <c:v>29</c:v>
                </c:pt>
                <c:pt idx="3">
                  <c:v>Female</c:v>
                </c:pt>
                <c:pt idx="4">
                  <c:v>Deborahborough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'●Data visualization'!$S$2:$X$2</c:f>
              <c:strCache>
                <c:ptCount val="6"/>
                <c:pt idx="0">
                  <c:v>CUST1000</c:v>
                </c:pt>
                <c:pt idx="1">
                  <c:v>  sheena bonilla  </c:v>
                </c:pt>
                <c:pt idx="2">
                  <c:v>55</c:v>
                </c:pt>
                <c:pt idx="3">
                  <c:v>Male</c:v>
                </c:pt>
                <c:pt idx="4">
                  <c:v>Donaldton</c:v>
                </c:pt>
                <c:pt idx="5">
                  <c:v>North Carolina</c:v>
                </c:pt>
              </c:strCache>
            </c:strRef>
          </c:cat>
          <c:val>
            <c:numRef>
              <c:f>'●Data visualization'!$X$8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9-4C82-B155-50384652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71791"/>
        <c:axId val="32872287"/>
      </c:areaChart>
      <c:catAx>
        <c:axId val="3287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2287"/>
        <c:crosses val="autoZero"/>
        <c:auto val="1"/>
        <c:lblAlgn val="ctr"/>
        <c:lblOffset val="100"/>
        <c:noMultiLvlLbl val="0"/>
      </c:catAx>
      <c:valAx>
        <c:axId val="328722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7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152401</xdr:colOff>
      <xdr:row>0</xdr:row>
      <xdr:rowOff>9525</xdr:rowOff>
    </xdr:from>
    <xdr:to>
      <xdr:col>13</xdr:col>
      <xdr:colOff>295275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198AD-17C6-84BD-F179-04BFF3F7A2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100012</xdr:rowOff>
    </xdr:from>
    <xdr:to>
      <xdr:col>14</xdr:col>
      <xdr:colOff>114300</xdr:colOff>
      <xdr:row>15</xdr:row>
      <xdr:rowOff>176212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18C956B-073A-2A9C-A869-AF2227698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533400</xdr:colOff>
      <xdr:row>16</xdr:row>
      <xdr:rowOff>185737</xdr:rowOff>
    </xdr:from>
    <xdr:to>
      <xdr:col>14</xdr:col>
      <xdr:colOff>228600</xdr:colOff>
      <xdr:row>31</xdr:row>
      <xdr:rowOff>71437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DE1DCC4-0CDC-3011-6DCA-B3B4DCA7A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2.063793518515" createdVersion="8" refreshedVersion="8" minRefreshableVersion="3" recordCount="500" xr:uid="{77F83759-CF1D-406E-A973-932F34E745D2}">
  <cacheSource type="worksheet">
    <worksheetSource ref="J3:Q503" sheet="Data cleaning"/>
  </cacheSource>
  <cacheFields count="8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</sharedItems>
    </cacheField>
    <cacheField name="Name" numFmtId="0">
      <sharedItems count="498">
        <s v="sheena bonilla"/>
        <s v="Eugene Nelson"/>
        <s v="dr. Benjamin Price"/>
        <s v="jeremy harris"/>
        <s v="Caroline Collins"/>
        <s v="Christine Vaughn"/>
        <s v="Amber Jackson"/>
        <s v="Daniel Boyd"/>
        <s v="Melissa Howard"/>
        <s v="Ms. Maria Leach"/>
        <s v="Dominic Page"/>
        <s v="Brian Lopez"/>
        <s v="Kenneth Lambert"/>
        <s v="Nathan Hernandez"/>
        <s v="Ashley Cohen"/>
        <s v="Laura Alvarez"/>
        <s v="John Scott"/>
        <s v="Adam Cruz"/>
        <s v="Rhonda Moss"/>
        <s v="Michael Torres"/>
        <s v="Bridget Allen"/>
        <s v="Jeff Martinez"/>
        <s v="paul fox"/>
        <s v="Jonathan Steele"/>
        <s v="Heather Collins"/>
        <s v="Diana Taylor"/>
        <s v="Amber Carlson"/>
        <s v="Leslie Johnson"/>
        <s v="Joshua Ryan"/>
        <s v="David Arnold"/>
        <s v="Jessica Acevedo"/>
        <s v="Sarah Vance"/>
        <s v="Mike Jennings"/>
        <s v="Robert Jones DDS"/>
        <s v="Christopher Olson"/>
        <s v="Rachel Myers"/>
        <s v="Thomas Phillips"/>
        <s v="Christopher Carter"/>
        <s v="Deanna Simpson"/>
        <s v="Tonya Reynolds"/>
        <s v="Eric Vega"/>
        <s v="James Gibbs"/>
        <s v="William Martin"/>
        <s v="Joseph Snow"/>
        <s v="Denise Williams"/>
        <s v="Jordan Jackson DDS"/>
        <s v="Michelle Garcia DDS"/>
        <s v="Gina Knight"/>
        <s v="April Mullins"/>
        <s v="Timothy Weaver"/>
        <s v="Matthew Hunter Jr."/>
        <s v="Sarah Rodgers"/>
        <s v="Debra Liu"/>
        <s v="Sharon Brown"/>
        <s v="Katherine Dorsey"/>
        <s v="Wayne Mcpherson"/>
        <s v="Christopher Sutton"/>
        <s v="Jay Patel"/>
        <s v="Cheryl Copeland"/>
        <s v="Alyssa Vargas"/>
        <s v="Dr. David Smith"/>
        <s v="Kristin Stein"/>
        <s v="James Bean"/>
        <s v="Michael Daniel"/>
        <s v="Mr. Mason Butler"/>
        <s v="Michael Thomas"/>
        <s v="Cody Diaz"/>
        <s v="Amber Mcclain"/>
        <s v="Mr. Mark Beasley"/>
        <s v="Roy Cole"/>
        <s v="Eric Singh"/>
        <s v="Andrea Perez"/>
        <s v="Tonya Burch"/>
        <s v="Christopher Brown"/>
        <s v="John Mayer"/>
        <s v="Rhonda Morales"/>
        <s v="Nathan Campbell"/>
        <s v="Katherine Young"/>
        <s v="Cody Blake"/>
        <s v="Molly Gardner"/>
        <s v="Jennifer Garcia"/>
        <s v="Krystal Ford"/>
        <s v="George Rosario"/>
        <s v="Thomas Robinson"/>
        <s v="Christy Hoffman"/>
        <s v="Richard Delgado"/>
        <s v="Tammy Miller MD"/>
        <s v="Melissa Duffy MD"/>
        <s v="Timothy Wright"/>
        <s v="Jamie Yoder"/>
        <s v="Oscar Moon"/>
        <s v="Donna Gregory"/>
        <s v="Robert Jackson"/>
        <s v="Christy Vasquez"/>
        <s v="David Patterson"/>
        <s v="Amy Fowler"/>
        <s v="Samantha Walker"/>
        <s v="David Cobb"/>
        <s v="Brittney Morgan"/>
        <s v="Sheila Wilson"/>
        <s v="Diane Watson"/>
        <s v="Colleen Maynard"/>
        <s v="Sarah Schneider"/>
        <s v="Steven Stein"/>
        <s v="Christopher Lester"/>
        <s v="Lance Baker"/>
        <s v="Howard Summers"/>
        <s v="Erica Carney"/>
        <s v="Travis Holland"/>
        <s v="Amy Walker"/>
        <s v="Ashley Griffin"/>
        <s v="Julie Farmer"/>
        <s v="David Cole"/>
        <s v="Edward Hall"/>
        <s v="Ryan Hernandez"/>
        <s v="Tyler Conrad"/>
        <s v="Anthony Phillips"/>
        <s v="Colleen Mccarthy"/>
        <s v="Earl Allen"/>
        <s v="Michael Jones"/>
        <s v="Jacob Hopkins"/>
        <s v="Joel Robinson"/>
        <s v="Michael Chang"/>
        <s v="Erin Hopkins"/>
        <s v="Donald Lee"/>
        <s v="Keith Miller"/>
        <s v="James Wolfe"/>
        <s v="John Mcknight"/>
        <s v="Susan Mcdonald"/>
        <s v="Jessica Mitchell"/>
        <s v="Jamie Reyes"/>
        <s v="Joseph Richards"/>
        <s v="Miguel Reynolds"/>
        <s v="Hayley Pope"/>
        <s v="Morgan Bowen"/>
        <s v="Matthew Hanna"/>
        <s v="Patrick Coleman"/>
        <s v="Rick Dominguez"/>
        <s v="Sean Roth"/>
        <s v="Brian Holder"/>
        <s v="Patty Francis"/>
        <s v="Cristian Wright"/>
        <s v="Maria Ramirez"/>
        <s v="Carlos Skinner"/>
        <s v="Justin Cross"/>
        <s v="Cameron Simpson"/>
        <s v="Edward Rivera"/>
        <s v="Rhonda Young"/>
        <s v="Theresa Campbell"/>
        <s v="Denise Griffin"/>
        <s v="Stephanie Conway"/>
        <s v="Michael Davies"/>
        <s v="Patrick Roberts"/>
        <s v="Joseph Faulkner"/>
        <s v="Julie Hale"/>
        <s v="Curtis Haynes"/>
        <s v="Maria Sanchez"/>
        <s v="Paul Zamora"/>
        <s v="Sean Powell"/>
        <s v="Brian Choi"/>
        <s v="John Lawson"/>
        <s v="Cynthia Morris"/>
        <s v="Mariah Brown"/>
        <s v="Joseph Jones"/>
        <s v="Daniel Rivas"/>
        <s v="Jason Wheeler"/>
        <s v="Patricia Gardner"/>
        <s v="Antonio Wade"/>
        <s v="Daniel Contreras"/>
        <s v="Steve Mclaughlin"/>
        <s v="Christopher Garcia DDS"/>
        <s v="Amy Wilson"/>
        <s v="Thomas Rhodes"/>
        <s v="Teresa Stokes"/>
        <s v="Maria Davis"/>
        <s v="Michelle Rogers"/>
        <s v="John Bradford"/>
        <s v="Curtis Lam"/>
        <s v="Michelle Myers"/>
        <s v="Nicholas Bradshaw"/>
        <s v="Wesley Thompson"/>
        <s v="Erin Ward"/>
        <s v="Melissa Hamilton"/>
        <s v="Mario Jacobs"/>
        <s v="Leonard Cochran"/>
        <s v="Brent Rivas"/>
        <s v="Jennifer Pruitt"/>
        <s v="Dr. Suzanne Bullock"/>
        <s v="Kimberly Brooks"/>
        <s v="Daniel Austin"/>
        <s v="Christopher Stewart"/>
        <s v="Todd Poole"/>
        <s v="Jacob Wood"/>
        <s v="David Roberts"/>
        <s v="Ashley Ferguson"/>
        <s v="Anthony Garcia"/>
        <s v="Megan Greer"/>
        <s v="Andrea Jacobs"/>
        <s v="Wanda Snyder"/>
        <s v="Carmen Price"/>
        <s v="Anna Perez"/>
        <s v="Mary Boyd"/>
        <s v="Christina Garcia"/>
        <s v="Sarah Brady"/>
        <s v="Tiffany Herrera"/>
        <s v="Michelle Carpenter"/>
        <s v="Ronald Jones"/>
        <s v="Jacqueline Pacheco"/>
        <s v="John Perez"/>
        <s v="Joan Johnson"/>
        <s v="Antonio Jones"/>
        <s v="Rodney Huffman"/>
        <s v="Blake Harrison"/>
        <s v="Stuart Johnson"/>
        <s v="Eric Todd"/>
        <s v="Steve Medina"/>
        <s v="Kathryn Garcia"/>
        <s v="Kathy Copeland"/>
        <s v="Julia Jackson"/>
        <s v="Jordan Wells"/>
        <s v="George Davis"/>
        <s v="Lisa Young"/>
        <s v="Alejandro Doyle"/>
        <s v="Robert Harris"/>
        <s v="Anthony Morgan"/>
        <s v="Elizabeth Stanley"/>
        <s v="Alexis Castaneda"/>
        <s v="Gregory Pham"/>
        <s v="Casey Flores"/>
        <s v="Tanner Thompson"/>
        <s v="Timothy Sanders"/>
        <s v="Timothy Juarez"/>
        <s v="Christy Hill"/>
        <s v="Michelle Gonzalez"/>
        <s v="Nathaniel Hill"/>
        <s v="Jon Ortiz"/>
        <s v="Joshua Wilson"/>
        <s v="Wesley Short"/>
        <s v="Steven Smith"/>
        <s v="Maria Hill"/>
        <s v="William Hull"/>
        <s v="Mr. William Horton"/>
        <s v="William Jackson"/>
        <s v="Brian Hammond"/>
        <s v="Nancy Page"/>
        <s v="Laura Soto"/>
        <s v="Mary Russell"/>
        <s v="Douglas Rhodes"/>
        <s v="Nicholas Webb"/>
        <s v="Lauren George"/>
        <s v="Veronica Newman"/>
        <s v="Tyler Garner"/>
        <s v="John Mccoy"/>
        <s v="Dr. Ashley Yates MD"/>
        <s v="Linda Kline"/>
        <s v="Damon Perez"/>
        <s v="Kristen Fischer"/>
        <s v="Christopher David"/>
        <s v="Sarah Stewart"/>
        <s v="Beth Allen"/>
        <s v="Russell Lamb"/>
        <s v="Carol Bishop"/>
        <s v="Katherine Cowan"/>
        <s v="Crystal Davis"/>
        <s v="Matthew Payne"/>
        <s v="Tracy Kelly"/>
        <s v="Cynthia Payne"/>
        <s v="Zachary Shelton"/>
        <s v="Kevin Orr"/>
        <s v="Tyrone Olson"/>
        <s v="Brian Garcia"/>
        <s v="Daisy Johnson DDS"/>
        <s v="Adam Rowland"/>
        <s v="Samantha Robinson"/>
        <s v="Sarah Lane"/>
        <s v="Shannon Miller"/>
        <s v="Arthur Warren"/>
        <s v="Jeffrey Gomez"/>
        <s v="Stephen Fowler"/>
        <s v="Aaron Luna"/>
        <s v="Antonio Leon"/>
        <s v="Brittany Watson"/>
        <s v="Kristi Lopez"/>
        <s v="Bryan Garcia"/>
        <s v="Hunter Sutton"/>
        <s v="Donna Guerra"/>
        <s v="Tommy Roberts"/>
        <s v="Cynthia Roberts"/>
        <s v="Misty Ferguson"/>
        <s v="Jennifer Figueroa"/>
        <s v="Chase Williams MD"/>
        <s v="James Powell"/>
        <s v="Ricardo Jones"/>
        <s v="Gloria Taylor"/>
        <s v="Lisa Chandler"/>
        <s v="Crystal Waters"/>
        <s v="Jared Moran"/>
        <s v="Jennifer Carr"/>
        <s v="Tracy Stephens"/>
        <s v="Stephanie Jacobs"/>
        <s v="Matthew Avery"/>
        <s v="Ryan Kane"/>
        <s v="Edward Cole"/>
        <s v="John Sloan"/>
        <s v="Miss Alexandria Li DVM"/>
        <s v="Roberta Green"/>
        <s v="Angela Robinson"/>
        <s v="Brandy Thompson"/>
        <s v="Jennifer Zamora"/>
        <s v="Stacy Collins"/>
        <s v="Kara Dodson"/>
        <s v="Kevin Larson"/>
        <s v="Jason Mullins"/>
        <s v="Elizabeth Jones"/>
        <s v="Elizabeth Johnson"/>
        <s v="William Rodriguez"/>
        <s v="Robert House"/>
        <s v="Tiffany Williams"/>
        <s v="Madison Wright"/>
        <s v="Casey Simpson"/>
        <s v="Jessica Gonzalez"/>
        <s v="Darren Burton"/>
        <s v="Samuel Arias"/>
        <s v="Kristy Dunlap"/>
        <s v="Alex Mann II"/>
        <s v="Andrew Smith"/>
        <s v="Robert King"/>
        <s v="Reginald Willis"/>
        <s v="Mario Harvey Jr."/>
        <s v="Victor Mcintosh"/>
        <s v="Pamela Mcguire"/>
        <s v="Maria Phillips"/>
        <s v="Dr. Lindsay Hanna"/>
        <s v="Teresa Johnson"/>
        <s v="Mr. Christopher Sims"/>
        <s v="Jennifer Woods"/>
        <s v="John Jones"/>
        <s v="Carol Lewis"/>
        <s v="Jasmine Snyder"/>
        <s v="Mrs. Susan Buckley"/>
        <s v="Eric Davis"/>
        <s v="Angela Williams"/>
        <s v="Michelle Cunningham"/>
        <s v="Ryan Moore"/>
        <s v="Evelyn Brown"/>
        <s v="Daniel Nelson"/>
        <s v="John Jordan"/>
        <s v="Justin Mason DDS"/>
        <s v="Sherry Cabrera"/>
        <s v="Heather Valenzuela"/>
        <s v="Charles Miller"/>
        <s v="Jeffrey Mccarthy"/>
        <s v="Michael Greene"/>
        <s v="laura green"/>
        <s v="Ryan Torres"/>
        <s v="Carlos Flores"/>
        <s v="Steve Hunt"/>
        <s v="Manuel Castillo"/>
        <s v="Ashley Anderson"/>
        <s v="Melanie Lam"/>
        <s v="Denise Tate"/>
        <s v="Natalie Johnson"/>
        <s v="Joshua Smith DVM"/>
        <s v="Elizabeth Smith"/>
        <s v="Chloe Aguilar"/>
        <s v="Brandon Mcbride"/>
        <s v="Mallory Allen"/>
        <s v="Melinda Johnson"/>
        <s v="Miranda King"/>
        <s v="Gregory Allen"/>
        <s v="James Holloway Jr."/>
        <s v="Michael Garner"/>
        <s v="Jacqueline Anthony"/>
        <s v="James Orozco"/>
        <s v="Emma Wilson"/>
        <s v="Joshua Bell"/>
        <s v="Michele Burke"/>
        <s v="Charles Conley"/>
        <s v="Frank Stewart"/>
        <s v="Tanya Lopez"/>
        <s v="Shelley Ponce"/>
        <s v="Erika Padilla"/>
        <s v="Martha Brown"/>
        <s v="Kristine Higgins"/>
        <s v="Andrew Mason"/>
        <s v="Tammy Brennan"/>
        <s v="Melanie Mitchell"/>
        <s v="Timothy Gardner"/>
        <s v="Timothy Valenzuela"/>
        <s v="Cynthia Lopez"/>
        <s v="Daniel Bell"/>
        <s v="Heidi Tyler"/>
        <s v="Jacqueline Payne"/>
        <s v="Michael Mcneil"/>
        <s v="Alejandro Evans"/>
        <s v="Brandon Mcguire"/>
        <s v="Alexander Byrd"/>
        <s v="Charles Norman PhD"/>
        <s v="Jennifer Johnson"/>
        <s v="John Donaldson"/>
        <s v="Mark Rogers"/>
        <s v="Terry Moses"/>
        <s v="Cassandra Perez"/>
        <s v="Justin Ingram"/>
        <s v="David Ross"/>
        <s v="Eric Wolfe"/>
        <s v="David Lozano"/>
        <s v="Joseph Mendoza"/>
        <s v="Isabel Foster"/>
        <s v="Sarah Smith"/>
        <s v="Jackie Thompson"/>
        <s v="Katrina Perez"/>
        <s v="Shane Brown"/>
        <s v="Megan Ryan"/>
        <s v="Melissa Valentine"/>
        <s v="Tyler Cook"/>
        <s v="Jennifer Myers"/>
        <s v="Karen King"/>
        <s v="Luke Parks"/>
        <s v="Monica Miller"/>
        <s v="Dr. Tamara White MD"/>
        <s v="Holly Robinson"/>
        <s v="Brittany Edwards DDS"/>
        <s v="Rebecca Baker"/>
        <s v="Edwin Barnes"/>
        <s v="Bryce Hawkins"/>
        <s v="Jeanette Nichols"/>
        <s v="Jose Stewart"/>
        <s v="Samuel Mullins"/>
        <s v="Sean Vang"/>
        <s v="Kimberly Roberts"/>
        <s v="John Smith"/>
        <s v="Summer Weiss"/>
        <s v="Thomas Moore"/>
        <s v="Monique Castro"/>
        <s v="Lindsay Beasley"/>
        <s v="Sharon Simpson"/>
        <s v="Melinda Rivera"/>
        <s v="Monica Flynn"/>
        <s v="John Compton"/>
        <s v="Tammy Trevino"/>
        <s v="Dalton Walters"/>
        <s v="Kelli Smith"/>
        <s v="Adam Castro"/>
        <s v="Cheryl Carr"/>
        <s v="Gene Lee"/>
        <s v="Shannon Turner"/>
        <s v="Monica Wright"/>
        <s v="Eric Holmes"/>
        <s v="William Cortez"/>
        <s v="Shane Mills"/>
        <s v="Ashley Roberts"/>
        <s v="Jeffery Wolf"/>
        <s v="April Phillips"/>
        <s v="John Berg"/>
        <s v="Tyler Weber"/>
        <s v="Julie Powell"/>
        <s v="Christina Robertson"/>
        <s v="Kelly Garrett"/>
        <s v="Justin Johnson"/>
        <s v="Paul Cox"/>
        <s v="Beth Martin"/>
        <s v="Samantha Lee"/>
        <s v="David Pierce"/>
        <s v="Ronald Ross"/>
        <s v="Cynthia Parrish"/>
        <s v="Michael Foley"/>
        <s v="Gregory Curtis"/>
        <s v="James Foster"/>
        <s v="Manuel Fisher"/>
        <s v="Debra Mccullough"/>
        <s v="Philip Mendoza"/>
        <s v="Laura Mathews"/>
        <s v="Joshua Howard"/>
        <s v="Barbara Berry"/>
        <s v="Elizabeth Foster"/>
        <s v="Andrea Harris"/>
        <s v="Earl Smith DDS"/>
        <s v="Dylan Gutierrez"/>
        <s v="Jordan Medina"/>
        <s v="Bryan Tran"/>
        <s v="Sheri Joyce"/>
        <s v="Jessica Castro"/>
        <s v="Sara Ingram"/>
        <s v="Eric Lee"/>
        <s v="Amanda Medina"/>
        <s v="Zachary Andrade"/>
        <s v="Melinda Thomas"/>
        <s v="Scott Harris"/>
        <s v="Kaitlin Brown"/>
        <s v="Darrell Miller"/>
        <s v="Amanda Powell"/>
        <s v="Justin Lopez"/>
        <s v="James Berger"/>
        <s v="Christopher Ford"/>
        <s v="Sarah Marsh"/>
        <s v="Traci Gonzalez"/>
        <s v="Philip Pennington"/>
      </sharedItems>
    </cacheField>
    <cacheField name="Age" numFmtId="0">
      <sharedItems count="47">
        <s v="55"/>
        <s v="26"/>
        <s v="29"/>
        <s v="59"/>
        <s v="64"/>
        <s v="24"/>
        <s v="53"/>
        <s v="28"/>
        <s v="32"/>
        <s v="49"/>
        <s v="60"/>
        <s v="43"/>
        <s v="46"/>
        <s v="36"/>
        <s v="33"/>
        <s v="52"/>
        <s v="40"/>
        <s v="18"/>
        <s v="31"/>
        <s v="27"/>
        <s v="54"/>
        <s v="41"/>
        <s v="48"/>
        <s v="25"/>
        <s v="20"/>
        <s v="35"/>
        <s v="50"/>
        <s v="21"/>
        <s v="19"/>
        <s v="45"/>
        <s v="34"/>
        <s v="61"/>
        <s v="23"/>
        <s v="37"/>
        <s v="56"/>
        <s v="51"/>
        <s v="22"/>
        <s v="58"/>
        <s v="39"/>
        <s v="44"/>
        <s v="62"/>
        <s v="30"/>
        <s v="38"/>
        <s v="57"/>
        <s v="63"/>
        <s v="42"/>
        <s v="47"/>
      </sharedItems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 count="50">
        <s v="North Carolina"/>
        <s v="North Dakota"/>
        <s v="Alabama"/>
        <s v="Ohio"/>
        <s v="California"/>
        <s v="Oregon"/>
        <s v="South Dakota"/>
        <s v="West Virginia"/>
        <s v="New Hampshire"/>
        <s v="Pennsylvania"/>
        <s v="New York"/>
        <s v="Kansas"/>
        <s v="Montana"/>
        <s v="Nebraska"/>
        <s v="Washington"/>
        <s v="Georgia"/>
        <s v="New Jersey"/>
        <s v="Delaware"/>
        <s v="Oklahoma"/>
        <s v="Hawaii"/>
        <s v="Idaho"/>
        <s v="Missouri"/>
        <s v="Utah"/>
        <s v="Arizona"/>
        <s v="Maryland"/>
        <s v="Michigan"/>
        <s v="Alaska"/>
        <s v="Connecticut"/>
        <s v="Vermont"/>
        <s v="Nevada"/>
        <s v="Illinois"/>
        <s v="Minnesota"/>
        <s v="Rhode Island"/>
        <s v="New Mexico"/>
        <s v="Tennessee"/>
        <s v="Florida"/>
        <s v="Indiana"/>
        <s v="Iowa"/>
        <s v="Colorado"/>
        <s v="Virginia"/>
        <s v="Arkansas"/>
        <s v="Mississippi"/>
        <s v="South Carolina"/>
        <s v="Wisconsin"/>
        <s v="Louisiana"/>
        <s v="Texas"/>
        <s v="Maine"/>
        <s v="Kentucky"/>
        <s v="Massachusetts"/>
        <s v="Wyoming"/>
      </sharedItems>
    </cacheField>
    <cacheField name="Country" numFmtId="0">
      <sharedItems/>
    </cacheField>
    <cacheField name="Loyalty_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5.10390671296" createdVersion="8" refreshedVersion="8" minRefreshableVersion="3" recordCount="500" xr:uid="{CAD33E99-1F46-4C0F-B69A-766C05A538E4}">
  <cacheSource type="worksheet">
    <worksheetSource ref="S1:Z501" sheet="●Data visualization"/>
  </cacheSource>
  <cacheFields count="8">
    <cacheField name="Customer_ID" numFmtId="0">
      <sharedItems count="500">
        <s v="CUST1000"/>
        <s v="CUST1001"/>
        <s v="CUST1002"/>
        <s v="CUST1003"/>
        <s v="CUST1004"/>
        <s v="CUST1005"/>
        <s v="CUST1006"/>
        <s v="CUST1007"/>
        <s v="CUST1008"/>
        <s v="CUST1009"/>
        <s v="CUST1010"/>
        <s v="CUST1011"/>
        <s v="CUST1012"/>
        <s v="CUST1013"/>
        <s v="CUST1014"/>
        <s v="CUST1015"/>
        <s v="CUST1016"/>
        <s v="CUST1017"/>
        <s v="CUST1018"/>
        <s v="CUST1019"/>
        <s v="CUST1020"/>
        <s v="CUST1021"/>
        <s v="CUST1022"/>
        <s v="CUST1023"/>
        <s v="CUST1024"/>
        <s v="CUST1025"/>
        <s v="CUST1026"/>
        <s v="CUST1027"/>
        <s v="CUST1028"/>
        <s v="CUST1029"/>
        <s v="CUST1030"/>
        <s v="CUST1031"/>
        <s v="CUST1032"/>
        <s v="CUST1033"/>
        <s v="CUST1034"/>
        <s v="CUST1035"/>
        <s v="CUST1036"/>
        <s v="CUST1037"/>
        <s v="CUST1038"/>
        <s v="CUST1039"/>
        <s v="CUST1040"/>
        <s v="CUST1041"/>
        <s v="CUST1042"/>
        <s v="CUST1043"/>
        <s v="CUST1044"/>
        <s v="CUST1045"/>
        <s v="CUST1046"/>
        <s v="CUST1047"/>
        <s v="CUST1048"/>
        <s v="CUST1049"/>
        <s v="CUST1050"/>
        <s v="CUST1051"/>
        <s v="CUST1052"/>
        <s v="CUST1053"/>
        <s v="CUST1054"/>
        <s v="CUST1055"/>
        <s v="CUST1056"/>
        <s v="CUST1057"/>
        <s v="CUST1058"/>
        <s v="CUST1059"/>
        <s v="CUST1060"/>
        <s v="CUST1061"/>
        <s v="CUST1062"/>
        <s v="CUST1063"/>
        <s v="CUST1064"/>
        <s v="CUST1065"/>
        <s v="CUST1066"/>
        <s v="CUST1067"/>
        <s v="CUST1068"/>
        <s v="CUST1069"/>
        <s v="CUST1070"/>
        <s v="CUST1071"/>
        <s v="CUST1072"/>
        <s v="CUST1073"/>
        <s v="CUST1074"/>
        <s v="CUST1075"/>
        <s v="CUST1076"/>
        <s v="CUST1077"/>
        <s v="CUST1078"/>
        <s v="CUST1079"/>
        <s v="CUST1080"/>
        <s v="CUST1081"/>
        <s v="CUST1082"/>
        <s v="CUST1083"/>
        <s v="CUST1084"/>
        <s v="CUST1085"/>
        <s v="CUST1086"/>
        <s v="CUST1087"/>
        <s v="CUST1088"/>
        <s v="CUST1089"/>
        <s v="CUST1090"/>
        <s v="CUST1091"/>
        <s v="CUST1092"/>
        <s v="CUST1093"/>
        <s v="CUST1094"/>
        <s v="CUST1095"/>
        <s v="CUST1096"/>
        <s v="CUST1097"/>
        <s v="CUST1098"/>
        <s v="CUST1099"/>
        <s v="CUST1100"/>
        <s v="CUST1101"/>
        <s v="CUST1102"/>
        <s v="CUST1103"/>
        <s v="CUST1104"/>
        <s v="CUST1105"/>
        <s v="CUST1106"/>
        <s v="CUST1107"/>
        <s v="CUST1108"/>
        <s v="CUST1109"/>
        <s v="CUST1110"/>
        <s v="CUST1111"/>
        <s v="CUST1112"/>
        <s v="CUST1113"/>
        <s v="CUST1114"/>
        <s v="CUST1115"/>
        <s v="CUST1116"/>
        <s v="CUST1117"/>
        <s v="CUST1118"/>
        <s v="CUST1119"/>
        <s v="CUST1120"/>
        <s v="CUST1121"/>
        <s v="CUST1122"/>
        <s v="CUST1123"/>
        <s v="CUST1124"/>
        <s v="CUST1125"/>
        <s v="CUST1126"/>
        <s v="CUST1127"/>
        <s v="CUST1128"/>
        <s v="CUST1129"/>
        <s v="CUST1130"/>
        <s v="CUST1131"/>
        <s v="CUST1132"/>
        <s v="CUST1133"/>
        <s v="CUST1134"/>
        <s v="CUST1135"/>
        <s v="CUST1136"/>
        <s v="CUST1137"/>
        <s v="CUST1138"/>
        <s v="CUST1139"/>
        <s v="CUST1140"/>
        <s v="CUST1141"/>
        <s v="CUST1142"/>
        <s v="CUST1143"/>
        <s v="CUST1144"/>
        <s v="CUST1145"/>
        <s v="CUST1146"/>
        <s v="CUST1147"/>
        <s v="CUST1148"/>
        <s v="CUST1149"/>
        <s v="CUST1150"/>
        <s v="CUST1151"/>
        <s v="CUST1152"/>
        <s v="CUST1153"/>
        <s v="CUST1154"/>
        <s v="CUST1155"/>
        <s v="CUST1156"/>
        <s v="CUST1157"/>
        <s v="CUST1158"/>
        <s v="CUST1159"/>
        <s v="CUST1160"/>
        <s v="CUST1161"/>
        <s v="CUST1162"/>
        <s v="CUST1163"/>
        <s v="CUST1164"/>
        <s v="CUST1165"/>
        <s v="CUST1166"/>
        <s v="CUST1167"/>
        <s v="CUST1168"/>
        <s v="CUST1169"/>
        <s v="CUST1170"/>
        <s v="CUST1171"/>
        <s v="CUST1172"/>
        <s v="CUST1173"/>
        <s v="CUST1174"/>
        <s v="CUST1175"/>
        <s v="CUST1176"/>
        <s v="CUST1177"/>
        <s v="CUST1178"/>
        <s v="CUST1179"/>
        <s v="CUST1180"/>
        <s v="CUST1181"/>
        <s v="CUST1182"/>
        <s v="CUST1183"/>
        <s v="CUST1184"/>
        <s v="CUST1185"/>
        <s v="CUST1186"/>
        <s v="CUST1187"/>
        <s v="CUST1188"/>
        <s v="CUST1189"/>
        <s v="CUST1190"/>
        <s v="CUST1191"/>
        <s v="CUST1192"/>
        <s v="CUST1193"/>
        <s v="CUST1194"/>
        <s v="CUST1195"/>
        <s v="CUST1196"/>
        <s v="CUST1197"/>
        <s v="CUST1198"/>
        <s v="CUST1199"/>
        <s v="CUST1200"/>
        <s v="CUST1201"/>
        <s v="CUST1202"/>
        <s v="CUST1203"/>
        <s v="CUST1204"/>
        <s v="CUST1205"/>
        <s v="CUST1206"/>
        <s v="CUST1207"/>
        <s v="CUST1208"/>
        <s v="CUST1209"/>
        <s v="CUST1210"/>
        <s v="CUST1211"/>
        <s v="CUST1212"/>
        <s v="CUST1213"/>
        <s v="CUST1214"/>
        <s v="CUST1215"/>
        <s v="CUST1216"/>
        <s v="CUST1217"/>
        <s v="CUST1218"/>
        <s v="CUST1219"/>
        <s v="CUST1220"/>
        <s v="CUST1221"/>
        <s v="CUST1222"/>
        <s v="CUST1223"/>
        <s v="CUST1224"/>
        <s v="CUST1225"/>
        <s v="CUST1226"/>
        <s v="CUST1227"/>
        <s v="CUST1228"/>
        <s v="CUST1229"/>
        <s v="CUST1230"/>
        <s v="CUST1231"/>
        <s v="CUST1232"/>
        <s v="CUST1233"/>
        <s v="CUST1234"/>
        <s v="CUST1235"/>
        <s v="CUST1236"/>
        <s v="CUST1237"/>
        <s v="CUST1238"/>
        <s v="CUST1239"/>
        <s v="CUST1240"/>
        <s v="CUST1241"/>
        <s v="CUST1242"/>
        <s v="CUST1243"/>
        <s v="CUST1244"/>
        <s v="CUST1245"/>
        <s v="CUST1246"/>
        <s v="CUST1247"/>
        <s v="CUST1248"/>
        <s v="CUST1249"/>
        <s v="CUST1250"/>
        <s v="CUST1251"/>
        <s v="CUST1252"/>
        <s v="CUST1253"/>
        <s v="CUST1254"/>
        <s v="CUST1255"/>
        <s v="CUST1256"/>
        <s v="CUST1257"/>
        <s v="CUST1258"/>
        <s v="CUST1259"/>
        <s v="CUST1260"/>
        <s v="CUST1261"/>
        <s v="CUST1262"/>
        <s v="CUST1263"/>
        <s v="CUST1264"/>
        <s v="CUST1265"/>
        <s v="CUST1266"/>
        <s v="CUST1267"/>
        <s v="CUST1268"/>
        <s v="CUST1269"/>
        <s v="CUST1270"/>
        <s v="CUST1271"/>
        <s v="CUST1272"/>
        <s v="CUST1273"/>
        <s v="CUST1274"/>
        <s v="CUST1275"/>
        <s v="CUST1276"/>
        <s v="CUST1277"/>
        <s v="CUST1278"/>
        <s v="CUST1279"/>
        <s v="CUST1280"/>
        <s v="CUST1281"/>
        <s v="CUST1282"/>
        <s v="CUST1283"/>
        <s v="CUST1284"/>
        <s v="CUST1285"/>
        <s v="CUST1286"/>
        <s v="CUST1287"/>
        <s v="CUST1288"/>
        <s v="CUST1289"/>
        <s v="CUST1290"/>
        <s v="CUST1291"/>
        <s v="CUST1292"/>
        <s v="CUST1293"/>
        <s v="CUST1294"/>
        <s v="CUST1295"/>
        <s v="CUST1296"/>
        <s v="CUST1297"/>
        <s v="CUST1298"/>
        <s v="CUST1299"/>
        <s v="CUST1300"/>
        <s v="CUST1301"/>
        <s v="CUST1302"/>
        <s v="CUST1303"/>
        <s v="CUST1304"/>
        <s v="CUST1305"/>
        <s v="CUST1306"/>
        <s v="CUST1307"/>
        <s v="CUST1308"/>
        <s v="CUST1309"/>
        <s v="CUST1310"/>
        <s v="CUST1311"/>
        <s v="CUST1312"/>
        <s v="CUST1313"/>
        <s v="CUST1314"/>
        <s v="CUST1315"/>
        <s v="CUST1316"/>
        <s v="CUST1317"/>
        <s v="CUST1318"/>
        <s v="CUST1319"/>
        <s v="CUST1320"/>
        <s v="CUST1321"/>
        <s v="CUST1322"/>
        <s v="CUST1323"/>
        <s v="CUST1324"/>
        <s v="CUST1325"/>
        <s v="CUST1326"/>
        <s v="CUST1327"/>
        <s v="CUST1328"/>
        <s v="CUST1329"/>
        <s v="CUST1330"/>
        <s v="CUST1331"/>
        <s v="CUST1332"/>
        <s v="CUST1333"/>
        <s v="CUST1334"/>
        <s v="CUST1335"/>
        <s v="CUST1336"/>
        <s v="CUST1337"/>
        <s v="CUST1338"/>
        <s v="CUST1339"/>
        <s v="CUST1340"/>
        <s v="CUST1341"/>
        <s v="CUST1342"/>
        <s v="CUST1343"/>
        <s v="CUST1344"/>
        <s v="CUST1345"/>
        <s v="CUST1346"/>
        <s v="CUST1347"/>
        <s v="CUST1348"/>
        <s v="CUST1349"/>
        <s v="CUST1350"/>
        <s v="CUST1351"/>
        <s v="CUST1352"/>
        <s v="CUST1353"/>
        <s v="CUST1354"/>
        <s v="CUST1355"/>
        <s v="CUST1356"/>
        <s v="CUST1357"/>
        <s v="CUST1358"/>
        <s v="CUST1359"/>
        <s v="CUST1360"/>
        <s v="CUST1361"/>
        <s v="CUST1362"/>
        <s v="CUST1363"/>
        <s v="CUST1364"/>
        <s v="CUST1365"/>
        <s v="CUST1366"/>
        <s v="CUST1367"/>
        <s v="CUST1368"/>
        <s v="CUST1369"/>
        <s v="CUST1370"/>
        <s v="CUST1371"/>
        <s v="CUST1372"/>
        <s v="CUST1373"/>
        <s v="CUST1374"/>
        <s v="CUST1375"/>
        <s v="CUST1376"/>
        <s v="CUST1377"/>
        <s v="CUST1378"/>
        <s v="CUST1379"/>
        <s v="CUST1380"/>
        <s v="CUST1381"/>
        <s v="CUST1382"/>
        <s v="CUST1383"/>
        <s v="CUST1384"/>
        <s v="CUST1385"/>
        <s v="CUST1386"/>
        <s v="CUST1387"/>
        <s v="CUST1388"/>
        <s v="CUST1389"/>
        <s v="CUST1390"/>
        <s v="CUST1391"/>
        <s v="CUST1392"/>
        <s v="CUST1393"/>
        <s v="CUST1394"/>
        <s v="CUST1395"/>
        <s v="CUST1396"/>
        <s v="CUST1397"/>
        <s v="CUST1398"/>
        <s v="CUST1399"/>
        <s v="CUST1400"/>
        <s v="CUST1401"/>
        <s v="CUST1402"/>
        <s v="CUST1403"/>
        <s v="CUST1404"/>
        <s v="CUST1405"/>
        <s v="CUST1406"/>
        <s v="CUST1407"/>
        <s v="CUST1408"/>
        <s v="CUST1409"/>
        <s v="CUST1410"/>
        <s v="CUST1411"/>
        <s v="CUST1412"/>
        <s v="CUST1413"/>
        <s v="CUST1414"/>
        <s v="CUST1415"/>
        <s v="CUST1416"/>
        <s v="CUST1417"/>
        <s v="CUST1418"/>
        <s v="CUST1419"/>
        <s v="CUST1420"/>
        <s v="CUST1421"/>
        <s v="CUST1422"/>
        <s v="CUST1423"/>
        <s v="CUST1424"/>
        <s v="CUST1425"/>
        <s v="CUST1426"/>
        <s v="CUST1427"/>
        <s v="CUST1428"/>
        <s v="CUST1429"/>
        <s v="CUST1430"/>
        <s v="CUST1431"/>
        <s v="CUST1432"/>
        <s v="CUST1433"/>
        <s v="CUST1434"/>
        <s v="CUST1435"/>
        <s v="CUST1436"/>
        <s v="CUST1437"/>
        <s v="CUST1438"/>
        <s v="CUST1439"/>
        <s v="CUST1440"/>
        <s v="CUST1441"/>
        <s v="CUST1442"/>
        <s v="CUST1443"/>
        <s v="CUST1444"/>
        <s v="CUST1445"/>
        <s v="CUST1446"/>
        <s v="CUST1447"/>
        <s v="CUST1448"/>
        <s v="CUST1449"/>
        <s v="CUST1450"/>
        <s v="CUST1451"/>
        <s v="CUST1452"/>
        <s v="CUST1453"/>
        <s v="CUST1454"/>
        <s v="CUST1455"/>
        <s v="CUST1456"/>
        <s v="CUST1457"/>
        <s v="CUST1458"/>
        <s v="CUST1459"/>
        <s v="CUST1460"/>
        <s v="CUST1461"/>
        <s v="CUST1462"/>
        <s v="CUST1463"/>
        <s v="CUST1464"/>
        <s v="CUST1465"/>
        <s v="CUST1466"/>
        <s v="CUST1467"/>
        <s v="CUST1468"/>
        <s v="CUST1469"/>
        <s v="CUST1470"/>
        <s v="CUST1471"/>
        <s v="CUST1472"/>
        <s v="CUST1473"/>
        <s v="CUST1474"/>
        <s v="CUST1475"/>
        <s v="CUST1476"/>
        <s v="CUST1477"/>
        <s v="CUST1478"/>
        <s v="CUST1479"/>
        <s v="CUST1480"/>
        <s v="CUST1481"/>
        <s v="CUST1482"/>
        <s v="CUST1483"/>
        <s v="CUST1484"/>
        <s v="CUST1485"/>
        <s v="CUST1486"/>
        <s v="CUST1487"/>
        <s v="CUST1488"/>
        <s v="CUST1489"/>
        <s v="CUST1490"/>
        <s v="CUST1491"/>
        <s v="CUST1492"/>
        <s v="CUST1493"/>
        <s v="CUST1494"/>
        <s v="CUST1495"/>
        <s v="CUST1496"/>
        <s v="CUST1497"/>
        <s v="CUST1498"/>
        <s v="CUST1499"/>
      </sharedItems>
    </cacheField>
    <cacheField name="Name" numFmtId="0">
      <sharedItems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State" numFmtId="0">
      <sharedItems/>
    </cacheField>
    <cacheField name="Country" numFmtId="0">
      <sharedItems/>
    </cacheField>
    <cacheField name="Loyalty_Level" numFmtId="0">
      <sharedItems containsBlank="1" count="5">
        <m/>
        <s v="Platinum"/>
        <s v="Bronze"/>
        <s v="Silve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s v="Donaldton"/>
    <x v="0"/>
    <s v="USA"/>
    <s v=""/>
  </r>
  <r>
    <x v="1"/>
    <x v="1"/>
    <x v="1"/>
    <x v="1"/>
    <s v="Phillipsmouth"/>
    <x v="1"/>
    <s v="USA"/>
    <s v="Platinum"/>
  </r>
  <r>
    <x v="2"/>
    <x v="2"/>
    <x v="2"/>
    <x v="1"/>
    <s v="Kylebury"/>
    <x v="2"/>
    <s v="USA"/>
    <s v="Platinum"/>
  </r>
  <r>
    <x v="3"/>
    <x v="3"/>
    <x v="3"/>
    <x v="1"/>
    <s v="Thomastown"/>
    <x v="3"/>
    <s v="USA"/>
    <s v="Bronze"/>
  </r>
  <r>
    <x v="4"/>
    <x v="4"/>
    <x v="4"/>
    <x v="1"/>
    <s v="Nicholasshire"/>
    <x v="4"/>
    <s v="USA"/>
    <s v="Silver"/>
  </r>
  <r>
    <x v="5"/>
    <x v="5"/>
    <x v="5"/>
    <x v="0"/>
    <s v="East Amandamouth"/>
    <x v="5"/>
    <s v="USA"/>
    <s v="Bronze"/>
  </r>
  <r>
    <x v="6"/>
    <x v="6"/>
    <x v="2"/>
    <x v="1"/>
    <s v="Deborahborough"/>
    <x v="6"/>
    <s v="USA"/>
    <s v="Platinum"/>
  </r>
  <r>
    <x v="7"/>
    <x v="7"/>
    <x v="2"/>
    <x v="1"/>
    <s v="West Pamelafurt"/>
    <x v="7"/>
    <s v="USA"/>
    <s v="Bronze"/>
  </r>
  <r>
    <x v="8"/>
    <x v="8"/>
    <x v="6"/>
    <x v="1"/>
    <s v="Maynardton"/>
    <x v="8"/>
    <s v="USA"/>
    <s v="Gold"/>
  </r>
  <r>
    <x v="9"/>
    <x v="9"/>
    <x v="4"/>
    <x v="0"/>
    <s v="Melissashire"/>
    <x v="9"/>
    <s v="USA"/>
    <s v="Platinum"/>
  </r>
  <r>
    <x v="10"/>
    <x v="10"/>
    <x v="6"/>
    <x v="0"/>
    <s v="Port Michaelburgh"/>
    <x v="9"/>
    <s v="USA"/>
    <s v="Bronze"/>
  </r>
  <r>
    <x v="11"/>
    <x v="11"/>
    <x v="7"/>
    <x v="1"/>
    <s v="East Krista"/>
    <x v="10"/>
    <s v="USA"/>
    <s v="Gold"/>
  </r>
  <r>
    <x v="12"/>
    <x v="12"/>
    <x v="0"/>
    <x v="1"/>
    <s v="North Kathryn"/>
    <x v="11"/>
    <s v="USA"/>
    <s v="Platinum"/>
  </r>
  <r>
    <x v="13"/>
    <x v="13"/>
    <x v="8"/>
    <x v="1"/>
    <s v="New Becky"/>
    <x v="12"/>
    <s v="USA"/>
    <s v="Silver"/>
  </r>
  <r>
    <x v="14"/>
    <x v="14"/>
    <x v="6"/>
    <x v="1"/>
    <s v="Lake Kristamouth"/>
    <x v="13"/>
    <s v="USA"/>
    <s v="Silver"/>
  </r>
  <r>
    <x v="15"/>
    <x v="15"/>
    <x v="9"/>
    <x v="1"/>
    <s v="Lawsonhaven"/>
    <x v="14"/>
    <s v="USA"/>
    <s v="Platinum"/>
  </r>
  <r>
    <x v="16"/>
    <x v="16"/>
    <x v="5"/>
    <x v="1"/>
    <s v="South Christopher"/>
    <x v="9"/>
    <s v="USA"/>
    <s v="Bronze"/>
  </r>
  <r>
    <x v="17"/>
    <x v="17"/>
    <x v="10"/>
    <x v="1"/>
    <s v="Brandonville"/>
    <x v="15"/>
    <s v="USA"/>
    <s v="Platinum"/>
  </r>
  <r>
    <x v="18"/>
    <x v="18"/>
    <x v="11"/>
    <x v="0"/>
    <s v="South William"/>
    <x v="11"/>
    <s v="USA"/>
    <s v=""/>
  </r>
  <r>
    <x v="19"/>
    <x v="19"/>
    <x v="12"/>
    <x v="1"/>
    <s v="Gonzalezfort"/>
    <x v="16"/>
    <s v="USA"/>
    <s v="Platinum"/>
  </r>
  <r>
    <x v="20"/>
    <x v="20"/>
    <x v="3"/>
    <x v="0"/>
    <s v="Lake Shaneburgh"/>
    <x v="17"/>
    <s v="USA"/>
    <s v="Silver"/>
  </r>
  <r>
    <x v="21"/>
    <x v="21"/>
    <x v="13"/>
    <x v="1"/>
    <s v="Smithburgh"/>
    <x v="18"/>
    <s v="USA"/>
    <s v="Gold"/>
  </r>
  <r>
    <x v="22"/>
    <x v="22"/>
    <x v="14"/>
    <x v="1"/>
    <s v="Michaelton"/>
    <x v="19"/>
    <s v="USA"/>
    <s v="Silver"/>
  </r>
  <r>
    <x v="23"/>
    <x v="23"/>
    <x v="15"/>
    <x v="1"/>
    <s v="Molinabury"/>
    <x v="5"/>
    <s v="USA"/>
    <s v="Silver"/>
  </r>
  <r>
    <x v="24"/>
    <x v="24"/>
    <x v="16"/>
    <x v="0"/>
    <s v="Rogerschester"/>
    <x v="20"/>
    <s v="USA"/>
    <s v="Platinum"/>
  </r>
  <r>
    <x v="25"/>
    <x v="25"/>
    <x v="3"/>
    <x v="1"/>
    <s v="Vasqueztown"/>
    <x v="4"/>
    <s v="USA"/>
    <s v="Bronze"/>
  </r>
  <r>
    <x v="26"/>
    <x v="26"/>
    <x v="17"/>
    <x v="1"/>
    <s v="East Michellemouth"/>
    <x v="21"/>
    <s v="USA"/>
    <s v="Gold"/>
  </r>
  <r>
    <x v="27"/>
    <x v="27"/>
    <x v="18"/>
    <x v="0"/>
    <s v="Mollyshire"/>
    <x v="22"/>
    <s v="USA"/>
    <s v=""/>
  </r>
  <r>
    <x v="28"/>
    <x v="28"/>
    <x v="19"/>
    <x v="1"/>
    <s v="New David"/>
    <x v="16"/>
    <s v="USA"/>
    <s v="Platinum"/>
  </r>
  <r>
    <x v="29"/>
    <x v="29"/>
    <x v="20"/>
    <x v="1"/>
    <s v="East Jennifer"/>
    <x v="4"/>
    <s v="USA"/>
    <s v="Silver"/>
  </r>
  <r>
    <x v="30"/>
    <x v="30"/>
    <x v="4"/>
    <x v="1"/>
    <s v="Amybury"/>
    <x v="9"/>
    <s v="USA"/>
    <s v="Bronze"/>
  </r>
  <r>
    <x v="31"/>
    <x v="31"/>
    <x v="21"/>
    <x v="0"/>
    <s v="Johnsonville"/>
    <x v="5"/>
    <s v="USA"/>
    <s v="Silver"/>
  </r>
  <r>
    <x v="32"/>
    <x v="32"/>
    <x v="22"/>
    <x v="1"/>
    <s v="Fostermouth"/>
    <x v="23"/>
    <s v="USA"/>
    <s v="Gold"/>
  </r>
  <r>
    <x v="33"/>
    <x v="33"/>
    <x v="23"/>
    <x v="0"/>
    <s v="Tristanton"/>
    <x v="18"/>
    <s v="USA"/>
    <s v="Platinum"/>
  </r>
  <r>
    <x v="34"/>
    <x v="34"/>
    <x v="19"/>
    <x v="1"/>
    <s v="West Richard"/>
    <x v="24"/>
    <s v="USA"/>
    <s v="Platinum"/>
  </r>
  <r>
    <x v="35"/>
    <x v="35"/>
    <x v="15"/>
    <x v="0"/>
    <s v="Robertberg"/>
    <x v="1"/>
    <s v="USA"/>
    <s v="Silver"/>
  </r>
  <r>
    <x v="36"/>
    <x v="36"/>
    <x v="24"/>
    <x v="1"/>
    <s v="Luisfurt"/>
    <x v="15"/>
    <s v="USA"/>
    <s v="Gold"/>
  </r>
  <r>
    <x v="37"/>
    <x v="37"/>
    <x v="19"/>
    <x v="1"/>
    <s v="Brendastad"/>
    <x v="6"/>
    <s v="USA"/>
    <s v=""/>
  </r>
  <r>
    <x v="38"/>
    <x v="38"/>
    <x v="25"/>
    <x v="1"/>
    <s v="Brownport"/>
    <x v="1"/>
    <s v="USA"/>
    <s v="Bronze"/>
  </r>
  <r>
    <x v="39"/>
    <x v="39"/>
    <x v="0"/>
    <x v="1"/>
    <s v="Darleneton"/>
    <x v="25"/>
    <s v="USA"/>
    <s v="Gold"/>
  </r>
  <r>
    <x v="40"/>
    <x v="40"/>
    <x v="26"/>
    <x v="0"/>
    <s v="Williamsonland"/>
    <x v="11"/>
    <s v="USA"/>
    <s v="Gold"/>
  </r>
  <r>
    <x v="41"/>
    <x v="41"/>
    <x v="27"/>
    <x v="0"/>
    <s v="Mooneyshire"/>
    <x v="26"/>
    <s v="USA"/>
    <s v="Platinum"/>
  </r>
  <r>
    <x v="42"/>
    <x v="42"/>
    <x v="28"/>
    <x v="0"/>
    <s v="Ryanburgh"/>
    <x v="27"/>
    <s v="USA"/>
    <s v="Platinum"/>
  </r>
  <r>
    <x v="43"/>
    <x v="43"/>
    <x v="29"/>
    <x v="0"/>
    <s v="South Michaelfort"/>
    <x v="28"/>
    <s v="USA"/>
    <s v="Gold"/>
  </r>
  <r>
    <x v="44"/>
    <x v="44"/>
    <x v="30"/>
    <x v="0"/>
    <s v="Christianstad"/>
    <x v="19"/>
    <s v="USA"/>
    <s v="Bronze"/>
  </r>
  <r>
    <x v="45"/>
    <x v="45"/>
    <x v="20"/>
    <x v="0"/>
    <s v="North Johnview"/>
    <x v="23"/>
    <s v="USA"/>
    <s v="Gold"/>
  </r>
  <r>
    <x v="46"/>
    <x v="46"/>
    <x v="0"/>
    <x v="1"/>
    <s v="Perezbury"/>
    <x v="3"/>
    <s v="USA"/>
    <s v="Platinum"/>
  </r>
  <r>
    <x v="47"/>
    <x v="47"/>
    <x v="20"/>
    <x v="1"/>
    <s v="Lake Roberthaven"/>
    <x v="29"/>
    <s v="USA"/>
    <s v="Silver"/>
  </r>
  <r>
    <x v="48"/>
    <x v="48"/>
    <x v="20"/>
    <x v="0"/>
    <s v="Dawsonbury"/>
    <x v="0"/>
    <s v="USA"/>
    <s v="Platinum"/>
  </r>
  <r>
    <x v="49"/>
    <x v="49"/>
    <x v="29"/>
    <x v="1"/>
    <s v="New Amy"/>
    <x v="3"/>
    <s v="USA"/>
    <s v="Gold"/>
  </r>
  <r>
    <x v="50"/>
    <x v="50"/>
    <x v="31"/>
    <x v="1"/>
    <s v="Gregoryview"/>
    <x v="30"/>
    <s v="USA"/>
    <s v="Gold"/>
  </r>
  <r>
    <x v="51"/>
    <x v="51"/>
    <x v="32"/>
    <x v="1"/>
    <s v="New Julia"/>
    <x v="7"/>
    <s v="USA"/>
    <s v="Gold"/>
  </r>
  <r>
    <x v="52"/>
    <x v="52"/>
    <x v="0"/>
    <x v="0"/>
    <s v="South Timtown"/>
    <x v="31"/>
    <s v="USA"/>
    <s v="Bronze"/>
  </r>
  <r>
    <x v="53"/>
    <x v="53"/>
    <x v="33"/>
    <x v="1"/>
    <s v="East Andrea"/>
    <x v="25"/>
    <s v="USA"/>
    <s v="Gold"/>
  </r>
  <r>
    <x v="54"/>
    <x v="54"/>
    <x v="5"/>
    <x v="0"/>
    <s v="Christopherland"/>
    <x v="18"/>
    <s v="USA"/>
    <s v="Platinum"/>
  </r>
  <r>
    <x v="55"/>
    <x v="55"/>
    <x v="34"/>
    <x v="1"/>
    <s v="Edwardsfort"/>
    <x v="31"/>
    <s v="USA"/>
    <s v="Bronze"/>
  </r>
  <r>
    <x v="56"/>
    <x v="56"/>
    <x v="9"/>
    <x v="1"/>
    <s v="Deborahberg"/>
    <x v="9"/>
    <s v="USA"/>
    <s v="Gold"/>
  </r>
  <r>
    <x v="57"/>
    <x v="57"/>
    <x v="11"/>
    <x v="1"/>
    <s v="Morrisbury"/>
    <x v="32"/>
    <s v="USA"/>
    <s v="Platinum"/>
  </r>
  <r>
    <x v="58"/>
    <x v="58"/>
    <x v="35"/>
    <x v="0"/>
    <s v="Snowmouth"/>
    <x v="24"/>
    <s v="USA"/>
    <s v="Platinum"/>
  </r>
  <r>
    <x v="59"/>
    <x v="59"/>
    <x v="6"/>
    <x v="0"/>
    <s v="New Kathrynland"/>
    <x v="12"/>
    <s v="USA"/>
    <s v="Platinum"/>
  </r>
  <r>
    <x v="60"/>
    <x v="60"/>
    <x v="36"/>
    <x v="1"/>
    <s v="Schmidtchester"/>
    <x v="26"/>
    <s v="USA"/>
    <s v="Silver"/>
  </r>
  <r>
    <x v="61"/>
    <x v="61"/>
    <x v="32"/>
    <x v="0"/>
    <s v="Jennifermouth"/>
    <x v="21"/>
    <s v="USA"/>
    <s v="Silver"/>
  </r>
  <r>
    <x v="62"/>
    <x v="62"/>
    <x v="26"/>
    <x v="0"/>
    <s v="Stevensonton"/>
    <x v="33"/>
    <s v="USA"/>
    <s v="Bronze"/>
  </r>
  <r>
    <x v="63"/>
    <x v="63"/>
    <x v="35"/>
    <x v="0"/>
    <s v="New Jesse"/>
    <x v="34"/>
    <s v="USA"/>
    <s v="Platinum"/>
  </r>
  <r>
    <x v="64"/>
    <x v="64"/>
    <x v="14"/>
    <x v="0"/>
    <s v="Port Kathrynhaven"/>
    <x v="23"/>
    <s v="USA"/>
    <s v="Gold"/>
  </r>
  <r>
    <x v="65"/>
    <x v="65"/>
    <x v="27"/>
    <x v="1"/>
    <s v="Woodmouth"/>
    <x v="29"/>
    <s v="USA"/>
    <s v="Silver"/>
  </r>
  <r>
    <x v="66"/>
    <x v="66"/>
    <x v="19"/>
    <x v="1"/>
    <s v="South Aaronside"/>
    <x v="8"/>
    <s v="USA"/>
    <s v="Silver"/>
  </r>
  <r>
    <x v="67"/>
    <x v="67"/>
    <x v="37"/>
    <x v="0"/>
    <s v="Brendaburgh"/>
    <x v="35"/>
    <s v="USA"/>
    <s v="Silver"/>
  </r>
  <r>
    <x v="68"/>
    <x v="68"/>
    <x v="5"/>
    <x v="1"/>
    <s v="West Johnchester"/>
    <x v="36"/>
    <s v="USA"/>
    <s v="Silver"/>
  </r>
  <r>
    <x v="69"/>
    <x v="69"/>
    <x v="5"/>
    <x v="1"/>
    <s v="North Cynthiatown"/>
    <x v="16"/>
    <s v="USA"/>
    <s v="Platinum"/>
  </r>
  <r>
    <x v="70"/>
    <x v="70"/>
    <x v="2"/>
    <x v="1"/>
    <s v="Port Lisa"/>
    <x v="33"/>
    <s v="USA"/>
    <s v="Gold"/>
  </r>
  <r>
    <x v="71"/>
    <x v="71"/>
    <x v="31"/>
    <x v="1"/>
    <s v="South Shaun"/>
    <x v="33"/>
    <s v="USA"/>
    <s v="Gold"/>
  </r>
  <r>
    <x v="72"/>
    <x v="72"/>
    <x v="38"/>
    <x v="1"/>
    <s v="Olsonhaven"/>
    <x v="37"/>
    <s v="USA"/>
    <s v="Gold"/>
  </r>
  <r>
    <x v="73"/>
    <x v="73"/>
    <x v="34"/>
    <x v="1"/>
    <s v="Sandrastad"/>
    <x v="7"/>
    <s v="USA"/>
    <s v="Silver"/>
  </r>
  <r>
    <x v="74"/>
    <x v="74"/>
    <x v="37"/>
    <x v="0"/>
    <s v="Longport"/>
    <x v="38"/>
    <s v="USA"/>
    <s v="Bronze"/>
  </r>
  <r>
    <x v="75"/>
    <x v="75"/>
    <x v="31"/>
    <x v="1"/>
    <s v="Lake Barryfurt"/>
    <x v="4"/>
    <s v="USA"/>
    <s v="Gold"/>
  </r>
  <r>
    <x v="76"/>
    <x v="76"/>
    <x v="33"/>
    <x v="0"/>
    <s v="Rodrigueztown"/>
    <x v="18"/>
    <s v="USA"/>
    <s v="Gold"/>
  </r>
  <r>
    <x v="77"/>
    <x v="77"/>
    <x v="2"/>
    <x v="0"/>
    <s v="North Valeriemouth"/>
    <x v="28"/>
    <s v="USA"/>
    <s v="Gold"/>
  </r>
  <r>
    <x v="78"/>
    <x v="78"/>
    <x v="27"/>
    <x v="0"/>
    <s v="North Scottport"/>
    <x v="39"/>
    <s v="USA"/>
    <s v="Gold"/>
  </r>
  <r>
    <x v="79"/>
    <x v="79"/>
    <x v="36"/>
    <x v="1"/>
    <s v="Nicoleborough"/>
    <x v="40"/>
    <s v="USA"/>
    <s v="Platinum"/>
  </r>
  <r>
    <x v="80"/>
    <x v="80"/>
    <x v="31"/>
    <x v="1"/>
    <s v="New Sean"/>
    <x v="33"/>
    <s v="USA"/>
    <s v="Bronze"/>
  </r>
  <r>
    <x v="81"/>
    <x v="81"/>
    <x v="30"/>
    <x v="1"/>
    <s v="South David"/>
    <x v="23"/>
    <s v="USA"/>
    <s v="Platinum"/>
  </r>
  <r>
    <x v="82"/>
    <x v="82"/>
    <x v="6"/>
    <x v="0"/>
    <s v="Leburgh"/>
    <x v="35"/>
    <s v="USA"/>
    <s v="Bronze"/>
  </r>
  <r>
    <x v="83"/>
    <x v="83"/>
    <x v="22"/>
    <x v="1"/>
    <s v="Nicholastown"/>
    <x v="15"/>
    <s v="USA"/>
    <s v="Bronze"/>
  </r>
  <r>
    <x v="84"/>
    <x v="84"/>
    <x v="1"/>
    <x v="1"/>
    <s v="Garyberg"/>
    <x v="36"/>
    <s v="USA"/>
    <s v="Platinum"/>
  </r>
  <r>
    <x v="85"/>
    <x v="85"/>
    <x v="13"/>
    <x v="0"/>
    <s v="West Theodorechester"/>
    <x v="9"/>
    <s v="USA"/>
    <s v="Silver"/>
  </r>
  <r>
    <x v="86"/>
    <x v="86"/>
    <x v="28"/>
    <x v="1"/>
    <s v="Austinfurt"/>
    <x v="41"/>
    <s v="USA"/>
    <s v="Gold"/>
  </r>
  <r>
    <x v="87"/>
    <x v="87"/>
    <x v="37"/>
    <x v="1"/>
    <s v="East Jenna"/>
    <x v="42"/>
    <s v="USA"/>
    <s v="Bronze"/>
  </r>
  <r>
    <x v="88"/>
    <x v="88"/>
    <x v="37"/>
    <x v="0"/>
    <s v="Ashleystad"/>
    <x v="40"/>
    <s v="USA"/>
    <s v="Silver"/>
  </r>
  <r>
    <x v="89"/>
    <x v="89"/>
    <x v="11"/>
    <x v="0"/>
    <s v="New Gabrielleville"/>
    <x v="43"/>
    <s v="USA"/>
    <s v="Platinum"/>
  </r>
  <r>
    <x v="90"/>
    <x v="90"/>
    <x v="37"/>
    <x v="1"/>
    <s v="West Cody"/>
    <x v="44"/>
    <s v="USA"/>
    <s v="Platinum"/>
  </r>
  <r>
    <x v="91"/>
    <x v="91"/>
    <x v="2"/>
    <x v="1"/>
    <s v="South Amandahaven"/>
    <x v="23"/>
    <s v="USA"/>
    <s v="Silver"/>
  </r>
  <r>
    <x v="92"/>
    <x v="92"/>
    <x v="39"/>
    <x v="1"/>
    <s v="Lake Brandy"/>
    <x v="34"/>
    <s v="USA"/>
    <s v="Platinum"/>
  </r>
  <r>
    <x v="93"/>
    <x v="93"/>
    <x v="7"/>
    <x v="1"/>
    <s v="Port Travisstad"/>
    <x v="42"/>
    <s v="USA"/>
    <s v="Gold"/>
  </r>
  <r>
    <x v="94"/>
    <x v="94"/>
    <x v="11"/>
    <x v="1"/>
    <s v="New Amyport"/>
    <x v="29"/>
    <s v="USA"/>
    <s v="Gold"/>
  </r>
  <r>
    <x v="95"/>
    <x v="95"/>
    <x v="40"/>
    <x v="1"/>
    <s v="West Bobbyshire"/>
    <x v="10"/>
    <s v="USA"/>
    <s v="Platinum"/>
  </r>
  <r>
    <x v="96"/>
    <x v="96"/>
    <x v="41"/>
    <x v="1"/>
    <s v="Timothyburgh"/>
    <x v="44"/>
    <s v="USA"/>
    <s v="Platinum"/>
  </r>
  <r>
    <x v="97"/>
    <x v="97"/>
    <x v="13"/>
    <x v="0"/>
    <s v="Lake Thomas"/>
    <x v="6"/>
    <s v="USA"/>
    <s v="Silver"/>
  </r>
  <r>
    <x v="98"/>
    <x v="98"/>
    <x v="5"/>
    <x v="0"/>
    <s v="Lake Kaylahaven"/>
    <x v="26"/>
    <s v="USA"/>
    <s v="Gold"/>
  </r>
  <r>
    <x v="99"/>
    <x v="99"/>
    <x v="25"/>
    <x v="0"/>
    <s v="South Dustin"/>
    <x v="34"/>
    <s v="USA"/>
    <s v="Silver"/>
  </r>
  <r>
    <x v="100"/>
    <x v="100"/>
    <x v="6"/>
    <x v="1"/>
    <s v="North Codyport"/>
    <x v="45"/>
    <s v="USA"/>
    <s v="Platinum"/>
  </r>
  <r>
    <x v="101"/>
    <x v="101"/>
    <x v="2"/>
    <x v="0"/>
    <s v="Singletonmouth"/>
    <x v="22"/>
    <s v="USA"/>
    <s v="Gold"/>
  </r>
  <r>
    <x v="102"/>
    <x v="102"/>
    <x v="30"/>
    <x v="1"/>
    <s v="Port Joshuachester"/>
    <x v="9"/>
    <s v="USA"/>
    <s v="Bronze"/>
  </r>
  <r>
    <x v="103"/>
    <x v="103"/>
    <x v="27"/>
    <x v="0"/>
    <s v="West Lauren"/>
    <x v="27"/>
    <s v="USA"/>
    <s v="Bronze"/>
  </r>
  <r>
    <x v="104"/>
    <x v="104"/>
    <x v="4"/>
    <x v="0"/>
    <s v="South Jenniferville"/>
    <x v="15"/>
    <s v="USA"/>
    <s v="Silver"/>
  </r>
  <r>
    <x v="105"/>
    <x v="105"/>
    <x v="26"/>
    <x v="1"/>
    <s v="Port Victoria"/>
    <x v="35"/>
    <s v="USA"/>
    <s v="Gold"/>
  </r>
  <r>
    <x v="106"/>
    <x v="106"/>
    <x v="6"/>
    <x v="1"/>
    <s v="East Linda"/>
    <x v="32"/>
    <s v="USA"/>
    <s v="Bronze"/>
  </r>
  <r>
    <x v="107"/>
    <x v="107"/>
    <x v="40"/>
    <x v="1"/>
    <s v="North Justin"/>
    <x v="1"/>
    <s v="USA"/>
    <s v="Platinum"/>
  </r>
  <r>
    <x v="108"/>
    <x v="108"/>
    <x v="42"/>
    <x v="0"/>
    <s v="Webstermouth"/>
    <x v="8"/>
    <s v="USA"/>
    <s v="Bronze"/>
  </r>
  <r>
    <x v="109"/>
    <x v="109"/>
    <x v="19"/>
    <x v="0"/>
    <s v="Smithland"/>
    <x v="7"/>
    <s v="USA"/>
    <s v="Silver"/>
  </r>
  <r>
    <x v="110"/>
    <x v="110"/>
    <x v="16"/>
    <x v="1"/>
    <s v="New Dawnton"/>
    <x v="24"/>
    <s v="USA"/>
    <s v="Gold"/>
  </r>
  <r>
    <x v="111"/>
    <x v="111"/>
    <x v="17"/>
    <x v="1"/>
    <s v="Rodriguezmouth"/>
    <x v="23"/>
    <s v="USA"/>
    <s v="Platinum"/>
  </r>
  <r>
    <x v="112"/>
    <x v="112"/>
    <x v="19"/>
    <x v="1"/>
    <s v="Lake Michael"/>
    <x v="25"/>
    <s v="USA"/>
    <s v="Silver"/>
  </r>
  <r>
    <x v="113"/>
    <x v="113"/>
    <x v="35"/>
    <x v="0"/>
    <s v="New William"/>
    <x v="33"/>
    <s v="USA"/>
    <s v="Gold"/>
  </r>
  <r>
    <x v="114"/>
    <x v="114"/>
    <x v="41"/>
    <x v="0"/>
    <s v="East Donna"/>
    <x v="29"/>
    <s v="USA"/>
    <s v="Bronze"/>
  </r>
  <r>
    <x v="115"/>
    <x v="115"/>
    <x v="6"/>
    <x v="1"/>
    <s v="North Curtischester"/>
    <x v="1"/>
    <s v="USA"/>
    <s v="Platinum"/>
  </r>
  <r>
    <x v="116"/>
    <x v="116"/>
    <x v="17"/>
    <x v="1"/>
    <s v="North Davidport"/>
    <x v="32"/>
    <s v="USA"/>
    <s v="Platinum"/>
  </r>
  <r>
    <x v="117"/>
    <x v="117"/>
    <x v="27"/>
    <x v="1"/>
    <s v="North Katherine"/>
    <x v="14"/>
    <s v="USA"/>
    <s v="Platinum"/>
  </r>
  <r>
    <x v="118"/>
    <x v="118"/>
    <x v="13"/>
    <x v="0"/>
    <s v="New Jenniferburgh"/>
    <x v="13"/>
    <s v="USA"/>
    <s v="Platinum"/>
  </r>
  <r>
    <x v="119"/>
    <x v="119"/>
    <x v="16"/>
    <x v="0"/>
    <s v="North Edwardton"/>
    <x v="34"/>
    <s v="USA"/>
    <s v="Bronze"/>
  </r>
  <r>
    <x v="120"/>
    <x v="120"/>
    <x v="39"/>
    <x v="1"/>
    <s v="lake tylerfort"/>
    <x v="9"/>
    <s v="USA"/>
    <s v="Platinum"/>
  </r>
  <r>
    <x v="121"/>
    <x v="121"/>
    <x v="40"/>
    <x v="0"/>
    <s v="Lake Danielport"/>
    <x v="19"/>
    <s v="USA"/>
    <s v="Platinum"/>
  </r>
  <r>
    <x v="122"/>
    <x v="122"/>
    <x v="26"/>
    <x v="0"/>
    <s v="Kathrynport"/>
    <x v="0"/>
    <s v="USA"/>
    <s v="Platinum"/>
  </r>
  <r>
    <x v="123"/>
    <x v="123"/>
    <x v="16"/>
    <x v="0"/>
    <s v="North Sabrina"/>
    <x v="37"/>
    <s v="USA"/>
    <s v="Silver"/>
  </r>
  <r>
    <x v="124"/>
    <x v="124"/>
    <x v="1"/>
    <x v="0"/>
    <s v="Wongberg"/>
    <x v="30"/>
    <s v="USA"/>
    <s v="Bronze"/>
  </r>
  <r>
    <x v="125"/>
    <x v="125"/>
    <x v="4"/>
    <x v="1"/>
    <s v="West Jameston"/>
    <x v="46"/>
    <s v="USA"/>
    <s v="Platinum"/>
  </r>
  <r>
    <x v="126"/>
    <x v="126"/>
    <x v="40"/>
    <x v="1"/>
    <s v="Benjaminton"/>
    <x v="23"/>
    <s v="USA"/>
    <s v="Gold"/>
  </r>
  <r>
    <x v="127"/>
    <x v="127"/>
    <x v="38"/>
    <x v="0"/>
    <s v="South Nathan"/>
    <x v="28"/>
    <s v="USA"/>
    <s v="Platinum"/>
  </r>
  <r>
    <x v="128"/>
    <x v="128"/>
    <x v="29"/>
    <x v="0"/>
    <s v="East Ellen"/>
    <x v="40"/>
    <s v="USA"/>
    <s v="Silver"/>
  </r>
  <r>
    <x v="129"/>
    <x v="129"/>
    <x v="11"/>
    <x v="1"/>
    <s v="Matthewbury"/>
    <x v="6"/>
    <s v="USA"/>
    <s v="Silver"/>
  </r>
  <r>
    <x v="130"/>
    <x v="130"/>
    <x v="2"/>
    <x v="0"/>
    <s v="jonesbury"/>
    <x v="27"/>
    <s v="United States of America"/>
    <s v="Platinum"/>
  </r>
  <r>
    <x v="131"/>
    <x v="131"/>
    <x v="30"/>
    <x v="1"/>
    <s v="Wigginsville"/>
    <x v="2"/>
    <s v="USA"/>
    <s v="Bronze"/>
  </r>
  <r>
    <x v="132"/>
    <x v="132"/>
    <x v="43"/>
    <x v="1"/>
    <s v="Taylorberg"/>
    <x v="3"/>
    <s v="USA"/>
    <s v="Gold"/>
  </r>
  <r>
    <x v="133"/>
    <x v="133"/>
    <x v="40"/>
    <x v="1"/>
    <s v="West Stephenville"/>
    <x v="35"/>
    <s v="USA"/>
    <s v="Bronze"/>
  </r>
  <r>
    <x v="134"/>
    <x v="134"/>
    <x v="20"/>
    <x v="0"/>
    <s v="Parksfort"/>
    <x v="14"/>
    <s v="USA"/>
    <s v="Gold"/>
  </r>
  <r>
    <x v="135"/>
    <x v="135"/>
    <x v="14"/>
    <x v="1"/>
    <s v="Gonzalezbury"/>
    <x v="25"/>
    <s v="USA"/>
    <s v="Platinum"/>
  </r>
  <r>
    <x v="136"/>
    <x v="136"/>
    <x v="2"/>
    <x v="0"/>
    <s v="New Jeffrey"/>
    <x v="13"/>
    <s v="USA"/>
    <s v="Silver"/>
  </r>
  <r>
    <x v="137"/>
    <x v="137"/>
    <x v="0"/>
    <x v="1"/>
    <s v="North Johnbury"/>
    <x v="3"/>
    <s v="USA"/>
    <s v="Platinum"/>
  </r>
  <r>
    <x v="138"/>
    <x v="138"/>
    <x v="11"/>
    <x v="0"/>
    <s v="Lake Michael"/>
    <x v="39"/>
    <s v="USA"/>
    <s v="Gold"/>
  </r>
  <r>
    <x v="139"/>
    <x v="139"/>
    <x v="8"/>
    <x v="0"/>
    <s v="Port Travis"/>
    <x v="22"/>
    <s v="USA"/>
    <s v="Bronze"/>
  </r>
  <r>
    <x v="140"/>
    <x v="140"/>
    <x v="44"/>
    <x v="1"/>
    <s v="South Brooke"/>
    <x v="9"/>
    <s v="USA"/>
    <s v="Gold"/>
  </r>
  <r>
    <x v="141"/>
    <x v="141"/>
    <x v="41"/>
    <x v="0"/>
    <s v="Port Denise"/>
    <x v="4"/>
    <s v="United States of America"/>
    <s v="Bronze"/>
  </r>
  <r>
    <x v="142"/>
    <x v="142"/>
    <x v="33"/>
    <x v="0"/>
    <s v="West Brandon"/>
    <x v="12"/>
    <s v="USA"/>
    <s v="Bronze"/>
  </r>
  <r>
    <x v="143"/>
    <x v="143"/>
    <x v="12"/>
    <x v="0"/>
    <s v="Dwaynemouth"/>
    <x v="2"/>
    <s v="USA"/>
    <s v="Bronze"/>
  </r>
  <r>
    <x v="144"/>
    <x v="144"/>
    <x v="40"/>
    <x v="1"/>
    <s v="North Anthonychester"/>
    <x v="29"/>
    <s v="USA"/>
    <s v="Bronze"/>
  </r>
  <r>
    <x v="145"/>
    <x v="145"/>
    <x v="12"/>
    <x v="0"/>
    <s v="Michaelfort"/>
    <x v="36"/>
    <s v="USA"/>
    <s v="Platinum"/>
  </r>
  <r>
    <x v="146"/>
    <x v="146"/>
    <x v="8"/>
    <x v="1"/>
    <s v="Chungmouth"/>
    <x v="42"/>
    <s v="USA"/>
    <s v="Gold"/>
  </r>
  <r>
    <x v="147"/>
    <x v="147"/>
    <x v="9"/>
    <x v="1"/>
    <s v="Lake Nathanfort"/>
    <x v="26"/>
    <s v="USA"/>
    <s v="Platinum"/>
  </r>
  <r>
    <x v="148"/>
    <x v="148"/>
    <x v="45"/>
    <x v="1"/>
    <s v="New Brian"/>
    <x v="43"/>
    <s v="USA"/>
    <s v="Bronze"/>
  </r>
  <r>
    <x v="149"/>
    <x v="149"/>
    <x v="14"/>
    <x v="0"/>
    <s v="West Markhaven"/>
    <x v="35"/>
    <s v="USA"/>
    <s v="Platinum"/>
  </r>
  <r>
    <x v="150"/>
    <x v="150"/>
    <x v="5"/>
    <x v="0"/>
    <s v="Port Frankmouth"/>
    <x v="41"/>
    <s v="USA"/>
    <s v="Gold"/>
  </r>
  <r>
    <x v="151"/>
    <x v="151"/>
    <x v="23"/>
    <x v="1"/>
    <s v="Lake Stevenfort"/>
    <x v="5"/>
    <s v="USA"/>
    <s v="Gold"/>
  </r>
  <r>
    <x v="152"/>
    <x v="152"/>
    <x v="21"/>
    <x v="1"/>
    <s v="Jaredville"/>
    <x v="21"/>
    <s v="USA"/>
    <s v="Platinum"/>
  </r>
  <r>
    <x v="153"/>
    <x v="153"/>
    <x v="18"/>
    <x v="0"/>
    <s v="New Leahfurt"/>
    <x v="1"/>
    <s v="USA"/>
    <s v="Bronze"/>
  </r>
  <r>
    <x v="154"/>
    <x v="154"/>
    <x v="25"/>
    <x v="1"/>
    <s v="Owensview"/>
    <x v="28"/>
    <s v="USA"/>
    <s v="Gold"/>
  </r>
  <r>
    <x v="155"/>
    <x v="155"/>
    <x v="10"/>
    <x v="1"/>
    <s v="Estradaside"/>
    <x v="37"/>
    <s v="USA"/>
    <s v="Gold"/>
  </r>
  <r>
    <x v="156"/>
    <x v="156"/>
    <x v="12"/>
    <x v="0"/>
    <s v="East Peterbury"/>
    <x v="1"/>
    <s v="USA"/>
    <s v="Bronze"/>
  </r>
  <r>
    <x v="157"/>
    <x v="157"/>
    <x v="3"/>
    <x v="0"/>
    <s v="North Larryfurt"/>
    <x v="1"/>
    <s v="USA"/>
    <s v="Platinum"/>
  </r>
  <r>
    <x v="158"/>
    <x v="158"/>
    <x v="11"/>
    <x v="0"/>
    <s v="South Kevin"/>
    <x v="28"/>
    <s v="USA"/>
    <s v="Bronze"/>
  </r>
  <r>
    <x v="159"/>
    <x v="159"/>
    <x v="12"/>
    <x v="1"/>
    <s v="Floydton"/>
    <x v="16"/>
    <s v="USA"/>
    <s v="Gold"/>
  </r>
  <r>
    <x v="160"/>
    <x v="160"/>
    <x v="21"/>
    <x v="1"/>
    <s v="New Juliemouth"/>
    <x v="0"/>
    <s v="USA"/>
    <s v="Platinum"/>
  </r>
  <r>
    <x v="161"/>
    <x v="161"/>
    <x v="17"/>
    <x v="1"/>
    <s v="Hessmouth"/>
    <x v="23"/>
    <s v="USA"/>
    <s v="Silver"/>
  </r>
  <r>
    <x v="162"/>
    <x v="162"/>
    <x v="33"/>
    <x v="0"/>
    <s v="Palmerbury"/>
    <x v="34"/>
    <s v="United States of America"/>
    <s v="Silver"/>
  </r>
  <r>
    <x v="163"/>
    <x v="163"/>
    <x v="27"/>
    <x v="0"/>
    <s v="North Matthew"/>
    <x v="30"/>
    <s v="USA"/>
    <s v="Bronze"/>
  </r>
  <r>
    <x v="164"/>
    <x v="164"/>
    <x v="38"/>
    <x v="1"/>
    <s v="Dominiquefort"/>
    <x v="15"/>
    <s v="USA"/>
    <s v="Silver"/>
  </r>
  <r>
    <x v="165"/>
    <x v="165"/>
    <x v="46"/>
    <x v="1"/>
    <s v="Carolview"/>
    <x v="30"/>
    <s v="USA"/>
    <s v="Platinum"/>
  </r>
  <r>
    <x v="166"/>
    <x v="166"/>
    <x v="23"/>
    <x v="1"/>
    <s v="South Ashleyton"/>
    <x v="25"/>
    <s v="USA"/>
    <s v="Silver"/>
  </r>
  <r>
    <x v="167"/>
    <x v="167"/>
    <x v="13"/>
    <x v="1"/>
    <s v="New Jasonmouth"/>
    <x v="34"/>
    <s v="USA"/>
    <s v="Gold"/>
  </r>
  <r>
    <x v="168"/>
    <x v="168"/>
    <x v="13"/>
    <x v="1"/>
    <s v="Robertview"/>
    <x v="35"/>
    <s v="USA"/>
    <s v="Platinum"/>
  </r>
  <r>
    <x v="169"/>
    <x v="169"/>
    <x v="4"/>
    <x v="0"/>
    <s v="Josephmouth"/>
    <x v="8"/>
    <s v="USA"/>
    <s v="Bronze"/>
  </r>
  <r>
    <x v="170"/>
    <x v="170"/>
    <x v="17"/>
    <x v="0"/>
    <s v="New Joseph"/>
    <x v="21"/>
    <s v="USA"/>
    <s v="Gold"/>
  </r>
  <r>
    <x v="171"/>
    <x v="171"/>
    <x v="39"/>
    <x v="1"/>
    <s v="Morrisburgh"/>
    <x v="36"/>
    <s v="USA"/>
    <s v="Platinum"/>
  </r>
  <r>
    <x v="172"/>
    <x v="172"/>
    <x v="21"/>
    <x v="1"/>
    <s v="Port Richard"/>
    <x v="7"/>
    <s v="USA"/>
    <s v="Bronze"/>
  </r>
  <r>
    <x v="173"/>
    <x v="173"/>
    <x v="21"/>
    <x v="1"/>
    <s v="New William"/>
    <x v="37"/>
    <s v="USA"/>
    <s v="Platinum"/>
  </r>
  <r>
    <x v="174"/>
    <x v="174"/>
    <x v="1"/>
    <x v="1"/>
    <s v="Avilahaven"/>
    <x v="28"/>
    <s v="USA"/>
    <s v="Gold"/>
  </r>
  <r>
    <x v="175"/>
    <x v="175"/>
    <x v="34"/>
    <x v="0"/>
    <s v="East Jessicaborough"/>
    <x v="19"/>
    <s v="USA"/>
    <s v="Platinum"/>
  </r>
  <r>
    <x v="176"/>
    <x v="176"/>
    <x v="22"/>
    <x v="0"/>
    <s v="Anabury"/>
    <x v="28"/>
    <s v="USA"/>
    <s v="Silver"/>
  </r>
  <r>
    <x v="177"/>
    <x v="177"/>
    <x v="0"/>
    <x v="0"/>
    <s v="Butlerberg"/>
    <x v="47"/>
    <s v="USA"/>
    <s v="Platinum"/>
  </r>
  <r>
    <x v="178"/>
    <x v="178"/>
    <x v="14"/>
    <x v="1"/>
    <s v="West Daniel"/>
    <x v="42"/>
    <s v="USA"/>
    <s v="Bronze"/>
  </r>
  <r>
    <x v="179"/>
    <x v="179"/>
    <x v="11"/>
    <x v="1"/>
    <s v="Murphyfurt"/>
    <x v="22"/>
    <s v="USA"/>
    <s v="Silver"/>
  </r>
  <r>
    <x v="180"/>
    <x v="180"/>
    <x v="42"/>
    <x v="0"/>
    <s v="East Davidmouth"/>
    <x v="46"/>
    <s v="USA"/>
    <s v="Bronze"/>
  </r>
  <r>
    <x v="181"/>
    <x v="181"/>
    <x v="10"/>
    <x v="0"/>
    <s v="New Brianchester"/>
    <x v="10"/>
    <s v="USA"/>
    <s v="Bronze"/>
  </r>
  <r>
    <x v="182"/>
    <x v="182"/>
    <x v="32"/>
    <x v="1"/>
    <s v="Hutchinsonville"/>
    <x v="18"/>
    <s v="USA"/>
    <s v="Silver"/>
  </r>
  <r>
    <x v="183"/>
    <x v="183"/>
    <x v="17"/>
    <x v="0"/>
    <s v="Port James"/>
    <x v="10"/>
    <s v="USA"/>
    <s v="Platinum"/>
  </r>
  <r>
    <x v="184"/>
    <x v="184"/>
    <x v="12"/>
    <x v="1"/>
    <s v="Port Sherryview"/>
    <x v="1"/>
    <s v="USA"/>
    <s v="Silver"/>
  </r>
  <r>
    <x v="185"/>
    <x v="185"/>
    <x v="20"/>
    <x v="1"/>
    <s v="North Kellyberg"/>
    <x v="16"/>
    <s v="USA"/>
    <s v="Platinum"/>
  </r>
  <r>
    <x v="186"/>
    <x v="186"/>
    <x v="6"/>
    <x v="0"/>
    <s v="East Justin"/>
    <x v="21"/>
    <s v="USA"/>
    <s v="Silver"/>
  </r>
  <r>
    <x v="187"/>
    <x v="187"/>
    <x v="10"/>
    <x v="1"/>
    <s v="Lake Blaketon"/>
    <x v="2"/>
    <s v="USA"/>
    <s v="Platinum"/>
  </r>
  <r>
    <x v="188"/>
    <x v="188"/>
    <x v="45"/>
    <x v="0"/>
    <s v="Kingfort"/>
    <x v="33"/>
    <s v="USA"/>
    <s v="Silver"/>
  </r>
  <r>
    <x v="189"/>
    <x v="189"/>
    <x v="2"/>
    <x v="0"/>
    <s v="Lake Howardberg"/>
    <x v="47"/>
    <s v="USA"/>
    <s v="Gold"/>
  </r>
  <r>
    <x v="190"/>
    <x v="190"/>
    <x v="27"/>
    <x v="0"/>
    <s v="Amandaside"/>
    <x v="10"/>
    <s v="USA"/>
    <s v="Bronze"/>
  </r>
  <r>
    <x v="191"/>
    <x v="191"/>
    <x v="2"/>
    <x v="1"/>
    <s v="Johnsonshire"/>
    <x v="3"/>
    <s v="USA"/>
    <s v="Bronze"/>
  </r>
  <r>
    <x v="192"/>
    <x v="192"/>
    <x v="1"/>
    <x v="0"/>
    <s v="Lake Samanthafort"/>
    <x v="20"/>
    <s v="USA"/>
    <s v="Gold"/>
  </r>
  <r>
    <x v="193"/>
    <x v="193"/>
    <x v="42"/>
    <x v="0"/>
    <s v="Port Amanda"/>
    <x v="15"/>
    <s v="USA"/>
    <s v="Gold"/>
  </r>
  <r>
    <x v="194"/>
    <x v="194"/>
    <x v="12"/>
    <x v="0"/>
    <s v="Sarahmouth"/>
    <x v="9"/>
    <s v="USA"/>
    <s v="Gold"/>
  </r>
  <r>
    <x v="195"/>
    <x v="195"/>
    <x v="10"/>
    <x v="0"/>
    <s v="Taraberg"/>
    <x v="23"/>
    <s v="USA"/>
    <s v="Silver"/>
  </r>
  <r>
    <x v="196"/>
    <x v="196"/>
    <x v="17"/>
    <x v="1"/>
    <s v="West John"/>
    <x v="26"/>
    <s v="USA"/>
    <s v="Platinum"/>
  </r>
  <r>
    <x v="197"/>
    <x v="197"/>
    <x v="29"/>
    <x v="1"/>
    <s v="Christopherland"/>
    <x v="31"/>
    <s v="USA"/>
    <s v="Platinum"/>
  </r>
  <r>
    <x v="198"/>
    <x v="198"/>
    <x v="20"/>
    <x v="0"/>
    <s v="Frostmouth"/>
    <x v="28"/>
    <s v="USA"/>
    <s v="Bronze"/>
  </r>
  <r>
    <x v="199"/>
    <x v="199"/>
    <x v="12"/>
    <x v="0"/>
    <s v="North Briannamouth"/>
    <x v="34"/>
    <s v="USA"/>
    <s v="Bronze"/>
  </r>
  <r>
    <x v="200"/>
    <x v="200"/>
    <x v="41"/>
    <x v="0"/>
    <s v="South Jerry"/>
    <x v="46"/>
    <s v="USA"/>
    <s v="Platinum"/>
  </r>
  <r>
    <x v="201"/>
    <x v="201"/>
    <x v="23"/>
    <x v="1"/>
    <s v="New Logan"/>
    <x v="25"/>
    <s v="USA"/>
    <s v="Bronze"/>
  </r>
  <r>
    <x v="202"/>
    <x v="202"/>
    <x v="33"/>
    <x v="1"/>
    <s v="Clarkeside"/>
    <x v="11"/>
    <s v="USA"/>
    <s v="Platinum"/>
  </r>
  <r>
    <x v="203"/>
    <x v="203"/>
    <x v="46"/>
    <x v="0"/>
    <s v="Johnsonland"/>
    <x v="37"/>
    <s v="USA"/>
    <s v="Platinum"/>
  </r>
  <r>
    <x v="204"/>
    <x v="204"/>
    <x v="15"/>
    <x v="0"/>
    <s v="New Dianebury"/>
    <x v="39"/>
    <s v="USA"/>
    <s v="Platinum"/>
  </r>
  <r>
    <x v="205"/>
    <x v="205"/>
    <x v="39"/>
    <x v="1"/>
    <s v="Lake Danielleton"/>
    <x v="16"/>
    <s v="USA"/>
    <s v="Gold"/>
  </r>
  <r>
    <x v="206"/>
    <x v="206"/>
    <x v="1"/>
    <x v="1"/>
    <s v="Brownshire"/>
    <x v="34"/>
    <s v="USA"/>
    <s v="Silver"/>
  </r>
  <r>
    <x v="207"/>
    <x v="207"/>
    <x v="7"/>
    <x v="1"/>
    <s v="South Emily"/>
    <x v="16"/>
    <s v="USA"/>
    <s v="Bronze"/>
  </r>
  <r>
    <x v="208"/>
    <x v="208"/>
    <x v="20"/>
    <x v="0"/>
    <s v="Kathrynview"/>
    <x v="44"/>
    <s v="USA"/>
    <s v="Platinum"/>
  </r>
  <r>
    <x v="209"/>
    <x v="209"/>
    <x v="26"/>
    <x v="1"/>
    <s v="Lake Josephport"/>
    <x v="46"/>
    <s v="USA"/>
    <s v="Platinum"/>
  </r>
  <r>
    <x v="210"/>
    <x v="210"/>
    <x v="22"/>
    <x v="0"/>
    <s v="Matthewborough"/>
    <x v="15"/>
    <s v="USA"/>
    <s v="Silver"/>
  </r>
  <r>
    <x v="211"/>
    <x v="211"/>
    <x v="24"/>
    <x v="1"/>
    <s v="Garzafort"/>
    <x v="17"/>
    <s v="USA"/>
    <s v="Silver"/>
  </r>
  <r>
    <x v="212"/>
    <x v="212"/>
    <x v="44"/>
    <x v="1"/>
    <s v="Lyonsfort"/>
    <x v="14"/>
    <s v="USA"/>
    <s v="Platinum"/>
  </r>
  <r>
    <x v="213"/>
    <x v="213"/>
    <x v="45"/>
    <x v="1"/>
    <s v="West Markport"/>
    <x v="1"/>
    <s v="USA"/>
    <s v="Platinum"/>
  </r>
  <r>
    <x v="214"/>
    <x v="214"/>
    <x v="31"/>
    <x v="0"/>
    <s v="Danielstad"/>
    <x v="12"/>
    <s v="USA"/>
    <s v="Gold"/>
  </r>
  <r>
    <x v="215"/>
    <x v="215"/>
    <x v="26"/>
    <x v="1"/>
    <s v="East Josephside"/>
    <x v="5"/>
    <s v="USA"/>
    <s v="Gold"/>
  </r>
  <r>
    <x v="216"/>
    <x v="216"/>
    <x v="39"/>
    <x v="0"/>
    <s v="Morrismouth"/>
    <x v="4"/>
    <s v="USA"/>
    <s v="Platinum"/>
  </r>
  <r>
    <x v="217"/>
    <x v="217"/>
    <x v="45"/>
    <x v="0"/>
    <s v="North Christinemouth"/>
    <x v="21"/>
    <s v="USA"/>
    <s v="Silver"/>
  </r>
  <r>
    <x v="218"/>
    <x v="218"/>
    <x v="12"/>
    <x v="0"/>
    <s v="Edwardland"/>
    <x v="4"/>
    <s v="USA"/>
    <s v="Platinum"/>
  </r>
  <r>
    <x v="219"/>
    <x v="219"/>
    <x v="46"/>
    <x v="1"/>
    <s v="Phillipschester"/>
    <x v="16"/>
    <s v="USA"/>
    <s v="Gold"/>
  </r>
  <r>
    <x v="220"/>
    <x v="220"/>
    <x v="26"/>
    <x v="1"/>
    <s v="lake lisa"/>
    <x v="48"/>
    <s v="USA"/>
    <s v="Bronze"/>
  </r>
  <r>
    <x v="221"/>
    <x v="221"/>
    <x v="42"/>
    <x v="0"/>
    <s v="Maybury"/>
    <x v="15"/>
    <s v="USA"/>
    <s v="Platinum"/>
  </r>
  <r>
    <x v="222"/>
    <x v="222"/>
    <x v="25"/>
    <x v="0"/>
    <s v="East Crystalton"/>
    <x v="33"/>
    <s v="USA"/>
    <s v="Platinum"/>
  </r>
  <r>
    <x v="223"/>
    <x v="223"/>
    <x v="26"/>
    <x v="0"/>
    <s v="East jeremy"/>
    <x v="37"/>
    <s v="USA"/>
    <s v="Platinum"/>
  </r>
  <r>
    <x v="224"/>
    <x v="224"/>
    <x v="2"/>
    <x v="0"/>
    <s v="New Anthonyfurt"/>
    <x v="21"/>
    <s v="USA"/>
    <s v="Silver"/>
  </r>
  <r>
    <x v="225"/>
    <x v="225"/>
    <x v="12"/>
    <x v="1"/>
    <s v="Bethanyton"/>
    <x v="22"/>
    <s v="USA"/>
    <s v="Platinum"/>
  </r>
  <r>
    <x v="226"/>
    <x v="226"/>
    <x v="20"/>
    <x v="0"/>
    <s v="Morrisbury"/>
    <x v="26"/>
    <s v="USA"/>
    <s v="Gold"/>
  </r>
  <r>
    <x v="227"/>
    <x v="227"/>
    <x v="44"/>
    <x v="1"/>
    <s v="Pollardton"/>
    <x v="11"/>
    <s v="USA"/>
    <s v="Gold"/>
  </r>
  <r>
    <x v="228"/>
    <x v="228"/>
    <x v="15"/>
    <x v="1"/>
    <s v="Lake Michael"/>
    <x v="22"/>
    <s v="USA"/>
    <s v="Gold"/>
  </r>
  <r>
    <x v="229"/>
    <x v="229"/>
    <x v="8"/>
    <x v="1"/>
    <s v="Port Lisashire"/>
    <x v="24"/>
    <s v="USA"/>
    <s v="Bronze"/>
  </r>
  <r>
    <x v="230"/>
    <x v="230"/>
    <x v="2"/>
    <x v="0"/>
    <s v="Aaronmouth"/>
    <x v="35"/>
    <s v="USA"/>
    <s v="Bronze"/>
  </r>
  <r>
    <x v="231"/>
    <x v="231"/>
    <x v="36"/>
    <x v="1"/>
    <s v="Grahamstad"/>
    <x v="42"/>
    <s v="USA"/>
    <s v="Bronze"/>
  </r>
  <r>
    <x v="232"/>
    <x v="232"/>
    <x v="19"/>
    <x v="1"/>
    <s v="Tammyton"/>
    <x v="16"/>
    <s v="USA"/>
    <s v="Platinum"/>
  </r>
  <r>
    <x v="233"/>
    <x v="233"/>
    <x v="3"/>
    <x v="0"/>
    <s v="Clarkport"/>
    <x v="7"/>
    <s v="USA"/>
    <s v="Silver"/>
  </r>
  <r>
    <x v="234"/>
    <x v="234"/>
    <x v="11"/>
    <x v="1"/>
    <s v="Lake Mark"/>
    <x v="11"/>
    <s v="USA"/>
    <s v="Gold"/>
  </r>
  <r>
    <x v="235"/>
    <x v="235"/>
    <x v="7"/>
    <x v="1"/>
    <s v="South Angelaport"/>
    <x v="17"/>
    <s v="USA"/>
    <s v="Bronze"/>
  </r>
  <r>
    <x v="236"/>
    <x v="236"/>
    <x v="45"/>
    <x v="1"/>
    <s v="North Larryport"/>
    <x v="39"/>
    <s v="USA"/>
    <s v="Bronze"/>
  </r>
  <r>
    <x v="237"/>
    <x v="237"/>
    <x v="21"/>
    <x v="1"/>
    <s v="Susanstad"/>
    <x v="12"/>
    <s v="USA"/>
    <s v="Gold"/>
  </r>
  <r>
    <x v="238"/>
    <x v="238"/>
    <x v="16"/>
    <x v="0"/>
    <s v="Port Krista"/>
    <x v="7"/>
    <s v="USA"/>
    <s v="Platinum"/>
  </r>
  <r>
    <x v="239"/>
    <x v="239"/>
    <x v="37"/>
    <x v="1"/>
    <s v="Zamoraborough"/>
    <x v="29"/>
    <s v="USA"/>
    <s v="Platinum"/>
  </r>
  <r>
    <x v="240"/>
    <x v="240"/>
    <x v="3"/>
    <x v="1"/>
    <s v="Heathfort"/>
    <x v="25"/>
    <s v="USA"/>
    <s v="Platinum"/>
  </r>
  <r>
    <x v="241"/>
    <x v="241"/>
    <x v="18"/>
    <x v="0"/>
    <s v="Dawsonchester"/>
    <x v="39"/>
    <s v="USA"/>
    <s v="Platinum"/>
  </r>
  <r>
    <x v="242"/>
    <x v="242"/>
    <x v="37"/>
    <x v="1"/>
    <s v="New Tina"/>
    <x v="27"/>
    <s v="USA"/>
    <s v="Silver"/>
  </r>
  <r>
    <x v="243"/>
    <x v="243"/>
    <x v="34"/>
    <x v="1"/>
    <s v="North Nicholas"/>
    <x v="45"/>
    <s v="USA"/>
    <s v="Gold"/>
  </r>
  <r>
    <x v="244"/>
    <x v="244"/>
    <x v="28"/>
    <x v="0"/>
    <s v="West Julia"/>
    <x v="22"/>
    <s v="USA"/>
    <s v="Bronze"/>
  </r>
  <r>
    <x v="245"/>
    <x v="245"/>
    <x v="43"/>
    <x v="1"/>
    <s v="Rodriguezton"/>
    <x v="25"/>
    <s v="USA"/>
    <s v="Platinum"/>
  </r>
  <r>
    <x v="246"/>
    <x v="246"/>
    <x v="37"/>
    <x v="0"/>
    <s v="South Regina"/>
    <x v="40"/>
    <s v="USA"/>
    <s v="Bronze"/>
  </r>
  <r>
    <x v="247"/>
    <x v="247"/>
    <x v="8"/>
    <x v="0"/>
    <s v="Mikehaven"/>
    <x v="8"/>
    <s v="USA"/>
    <s v="Platinum"/>
  </r>
  <r>
    <x v="248"/>
    <x v="248"/>
    <x v="28"/>
    <x v="0"/>
    <s v="Lake Timothy"/>
    <x v="29"/>
    <s v="USA"/>
    <s v="Gold"/>
  </r>
  <r>
    <x v="249"/>
    <x v="249"/>
    <x v="21"/>
    <x v="1"/>
    <s v="Garciamouth"/>
    <x v="10"/>
    <s v="USA"/>
    <s v="Gold"/>
  </r>
  <r>
    <x v="250"/>
    <x v="250"/>
    <x v="22"/>
    <x v="0"/>
    <s v="New Daniel"/>
    <x v="17"/>
    <s v="USA"/>
    <s v="Platinum"/>
  </r>
  <r>
    <x v="251"/>
    <x v="251"/>
    <x v="4"/>
    <x v="0"/>
    <s v="Port Coreyfort"/>
    <x v="2"/>
    <s v="USA"/>
    <s v="Silver"/>
  </r>
  <r>
    <x v="252"/>
    <x v="252"/>
    <x v="1"/>
    <x v="0"/>
    <s v="Robinborough"/>
    <x v="6"/>
    <s v="USA"/>
    <s v="Silver"/>
  </r>
  <r>
    <x v="253"/>
    <x v="253"/>
    <x v="8"/>
    <x v="0"/>
    <s v="New Maria"/>
    <x v="43"/>
    <s v="USA"/>
    <s v="Bronze"/>
  </r>
  <r>
    <x v="254"/>
    <x v="254"/>
    <x v="30"/>
    <x v="0"/>
    <s v="Masseyland"/>
    <x v="26"/>
    <s v="USA"/>
    <s v="Silver"/>
  </r>
  <r>
    <x v="255"/>
    <x v="255"/>
    <x v="27"/>
    <x v="0"/>
    <s v="Jasonton"/>
    <x v="3"/>
    <s v="USA"/>
    <s v="Gold"/>
  </r>
  <r>
    <x v="256"/>
    <x v="256"/>
    <x v="43"/>
    <x v="0"/>
    <s v="Lake Christopher"/>
    <x v="40"/>
    <s v="USA"/>
    <s v="Platinum"/>
  </r>
  <r>
    <x v="257"/>
    <x v="257"/>
    <x v="45"/>
    <x v="0"/>
    <s v="Karenmouth"/>
    <x v="48"/>
    <s v="USA"/>
    <s v="Silver"/>
  </r>
  <r>
    <x v="258"/>
    <x v="258"/>
    <x v="5"/>
    <x v="1"/>
    <s v="East Richard"/>
    <x v="45"/>
    <s v="USA"/>
    <s v="Platinum"/>
  </r>
  <r>
    <x v="259"/>
    <x v="259"/>
    <x v="8"/>
    <x v="1"/>
    <s v="South Kathrynmouth"/>
    <x v="18"/>
    <s v="USA"/>
    <s v="Silver"/>
  </r>
  <r>
    <x v="260"/>
    <x v="260"/>
    <x v="44"/>
    <x v="1"/>
    <s v="North Jonathon"/>
    <x v="23"/>
    <s v="USA"/>
    <s v="Platinum"/>
  </r>
  <r>
    <x v="261"/>
    <x v="261"/>
    <x v="19"/>
    <x v="1"/>
    <s v="Lake Saramouth"/>
    <x v="5"/>
    <s v="USA"/>
    <s v="Silver"/>
  </r>
  <r>
    <x v="262"/>
    <x v="262"/>
    <x v="10"/>
    <x v="1"/>
    <s v="New Ana"/>
    <x v="12"/>
    <s v="USA"/>
    <s v="Silver"/>
  </r>
  <r>
    <x v="263"/>
    <x v="263"/>
    <x v="26"/>
    <x v="0"/>
    <s v="Sallymouth"/>
    <x v="44"/>
    <s v="USA"/>
    <s v="Bronze"/>
  </r>
  <r>
    <x v="264"/>
    <x v="264"/>
    <x v="23"/>
    <x v="0"/>
    <s v="Grahamfurt"/>
    <x v="49"/>
    <s v="USA"/>
    <s v="Gold"/>
  </r>
  <r>
    <x v="265"/>
    <x v="265"/>
    <x v="42"/>
    <x v="0"/>
    <s v="West Jamieport"/>
    <x v="34"/>
    <s v="USA"/>
    <s v="Silver"/>
  </r>
  <r>
    <x v="266"/>
    <x v="266"/>
    <x v="8"/>
    <x v="1"/>
    <s v="South Gina"/>
    <x v="47"/>
    <s v="USA"/>
    <s v="Bronze"/>
  </r>
  <r>
    <x v="267"/>
    <x v="267"/>
    <x v="17"/>
    <x v="0"/>
    <s v="North Nicholas"/>
    <x v="12"/>
    <s v="USA"/>
    <s v="Bronze"/>
  </r>
  <r>
    <x v="268"/>
    <x v="268"/>
    <x v="6"/>
    <x v="1"/>
    <s v="Ryanberg"/>
    <x v="31"/>
    <s v="USA"/>
    <s v="Bronze"/>
  </r>
  <r>
    <x v="269"/>
    <x v="269"/>
    <x v="29"/>
    <x v="1"/>
    <s v="Emilytown"/>
    <x v="4"/>
    <s v="USA"/>
    <s v="Silver"/>
  </r>
  <r>
    <x v="270"/>
    <x v="270"/>
    <x v="18"/>
    <x v="1"/>
    <s v="Ramosmouth"/>
    <x v="44"/>
    <s v="USA"/>
    <s v="Gold"/>
  </r>
  <r>
    <x v="271"/>
    <x v="271"/>
    <x v="4"/>
    <x v="0"/>
    <s v="North Stephanie"/>
    <x v="13"/>
    <s v="USA"/>
    <s v="Platinum"/>
  </r>
  <r>
    <x v="272"/>
    <x v="272"/>
    <x v="22"/>
    <x v="1"/>
    <s v="Welchview"/>
    <x v="4"/>
    <s v="USA"/>
    <s v="Gold"/>
  </r>
  <r>
    <x v="273"/>
    <x v="273"/>
    <x v="32"/>
    <x v="0"/>
    <s v="North Roy"/>
    <x v="41"/>
    <s v="USA"/>
    <s v="Bronze"/>
  </r>
  <r>
    <x v="274"/>
    <x v="274"/>
    <x v="42"/>
    <x v="0"/>
    <s v="Edwardborough"/>
    <x v="28"/>
    <s v="USA"/>
    <s v="Silver"/>
  </r>
  <r>
    <x v="275"/>
    <x v="275"/>
    <x v="36"/>
    <x v="0"/>
    <s v="North Austinport"/>
    <x v="47"/>
    <s v="USA"/>
    <s v="Gold"/>
  </r>
  <r>
    <x v="276"/>
    <x v="276"/>
    <x v="42"/>
    <x v="0"/>
    <s v="Ericshire"/>
    <x v="29"/>
    <s v="USA"/>
    <s v="Gold"/>
  </r>
  <r>
    <x v="277"/>
    <x v="277"/>
    <x v="36"/>
    <x v="1"/>
    <s v="Lake Nicole"/>
    <x v="38"/>
    <s v="USA"/>
    <s v="Platinum"/>
  </r>
  <r>
    <x v="278"/>
    <x v="278"/>
    <x v="45"/>
    <x v="1"/>
    <s v="Port Mariastad"/>
    <x v="32"/>
    <s v="USA"/>
    <s v="Platinum"/>
  </r>
  <r>
    <x v="279"/>
    <x v="279"/>
    <x v="27"/>
    <x v="1"/>
    <s v="Gilltown"/>
    <x v="3"/>
    <s v="USA"/>
    <s v="Bronze"/>
  </r>
  <r>
    <x v="280"/>
    <x v="280"/>
    <x v="22"/>
    <x v="0"/>
    <s v="Morrisville"/>
    <x v="19"/>
    <s v="USA"/>
    <s v="Bronze"/>
  </r>
  <r>
    <x v="281"/>
    <x v="281"/>
    <x v="3"/>
    <x v="0"/>
    <s v="North Joshualand"/>
    <x v="27"/>
    <s v="USA"/>
    <s v="Platinum"/>
  </r>
  <r>
    <x v="282"/>
    <x v="282"/>
    <x v="12"/>
    <x v="1"/>
    <s v="Spencermouth"/>
    <x v="16"/>
    <s v="USA"/>
    <s v="Gold"/>
  </r>
  <r>
    <x v="283"/>
    <x v="283"/>
    <x v="20"/>
    <x v="1"/>
    <s v="Garciaborough"/>
    <x v="49"/>
    <s v="USA"/>
    <s v="Silver"/>
  </r>
  <r>
    <x v="284"/>
    <x v="284"/>
    <x v="20"/>
    <x v="0"/>
    <s v="Patrickshire"/>
    <x v="27"/>
    <s v="USA"/>
    <s v="Gold"/>
  </r>
  <r>
    <x v="285"/>
    <x v="285"/>
    <x v="12"/>
    <x v="1"/>
    <s v="North Robert"/>
    <x v="48"/>
    <s v="USA"/>
    <s v="Silver"/>
  </r>
  <r>
    <x v="286"/>
    <x v="286"/>
    <x v="36"/>
    <x v="0"/>
    <s v="Port Tonyfort"/>
    <x v="6"/>
    <s v="USA"/>
    <s v="Silver"/>
  </r>
  <r>
    <x v="287"/>
    <x v="287"/>
    <x v="36"/>
    <x v="1"/>
    <s v="Millerfort"/>
    <x v="28"/>
    <s v="USA"/>
    <s v="Gold"/>
  </r>
  <r>
    <x v="288"/>
    <x v="288"/>
    <x v="37"/>
    <x v="0"/>
    <s v="North Joseside"/>
    <x v="27"/>
    <s v="USA"/>
    <s v="Gold"/>
  </r>
  <r>
    <x v="289"/>
    <x v="289"/>
    <x v="29"/>
    <x v="0"/>
    <s v="North Brookestad"/>
    <x v="3"/>
    <s v="USA"/>
    <s v="Bronze"/>
  </r>
  <r>
    <x v="290"/>
    <x v="290"/>
    <x v="15"/>
    <x v="1"/>
    <s v="Sherimouth"/>
    <x v="39"/>
    <s v="USA"/>
    <s v="Silver"/>
  </r>
  <r>
    <x v="291"/>
    <x v="291"/>
    <x v="16"/>
    <x v="1"/>
    <s v="West Beverlymouth"/>
    <x v="21"/>
    <s v="USA"/>
    <s v="Bronze"/>
  </r>
  <r>
    <x v="292"/>
    <x v="292"/>
    <x v="41"/>
    <x v="0"/>
    <s v="Danielland"/>
    <x v="31"/>
    <s v="USA"/>
    <s v="Silver"/>
  </r>
  <r>
    <x v="293"/>
    <x v="293"/>
    <x v="34"/>
    <x v="1"/>
    <s v="North Daniel"/>
    <x v="44"/>
    <s v="USA"/>
    <s v="Platinum"/>
  </r>
  <r>
    <x v="294"/>
    <x v="294"/>
    <x v="2"/>
    <x v="0"/>
    <s v="Port Richard"/>
    <x v="12"/>
    <s v="USA"/>
    <s v="Platinum"/>
  </r>
  <r>
    <x v="295"/>
    <x v="295"/>
    <x v="28"/>
    <x v="1"/>
    <s v="North Michelleport"/>
    <x v="11"/>
    <s v="USA"/>
    <s v="Bronze"/>
  </r>
  <r>
    <x v="296"/>
    <x v="296"/>
    <x v="7"/>
    <x v="1"/>
    <s v="South David"/>
    <x v="7"/>
    <s v="USA"/>
    <s v="Bronze"/>
  </r>
  <r>
    <x v="297"/>
    <x v="297"/>
    <x v="46"/>
    <x v="1"/>
    <s v="Lake Brett"/>
    <x v="21"/>
    <s v="USA"/>
    <s v="Silver"/>
  </r>
  <r>
    <x v="298"/>
    <x v="298"/>
    <x v="4"/>
    <x v="0"/>
    <s v="New Joshuatown"/>
    <x v="46"/>
    <s v="USA"/>
    <s v="Platinum"/>
  </r>
  <r>
    <x v="299"/>
    <x v="299"/>
    <x v="22"/>
    <x v="1"/>
    <s v="West Robinmouth"/>
    <x v="44"/>
    <s v="USA"/>
    <s v="Platinum"/>
  </r>
  <r>
    <x v="300"/>
    <x v="300"/>
    <x v="2"/>
    <x v="0"/>
    <s v="Lake Melissashire"/>
    <x v="5"/>
    <s v="USA"/>
    <s v="Silver"/>
  </r>
  <r>
    <x v="301"/>
    <x v="301"/>
    <x v="26"/>
    <x v="0"/>
    <s v="West Bruceburgh"/>
    <x v="39"/>
    <s v="USA"/>
    <s v="Gold"/>
  </r>
  <r>
    <x v="302"/>
    <x v="302"/>
    <x v="13"/>
    <x v="0"/>
    <s v="Lake Charlotte"/>
    <x v="23"/>
    <s v="USA"/>
    <s v="Gold"/>
  </r>
  <r>
    <x v="303"/>
    <x v="303"/>
    <x v="32"/>
    <x v="1"/>
    <s v="East Johntown"/>
    <x v="17"/>
    <s v="USA"/>
    <s v="Platinum"/>
  </r>
  <r>
    <x v="304"/>
    <x v="304"/>
    <x v="21"/>
    <x v="0"/>
    <s v="Port Jenniferton"/>
    <x v="11"/>
    <s v="USA"/>
    <s v="Silver"/>
  </r>
  <r>
    <x v="305"/>
    <x v="305"/>
    <x v="4"/>
    <x v="0"/>
    <s v="West Joseph"/>
    <x v="14"/>
    <s v="USA"/>
    <s v="Platinum"/>
  </r>
  <r>
    <x v="306"/>
    <x v="306"/>
    <x v="39"/>
    <x v="0"/>
    <s v="New Nicholasstad"/>
    <x v="34"/>
    <s v="USA"/>
    <s v="Platinum"/>
  </r>
  <r>
    <x v="307"/>
    <x v="307"/>
    <x v="34"/>
    <x v="1"/>
    <s v="West Patriciaview"/>
    <x v="2"/>
    <s v="USA"/>
    <s v="Bronze"/>
  </r>
  <r>
    <x v="308"/>
    <x v="308"/>
    <x v="10"/>
    <x v="1"/>
    <s v="Sarahland"/>
    <x v="37"/>
    <s v="USA"/>
    <s v="Gold"/>
  </r>
  <r>
    <x v="309"/>
    <x v="309"/>
    <x v="21"/>
    <x v="1"/>
    <s v="Randychester"/>
    <x v="4"/>
    <s v="USA"/>
    <s v="Bronze"/>
  </r>
  <r>
    <x v="310"/>
    <x v="310"/>
    <x v="24"/>
    <x v="0"/>
    <s v="Joelside"/>
    <x v="28"/>
    <s v="USA"/>
    <s v="Silver"/>
  </r>
  <r>
    <x v="311"/>
    <x v="311"/>
    <x v="25"/>
    <x v="0"/>
    <s v="Port Edwardmouth"/>
    <x v="5"/>
    <s v="USA"/>
    <s v="Platinum"/>
  </r>
  <r>
    <x v="312"/>
    <x v="312"/>
    <x v="46"/>
    <x v="1"/>
    <s v="Brianchester"/>
    <x v="17"/>
    <s v="USA"/>
    <s v="Silver"/>
  </r>
  <r>
    <x v="313"/>
    <x v="313"/>
    <x v="40"/>
    <x v="0"/>
    <s v="Brownburgh"/>
    <x v="24"/>
    <s v="USA"/>
    <s v="Platinum"/>
  </r>
  <r>
    <x v="314"/>
    <x v="314"/>
    <x v="6"/>
    <x v="1"/>
    <s v="Anitaland"/>
    <x v="14"/>
    <s v="USA"/>
    <s v="Silver"/>
  </r>
  <r>
    <x v="315"/>
    <x v="315"/>
    <x v="9"/>
    <x v="0"/>
    <s v="Port Chad"/>
    <x v="48"/>
    <s v="USA"/>
    <s v="Silver"/>
  </r>
  <r>
    <x v="316"/>
    <x v="316"/>
    <x v="30"/>
    <x v="0"/>
    <s v="Lake James"/>
    <x v="24"/>
    <s v="USA"/>
    <s v="Gold"/>
  </r>
  <r>
    <x v="317"/>
    <x v="317"/>
    <x v="4"/>
    <x v="1"/>
    <s v="Richardsport"/>
    <x v="8"/>
    <s v="USA"/>
    <s v="Gold"/>
  </r>
  <r>
    <x v="318"/>
    <x v="318"/>
    <x v="23"/>
    <x v="0"/>
    <s v="Monicaview"/>
    <x v="11"/>
    <s v="USA"/>
    <s v="Platinum"/>
  </r>
  <r>
    <x v="319"/>
    <x v="319"/>
    <x v="20"/>
    <x v="0"/>
    <s v="West Mathewside"/>
    <x v="41"/>
    <s v="USA"/>
    <s v="Platinum"/>
  </r>
  <r>
    <x v="320"/>
    <x v="320"/>
    <x v="30"/>
    <x v="1"/>
    <s v="South Darrenland"/>
    <x v="37"/>
    <s v="USA"/>
    <s v="Bronze"/>
  </r>
  <r>
    <x v="321"/>
    <x v="321"/>
    <x v="27"/>
    <x v="1"/>
    <s v="Lake Alice"/>
    <x v="34"/>
    <s v="USA"/>
    <s v="Bronze"/>
  </r>
  <r>
    <x v="322"/>
    <x v="322"/>
    <x v="20"/>
    <x v="0"/>
    <s v="North Nicole"/>
    <x v="49"/>
    <s v="USA"/>
    <s v="Bronze"/>
  </r>
  <r>
    <x v="323"/>
    <x v="323"/>
    <x v="4"/>
    <x v="1"/>
    <s v="Whiteport"/>
    <x v="0"/>
    <s v="USA"/>
    <s v="Platinum"/>
  </r>
  <r>
    <x v="324"/>
    <x v="324"/>
    <x v="37"/>
    <x v="0"/>
    <s v="South Zacharychester"/>
    <x v="18"/>
    <s v="USA"/>
    <s v="Bronze"/>
  </r>
  <r>
    <x v="325"/>
    <x v="325"/>
    <x v="10"/>
    <x v="0"/>
    <s v="East Matthew"/>
    <x v="43"/>
    <s v="USA"/>
    <s v="Bronze"/>
  </r>
  <r>
    <x v="326"/>
    <x v="326"/>
    <x v="37"/>
    <x v="1"/>
    <s v="Cindyton"/>
    <x v="32"/>
    <s v="USA"/>
    <s v="Gold"/>
  </r>
  <r>
    <x v="327"/>
    <x v="327"/>
    <x v="40"/>
    <x v="1"/>
    <s v="Kellybury"/>
    <x v="10"/>
    <s v="USA"/>
    <s v="Bronze"/>
  </r>
  <r>
    <x v="328"/>
    <x v="328"/>
    <x v="12"/>
    <x v="0"/>
    <s v="Jessicaport"/>
    <x v="31"/>
    <s v="USA"/>
    <s v="Platinum"/>
  </r>
  <r>
    <x v="329"/>
    <x v="329"/>
    <x v="40"/>
    <x v="1"/>
    <s v="Tiffanyshire"/>
    <x v="31"/>
    <s v="USA"/>
    <s v="Bronze"/>
  </r>
  <r>
    <x v="330"/>
    <x v="330"/>
    <x v="20"/>
    <x v="0"/>
    <s v="South Jasontown"/>
    <x v="30"/>
    <s v="USA"/>
    <s v="Platinum"/>
  </r>
  <r>
    <x v="331"/>
    <x v="331"/>
    <x v="42"/>
    <x v="1"/>
    <s v="North Kathytown"/>
    <x v="12"/>
    <s v="USA"/>
    <s v="Bronze"/>
  </r>
  <r>
    <x v="332"/>
    <x v="332"/>
    <x v="30"/>
    <x v="1"/>
    <s v="New Paulstad"/>
    <x v="19"/>
    <s v="USA"/>
    <s v="Bronze"/>
  </r>
  <r>
    <x v="333"/>
    <x v="333"/>
    <x v="4"/>
    <x v="1"/>
    <s v="Johnsonbury"/>
    <x v="15"/>
    <s v="USA"/>
    <s v="Gold"/>
  </r>
  <r>
    <x v="334"/>
    <x v="334"/>
    <x v="26"/>
    <x v="1"/>
    <s v="Donaldsontown"/>
    <x v="27"/>
    <s v="USA"/>
    <s v="Silver"/>
  </r>
  <r>
    <x v="335"/>
    <x v="335"/>
    <x v="33"/>
    <x v="0"/>
    <s v="West Brendamouth"/>
    <x v="0"/>
    <s v="USA"/>
    <s v="Platinum"/>
  </r>
  <r>
    <x v="336"/>
    <x v="336"/>
    <x v="37"/>
    <x v="1"/>
    <s v="North Michaelborough"/>
    <x v="5"/>
    <s v="USA"/>
    <s v="Silver"/>
  </r>
  <r>
    <x v="337"/>
    <x v="337"/>
    <x v="16"/>
    <x v="1"/>
    <s v="Ryanport"/>
    <x v="0"/>
    <s v="USA"/>
    <s v="Bronze"/>
  </r>
  <r>
    <x v="338"/>
    <x v="338"/>
    <x v="12"/>
    <x v="1"/>
    <s v="Hudsonfort"/>
    <x v="27"/>
    <s v="USA"/>
    <s v="Silver"/>
  </r>
  <r>
    <x v="339"/>
    <x v="339"/>
    <x v="15"/>
    <x v="1"/>
    <s v="Stevensbury"/>
    <x v="23"/>
    <s v="USA"/>
    <s v="Platinum"/>
  </r>
  <r>
    <x v="340"/>
    <x v="340"/>
    <x v="19"/>
    <x v="0"/>
    <s v="Johntown"/>
    <x v="38"/>
    <s v="USA"/>
    <s v="Bronze"/>
  </r>
  <r>
    <x v="341"/>
    <x v="341"/>
    <x v="34"/>
    <x v="1"/>
    <s v="Lake Alyssaburgh"/>
    <x v="30"/>
    <s v="USA"/>
    <s v="Bronze"/>
  </r>
  <r>
    <x v="342"/>
    <x v="342"/>
    <x v="41"/>
    <x v="1"/>
    <s v="Amandaborough"/>
    <x v="27"/>
    <s v="USA"/>
    <s v="Bronze"/>
  </r>
  <r>
    <x v="343"/>
    <x v="343"/>
    <x v="42"/>
    <x v="0"/>
    <s v="Cartershire"/>
    <x v="39"/>
    <s v="USA"/>
    <s v="Bronze"/>
  </r>
  <r>
    <x v="344"/>
    <x v="344"/>
    <x v="38"/>
    <x v="0"/>
    <s v="West Victoriaborough"/>
    <x v="33"/>
    <s v="USA"/>
    <s v="Gold"/>
  </r>
  <r>
    <x v="345"/>
    <x v="345"/>
    <x v="14"/>
    <x v="0"/>
    <s v="North Jonathan"/>
    <x v="18"/>
    <s v="USA"/>
    <s v="Bronze"/>
  </r>
  <r>
    <x v="346"/>
    <x v="346"/>
    <x v="37"/>
    <x v="1"/>
    <s v="Port Crystalberg"/>
    <x v="34"/>
    <s v="USA"/>
    <s v="Platinum"/>
  </r>
  <r>
    <x v="347"/>
    <x v="347"/>
    <x v="38"/>
    <x v="1"/>
    <s v="Peggystad"/>
    <x v="27"/>
    <s v="USA"/>
    <s v="Gold"/>
  </r>
  <r>
    <x v="348"/>
    <x v="348"/>
    <x v="0"/>
    <x v="0"/>
    <s v="Shannonview"/>
    <x v="9"/>
    <s v="USA"/>
    <s v="Silver"/>
  </r>
  <r>
    <x v="349"/>
    <x v="349"/>
    <x v="18"/>
    <x v="0"/>
    <s v="New Angiefurt"/>
    <x v="26"/>
    <s v="USA"/>
    <s v="Bronze"/>
  </r>
  <r>
    <x v="350"/>
    <x v="350"/>
    <x v="1"/>
    <x v="0"/>
    <s v="Lake Allisonborough"/>
    <x v="37"/>
    <s v="USA"/>
    <s v="Silver"/>
  </r>
  <r>
    <x v="351"/>
    <x v="351"/>
    <x v="23"/>
    <x v="1"/>
    <s v="North Samuel"/>
    <x v="13"/>
    <s v="USA"/>
    <s v="Bronze"/>
  </r>
  <r>
    <x v="352"/>
    <x v="352"/>
    <x v="15"/>
    <x v="1"/>
    <s v="Port Saramouth"/>
    <x v="43"/>
    <s v="USA"/>
    <s v="Silver"/>
  </r>
  <r>
    <x v="353"/>
    <x v="353"/>
    <x v="34"/>
    <x v="1"/>
    <s v="Westbury"/>
    <x v="5"/>
    <s v="USA"/>
    <s v="Platinum"/>
  </r>
  <r>
    <x v="354"/>
    <x v="354"/>
    <x v="42"/>
    <x v="0"/>
    <s v="Guerreroport"/>
    <x v="27"/>
    <s v="USA"/>
    <s v="Silver"/>
  </r>
  <r>
    <x v="355"/>
    <x v="355"/>
    <x v="24"/>
    <x v="0"/>
    <s v="North Johnfurt"/>
    <x v="14"/>
    <s v="USA"/>
    <s v="Gold"/>
  </r>
  <r>
    <x v="356"/>
    <x v="356"/>
    <x v="20"/>
    <x v="0"/>
    <s v="North Richard"/>
    <x v="39"/>
    <s v="USA"/>
    <s v="Bronze"/>
  </r>
  <r>
    <x v="357"/>
    <x v="357"/>
    <x v="21"/>
    <x v="0"/>
    <s v="Nealview"/>
    <x v="34"/>
    <s v="USA"/>
    <s v="Gold"/>
  </r>
  <r>
    <x v="358"/>
    <x v="358"/>
    <x v="10"/>
    <x v="1"/>
    <s v="West Johnmouth"/>
    <x v="41"/>
    <s v="USA"/>
    <s v="Gold"/>
  </r>
  <r>
    <x v="359"/>
    <x v="359"/>
    <x v="8"/>
    <x v="0"/>
    <s v="East Michaelton"/>
    <x v="11"/>
    <s v="USA"/>
    <s v="Silver"/>
  </r>
  <r>
    <x v="360"/>
    <x v="360"/>
    <x v="30"/>
    <x v="0"/>
    <s v="Andersonside"/>
    <x v="40"/>
    <s v="USA"/>
    <s v="Platinum"/>
  </r>
  <r>
    <x v="361"/>
    <x v="361"/>
    <x v="4"/>
    <x v="0"/>
    <s v="New Jessechester"/>
    <x v="36"/>
    <s v="USA"/>
    <s v="Platinum"/>
  </r>
  <r>
    <x v="362"/>
    <x v="362"/>
    <x v="10"/>
    <x v="0"/>
    <s v="Melvinton"/>
    <x v="26"/>
    <s v="USA"/>
    <s v="Gold"/>
  </r>
  <r>
    <x v="363"/>
    <x v="363"/>
    <x v="32"/>
    <x v="0"/>
    <s v="Murphytown"/>
    <x v="3"/>
    <s v="USA"/>
    <s v="Bronze"/>
  </r>
  <r>
    <x v="364"/>
    <x v="364"/>
    <x v="37"/>
    <x v="0"/>
    <s v="Lake Johnside"/>
    <x v="23"/>
    <s v="USA"/>
    <s v="Bronze"/>
  </r>
  <r>
    <x v="365"/>
    <x v="365"/>
    <x v="44"/>
    <x v="1"/>
    <s v="Kellyside"/>
    <x v="26"/>
    <s v="USA"/>
    <s v="Platinum"/>
  </r>
  <r>
    <x v="366"/>
    <x v="366"/>
    <x v="16"/>
    <x v="1"/>
    <s v="North Theresa"/>
    <x v="2"/>
    <s v="USA"/>
    <s v="Platinum"/>
  </r>
  <r>
    <x v="367"/>
    <x v="367"/>
    <x v="35"/>
    <x v="0"/>
    <s v="Kaufmanfurt"/>
    <x v="3"/>
    <s v="USA"/>
    <s v="Bronze"/>
  </r>
  <r>
    <x v="368"/>
    <x v="368"/>
    <x v="30"/>
    <x v="1"/>
    <s v="West Mathew"/>
    <x v="10"/>
    <s v="USA"/>
    <s v="Platinum"/>
  </r>
  <r>
    <x v="369"/>
    <x v="369"/>
    <x v="24"/>
    <x v="1"/>
    <s v="West Bruce"/>
    <x v="28"/>
    <s v="USA"/>
    <s v="Platinum"/>
  </r>
  <r>
    <x v="370"/>
    <x v="370"/>
    <x v="29"/>
    <x v="0"/>
    <s v="Millston"/>
    <x v="36"/>
    <s v="USA"/>
    <s v="Silver"/>
  </r>
  <r>
    <x v="371"/>
    <x v="371"/>
    <x v="27"/>
    <x v="1"/>
    <s v="Port Crystal"/>
    <x v="8"/>
    <s v="USA"/>
    <s v="Platinum"/>
  </r>
  <r>
    <x v="372"/>
    <x v="372"/>
    <x v="7"/>
    <x v="0"/>
    <s v="Vincentside"/>
    <x v="3"/>
    <s v="USA"/>
    <s v="Bronze"/>
  </r>
  <r>
    <x v="373"/>
    <x v="373"/>
    <x v="33"/>
    <x v="1"/>
    <s v="Simpsonfort"/>
    <x v="46"/>
    <s v="USA"/>
    <s v="Gold"/>
  </r>
  <r>
    <x v="374"/>
    <x v="374"/>
    <x v="10"/>
    <x v="0"/>
    <s v="Andersonburgh"/>
    <x v="19"/>
    <s v="USA"/>
    <s v="Platinum"/>
  </r>
  <r>
    <x v="375"/>
    <x v="375"/>
    <x v="1"/>
    <x v="0"/>
    <s v="Port Richardshire"/>
    <x v="31"/>
    <s v="USA"/>
    <s v="Platinum"/>
  </r>
  <r>
    <x v="376"/>
    <x v="376"/>
    <x v="41"/>
    <x v="0"/>
    <s v="Chambersberg"/>
    <x v="27"/>
    <s v="USA"/>
    <s v="Bronze"/>
  </r>
  <r>
    <x v="377"/>
    <x v="377"/>
    <x v="38"/>
    <x v="1"/>
    <s v="Nathanshire"/>
    <x v="46"/>
    <s v="USA"/>
    <s v="Gold"/>
  </r>
  <r>
    <x v="378"/>
    <x v="378"/>
    <x v="39"/>
    <x v="1"/>
    <s v="Fischerborough"/>
    <x v="17"/>
    <s v="USA"/>
    <s v="Bronze"/>
  </r>
  <r>
    <x v="379"/>
    <x v="379"/>
    <x v="30"/>
    <x v="1"/>
    <s v="West Jeffreyburgh"/>
    <x v="37"/>
    <s v="USA"/>
    <s v="Gold"/>
  </r>
  <r>
    <x v="380"/>
    <x v="380"/>
    <x v="32"/>
    <x v="0"/>
    <s v="South Cassandrachester"/>
    <x v="32"/>
    <s v="USA"/>
    <s v="Gold"/>
  </r>
  <r>
    <x v="381"/>
    <x v="381"/>
    <x v="26"/>
    <x v="0"/>
    <s v="Andrewsland"/>
    <x v="2"/>
    <s v="USA"/>
    <s v="Silver"/>
  </r>
  <r>
    <x v="382"/>
    <x v="382"/>
    <x v="24"/>
    <x v="1"/>
    <s v="Novakstad"/>
    <x v="4"/>
    <s v="USA"/>
    <s v="Gold"/>
  </r>
  <r>
    <x v="383"/>
    <x v="383"/>
    <x v="19"/>
    <x v="1"/>
    <s v="Jennifertown"/>
    <x v="42"/>
    <s v="USA"/>
    <s v="Silver"/>
  </r>
  <r>
    <x v="384"/>
    <x v="384"/>
    <x v="15"/>
    <x v="1"/>
    <s v="North Michael"/>
    <x v="37"/>
    <s v="USA"/>
    <s v="Bronze"/>
  </r>
  <r>
    <x v="385"/>
    <x v="385"/>
    <x v="10"/>
    <x v="0"/>
    <s v="Lake Brandontown"/>
    <x v="42"/>
    <s v="USA"/>
    <s v="Gold"/>
  </r>
  <r>
    <x v="386"/>
    <x v="386"/>
    <x v="17"/>
    <x v="1"/>
    <s v="West Laura"/>
    <x v="24"/>
    <s v="USA"/>
    <s v="Bronze"/>
  </r>
  <r>
    <x v="387"/>
    <x v="387"/>
    <x v="7"/>
    <x v="1"/>
    <s v="New Dawn"/>
    <x v="16"/>
    <s v="USA"/>
    <s v="Silver"/>
  </r>
  <r>
    <x v="388"/>
    <x v="388"/>
    <x v="6"/>
    <x v="0"/>
    <s v="Stevensshire"/>
    <x v="21"/>
    <s v="USA"/>
    <s v="Platinum"/>
  </r>
  <r>
    <x v="389"/>
    <x v="389"/>
    <x v="26"/>
    <x v="0"/>
    <s v="Joseland"/>
    <x v="13"/>
    <s v="USA"/>
    <s v="Platinum"/>
  </r>
  <r>
    <x v="390"/>
    <x v="390"/>
    <x v="34"/>
    <x v="0"/>
    <s v="Deniseberg"/>
    <x v="40"/>
    <s v="USA"/>
    <s v="Silver"/>
  </r>
  <r>
    <x v="391"/>
    <x v="391"/>
    <x v="16"/>
    <x v="1"/>
    <s v="Dawnstad"/>
    <x v="5"/>
    <s v="USA"/>
    <s v="Bronze"/>
  </r>
  <r>
    <x v="392"/>
    <x v="392"/>
    <x v="12"/>
    <x v="0"/>
    <s v="Gutierrezstad"/>
    <x v="21"/>
    <s v="USA"/>
    <s v="Gold"/>
  </r>
  <r>
    <x v="393"/>
    <x v="393"/>
    <x v="12"/>
    <x v="0"/>
    <s v="Stewartchester"/>
    <x v="22"/>
    <s v="USA"/>
    <s v="Bronze"/>
  </r>
  <r>
    <x v="394"/>
    <x v="394"/>
    <x v="11"/>
    <x v="1"/>
    <s v="Cannonberg"/>
    <x v="27"/>
    <s v="USA"/>
    <s v="Bronze"/>
  </r>
  <r>
    <x v="395"/>
    <x v="395"/>
    <x v="26"/>
    <x v="0"/>
    <s v="Lake Morganland"/>
    <x v="11"/>
    <s v="USA"/>
    <s v="Gold"/>
  </r>
  <r>
    <x v="396"/>
    <x v="396"/>
    <x v="23"/>
    <x v="1"/>
    <s v="Parkerview"/>
    <x v="10"/>
    <s v="USA"/>
    <s v="Silver"/>
  </r>
  <r>
    <x v="397"/>
    <x v="397"/>
    <x v="40"/>
    <x v="1"/>
    <s v="East Jennifer"/>
    <x v="11"/>
    <s v="USA"/>
    <s v="Platinum"/>
  </r>
  <r>
    <x v="398"/>
    <x v="398"/>
    <x v="20"/>
    <x v="0"/>
    <s v="Cheyenneborough"/>
    <x v="8"/>
    <s v="USA"/>
    <s v="Bronze"/>
  </r>
  <r>
    <x v="399"/>
    <x v="399"/>
    <x v="19"/>
    <x v="0"/>
    <s v="New Edward"/>
    <x v="46"/>
    <s v="USA"/>
    <s v="Bronze"/>
  </r>
  <r>
    <x v="400"/>
    <x v="400"/>
    <x v="43"/>
    <x v="1"/>
    <s v="Bookertown"/>
    <x v="18"/>
    <s v="USA"/>
    <s v="Platinum"/>
  </r>
  <r>
    <x v="401"/>
    <x v="401"/>
    <x v="35"/>
    <x v="1"/>
    <s v="Leahmouth"/>
    <x v="29"/>
    <s v="USA"/>
    <s v="Platinum"/>
  </r>
  <r>
    <x v="402"/>
    <x v="402"/>
    <x v="18"/>
    <x v="0"/>
    <s v="Brandonville"/>
    <x v="41"/>
    <s v="USA"/>
    <s v="Bronze"/>
  </r>
  <r>
    <x v="403"/>
    <x v="403"/>
    <x v="30"/>
    <x v="0"/>
    <s v="Lake Lisaland"/>
    <x v="44"/>
    <s v="USA"/>
    <s v="Bronze"/>
  </r>
  <r>
    <x v="404"/>
    <x v="404"/>
    <x v="36"/>
    <x v="1"/>
    <s v="South Angela"/>
    <x v="40"/>
    <s v="USA"/>
    <s v="Silver"/>
  </r>
  <r>
    <x v="405"/>
    <x v="405"/>
    <x v="17"/>
    <x v="1"/>
    <s v="Garciaview"/>
    <x v="44"/>
    <s v="USA"/>
    <s v="Gold"/>
  </r>
  <r>
    <x v="406"/>
    <x v="406"/>
    <x v="32"/>
    <x v="1"/>
    <s v="North Michaelfurt"/>
    <x v="43"/>
    <s v="USA"/>
    <s v="Gold"/>
  </r>
  <r>
    <x v="407"/>
    <x v="407"/>
    <x v="14"/>
    <x v="0"/>
    <s v="Ashleymouth"/>
    <x v="24"/>
    <s v="USA"/>
    <s v="Gold"/>
  </r>
  <r>
    <x v="408"/>
    <x v="408"/>
    <x v="13"/>
    <x v="0"/>
    <s v="Port Joshuaville"/>
    <x v="16"/>
    <s v="USA"/>
    <s v="Gold"/>
  </r>
  <r>
    <x v="409"/>
    <x v="409"/>
    <x v="0"/>
    <x v="0"/>
    <s v="Kathleenport"/>
    <x v="49"/>
    <s v="USA"/>
    <s v="Gold"/>
  </r>
  <r>
    <x v="410"/>
    <x v="410"/>
    <x v="22"/>
    <x v="1"/>
    <s v="South Edwin"/>
    <x v="16"/>
    <s v="USA"/>
    <s v="Bronze"/>
  </r>
  <r>
    <x v="411"/>
    <x v="411"/>
    <x v="44"/>
    <x v="0"/>
    <s v="West Rebecca"/>
    <x v="3"/>
    <s v="USA"/>
    <s v="Silver"/>
  </r>
  <r>
    <x v="412"/>
    <x v="412"/>
    <x v="32"/>
    <x v="1"/>
    <s v="East Andrea"/>
    <x v="25"/>
    <s v="USA"/>
    <s v="Gold"/>
  </r>
  <r>
    <x v="413"/>
    <x v="413"/>
    <x v="3"/>
    <x v="1"/>
    <s v="Andrewsfurt"/>
    <x v="20"/>
    <s v="USA"/>
    <s v="Bronze"/>
  </r>
  <r>
    <x v="414"/>
    <x v="414"/>
    <x v="25"/>
    <x v="1"/>
    <s v="East Patriciafort"/>
    <x v="21"/>
    <s v="USA"/>
    <s v="Gold"/>
  </r>
  <r>
    <x v="415"/>
    <x v="415"/>
    <x v="1"/>
    <x v="1"/>
    <s v="Kramerview"/>
    <x v="26"/>
    <s v="USA"/>
    <s v="Silver"/>
  </r>
  <r>
    <x v="416"/>
    <x v="416"/>
    <x v="12"/>
    <x v="0"/>
    <s v="Marthaborough"/>
    <x v="43"/>
    <s v="USA"/>
    <s v="Platinum"/>
  </r>
  <r>
    <x v="417"/>
    <x v="417"/>
    <x v="4"/>
    <x v="1"/>
    <s v="Kimburgh"/>
    <x v="0"/>
    <s v="USA"/>
    <s v="Bronze"/>
  </r>
  <r>
    <x v="418"/>
    <x v="418"/>
    <x v="10"/>
    <x v="1"/>
    <s v="West Mario"/>
    <x v="8"/>
    <s v="USA"/>
    <s v="Silver"/>
  </r>
  <r>
    <x v="419"/>
    <x v="419"/>
    <x v="14"/>
    <x v="0"/>
    <s v="Lake David"/>
    <x v="41"/>
    <s v="USA"/>
    <s v="Gold"/>
  </r>
  <r>
    <x v="420"/>
    <x v="420"/>
    <x v="10"/>
    <x v="0"/>
    <s v="New Benjamin"/>
    <x v="0"/>
    <s v="USA"/>
    <s v="Bronze"/>
  </r>
  <r>
    <x v="421"/>
    <x v="421"/>
    <x v="29"/>
    <x v="1"/>
    <s v="East Amy"/>
    <x v="14"/>
    <s v="USA"/>
    <s v="Platinum"/>
  </r>
  <r>
    <x v="422"/>
    <x v="422"/>
    <x v="45"/>
    <x v="1"/>
    <s v="Aliciahaven"/>
    <x v="11"/>
    <s v="USA"/>
    <s v="Platinum"/>
  </r>
  <r>
    <x v="423"/>
    <x v="423"/>
    <x v="25"/>
    <x v="0"/>
    <s v="New Katherine"/>
    <x v="11"/>
    <s v="USA"/>
    <s v="Silver"/>
  </r>
  <r>
    <x v="424"/>
    <x v="424"/>
    <x v="6"/>
    <x v="0"/>
    <s v="Lake Alexandra"/>
    <x v="0"/>
    <s v="USA"/>
    <s v="Bronze"/>
  </r>
  <r>
    <x v="425"/>
    <x v="425"/>
    <x v="16"/>
    <x v="0"/>
    <s v="Lake Monique"/>
    <x v="22"/>
    <s v="USA"/>
    <s v="Bronze"/>
  </r>
  <r>
    <x v="426"/>
    <x v="426"/>
    <x v="7"/>
    <x v="0"/>
    <s v="Aguilarland"/>
    <x v="0"/>
    <s v="USA"/>
    <s v="Platinum"/>
  </r>
  <r>
    <x v="427"/>
    <x v="427"/>
    <x v="17"/>
    <x v="1"/>
    <s v="South Robert"/>
    <x v="46"/>
    <s v="USA"/>
    <s v="Gold"/>
  </r>
  <r>
    <x v="428"/>
    <x v="428"/>
    <x v="19"/>
    <x v="1"/>
    <s v="Hartmouth"/>
    <x v="44"/>
    <s v="USA"/>
    <s v="Bronze"/>
  </r>
  <r>
    <x v="429"/>
    <x v="429"/>
    <x v="11"/>
    <x v="0"/>
    <s v="Davidchester"/>
    <x v="20"/>
    <s v="USA"/>
    <s v="Platinum"/>
  </r>
  <r>
    <x v="430"/>
    <x v="430"/>
    <x v="13"/>
    <x v="1"/>
    <s v="Josephchester"/>
    <x v="16"/>
    <s v="USA"/>
    <s v="Gold"/>
  </r>
  <r>
    <x v="431"/>
    <x v="431"/>
    <x v="19"/>
    <x v="0"/>
    <s v="South Andrewport"/>
    <x v="4"/>
    <s v="USA"/>
    <s v="Platinum"/>
  </r>
  <r>
    <x v="432"/>
    <x v="432"/>
    <x v="33"/>
    <x v="0"/>
    <s v="Phyllisport"/>
    <x v="16"/>
    <s v="USA"/>
    <s v="Bronze"/>
  </r>
  <r>
    <x v="433"/>
    <x v="433"/>
    <x v="35"/>
    <x v="1"/>
    <s v="Williamsberg"/>
    <x v="10"/>
    <s v="USA"/>
    <s v="Silver"/>
  </r>
  <r>
    <x v="434"/>
    <x v="434"/>
    <x v="22"/>
    <x v="1"/>
    <s v="New Sarah"/>
    <x v="36"/>
    <s v="USA"/>
    <s v="Gold"/>
  </r>
  <r>
    <x v="435"/>
    <x v="435"/>
    <x v="33"/>
    <x v="1"/>
    <s v="Wesleyhaven"/>
    <x v="20"/>
    <s v="USA"/>
    <s v="Silver"/>
  </r>
  <r>
    <x v="436"/>
    <x v="436"/>
    <x v="31"/>
    <x v="0"/>
    <s v="South Michellebury"/>
    <x v="6"/>
    <s v="USA"/>
    <s v="Gold"/>
  </r>
  <r>
    <x v="437"/>
    <x v="437"/>
    <x v="46"/>
    <x v="1"/>
    <s v="East Davidmouth"/>
    <x v="8"/>
    <s v="USA"/>
    <s v="Platinum"/>
  </r>
  <r>
    <x v="438"/>
    <x v="438"/>
    <x v="3"/>
    <x v="1"/>
    <s v="Amberburgh"/>
    <x v="34"/>
    <s v="USA"/>
    <s v="Platinum"/>
  </r>
  <r>
    <x v="439"/>
    <x v="439"/>
    <x v="6"/>
    <x v="0"/>
    <s v="North Daniel"/>
    <x v="25"/>
    <s v="USA"/>
    <s v="Silver"/>
  </r>
  <r>
    <x v="440"/>
    <x v="440"/>
    <x v="10"/>
    <x v="0"/>
    <s v="Justinberg"/>
    <x v="1"/>
    <s v="USA"/>
    <s v="Silver"/>
  </r>
  <r>
    <x v="441"/>
    <x v="441"/>
    <x v="18"/>
    <x v="0"/>
    <s v="Jonesstad"/>
    <x v="43"/>
    <s v="USA"/>
    <s v="Silver"/>
  </r>
  <r>
    <x v="442"/>
    <x v="442"/>
    <x v="45"/>
    <x v="1"/>
    <s v="North Maryfort"/>
    <x v="5"/>
    <s v="USA"/>
    <s v="Bronze"/>
  </r>
  <r>
    <x v="443"/>
    <x v="443"/>
    <x v="35"/>
    <x v="0"/>
    <s v="New Donnabury"/>
    <x v="45"/>
    <s v="USA"/>
    <s v="Silver"/>
  </r>
  <r>
    <x v="444"/>
    <x v="444"/>
    <x v="28"/>
    <x v="0"/>
    <s v="Jessicaland"/>
    <x v="49"/>
    <s v="USA"/>
    <s v="Gold"/>
  </r>
  <r>
    <x v="445"/>
    <x v="445"/>
    <x v="21"/>
    <x v="1"/>
    <s v="Mcfarlandmouth"/>
    <x v="39"/>
    <s v="USA"/>
    <s v="Platinum"/>
  </r>
  <r>
    <x v="446"/>
    <x v="446"/>
    <x v="25"/>
    <x v="0"/>
    <s v="West Jorge"/>
    <x v="18"/>
    <s v="USA"/>
    <s v="Silver"/>
  </r>
  <r>
    <x v="447"/>
    <x v="447"/>
    <x v="29"/>
    <x v="0"/>
    <s v="Paulside"/>
    <x v="0"/>
    <s v="USA"/>
    <s v="Gold"/>
  </r>
  <r>
    <x v="448"/>
    <x v="448"/>
    <x v="4"/>
    <x v="1"/>
    <s v="Smithville"/>
    <x v="49"/>
    <s v="USA"/>
    <s v="Bronze"/>
  </r>
  <r>
    <x v="449"/>
    <x v="449"/>
    <x v="2"/>
    <x v="0"/>
    <s v="Port Hannahport"/>
    <x v="3"/>
    <s v="USA"/>
    <s v="Bronze"/>
  </r>
  <r>
    <x v="450"/>
    <x v="450"/>
    <x v="3"/>
    <x v="0"/>
    <s v="Lake Meganstad"/>
    <x v="13"/>
    <s v="USA"/>
    <s v="Bronze"/>
  </r>
  <r>
    <x v="451"/>
    <x v="451"/>
    <x v="12"/>
    <x v="0"/>
    <s v="Josephmouth"/>
    <x v="33"/>
    <s v="USA"/>
    <s v="Gold"/>
  </r>
  <r>
    <x v="452"/>
    <x v="452"/>
    <x v="10"/>
    <x v="1"/>
    <s v="New Laura"/>
    <x v="41"/>
    <s v="USA"/>
    <s v="Bronze"/>
  </r>
  <r>
    <x v="453"/>
    <x v="453"/>
    <x v="40"/>
    <x v="1"/>
    <s v="Lake Carolyn"/>
    <x v="19"/>
    <s v="USA"/>
    <s v="Platinum"/>
  </r>
  <r>
    <x v="454"/>
    <x v="454"/>
    <x v="10"/>
    <x v="0"/>
    <s v="Johnsonville"/>
    <x v="18"/>
    <s v="USA"/>
    <s v="Gold"/>
  </r>
  <r>
    <x v="455"/>
    <x v="455"/>
    <x v="20"/>
    <x v="0"/>
    <s v="East Yvette"/>
    <x v="30"/>
    <s v="USA"/>
    <s v="Gold"/>
  </r>
  <r>
    <x v="456"/>
    <x v="456"/>
    <x v="3"/>
    <x v="1"/>
    <s v="South Barbara"/>
    <x v="40"/>
    <s v="USA"/>
    <s v="Gold"/>
  </r>
  <r>
    <x v="457"/>
    <x v="457"/>
    <x v="3"/>
    <x v="0"/>
    <s v="Hubbardborough"/>
    <x v="47"/>
    <s v="USA"/>
    <s v="Platinum"/>
  </r>
  <r>
    <x v="458"/>
    <x v="458"/>
    <x v="40"/>
    <x v="1"/>
    <s v="Port Taylorberg"/>
    <x v="9"/>
    <s v="USA"/>
    <s v="Silver"/>
  </r>
  <r>
    <x v="459"/>
    <x v="208"/>
    <x v="2"/>
    <x v="1"/>
    <s v="Brandontown"/>
    <x v="42"/>
    <s v="USA"/>
    <s v="Gold"/>
  </r>
  <r>
    <x v="460"/>
    <x v="459"/>
    <x v="25"/>
    <x v="0"/>
    <s v="Hughesview"/>
    <x v="37"/>
    <s v="USA"/>
    <s v="Gold"/>
  </r>
  <r>
    <x v="461"/>
    <x v="460"/>
    <x v="10"/>
    <x v="1"/>
    <s v="East Julie"/>
    <x v="11"/>
    <s v="USA"/>
    <s v="Silver"/>
  </r>
  <r>
    <x v="462"/>
    <x v="461"/>
    <x v="30"/>
    <x v="1"/>
    <s v="Burkefurt"/>
    <x v="7"/>
    <s v="USA"/>
    <s v="Silver"/>
  </r>
  <r>
    <x v="463"/>
    <x v="462"/>
    <x v="13"/>
    <x v="1"/>
    <s v="Port Anthony"/>
    <x v="27"/>
    <s v="USA"/>
    <s v="Bronze"/>
  </r>
  <r>
    <x v="464"/>
    <x v="463"/>
    <x v="29"/>
    <x v="1"/>
    <s v="Grayland"/>
    <x v="14"/>
    <s v="USA"/>
    <s v="Platinum"/>
  </r>
  <r>
    <x v="465"/>
    <x v="464"/>
    <x v="7"/>
    <x v="1"/>
    <s v="Hartmanside"/>
    <x v="0"/>
    <s v="USA"/>
    <s v="Silver"/>
  </r>
  <r>
    <x v="466"/>
    <x v="465"/>
    <x v="17"/>
    <x v="0"/>
    <s v="Espinozaberg"/>
    <x v="31"/>
    <s v="USA"/>
    <s v="Silver"/>
  </r>
  <r>
    <x v="467"/>
    <x v="466"/>
    <x v="44"/>
    <x v="1"/>
    <s v="Oneillfurt"/>
    <x v="28"/>
    <s v="USA"/>
    <s v="Gold"/>
  </r>
  <r>
    <x v="468"/>
    <x v="467"/>
    <x v="29"/>
    <x v="0"/>
    <s v="Bergermouth"/>
    <x v="28"/>
    <s v="USA"/>
    <s v="Bronze"/>
  </r>
  <r>
    <x v="469"/>
    <x v="468"/>
    <x v="28"/>
    <x v="0"/>
    <s v="East Audrey"/>
    <x v="22"/>
    <s v="USA"/>
    <s v="Gold"/>
  </r>
  <r>
    <x v="470"/>
    <x v="469"/>
    <x v="27"/>
    <x v="1"/>
    <s v="Kanebury"/>
    <x v="8"/>
    <s v="USA"/>
    <s v="Gold"/>
  </r>
  <r>
    <x v="471"/>
    <x v="470"/>
    <x v="45"/>
    <x v="0"/>
    <s v="Mcdanielfurt"/>
    <x v="12"/>
    <s v="USA"/>
    <s v="Platinum"/>
  </r>
  <r>
    <x v="472"/>
    <x v="471"/>
    <x v="45"/>
    <x v="0"/>
    <s v="Tylermouth"/>
    <x v="48"/>
    <s v="USA"/>
    <s v="Silver"/>
  </r>
  <r>
    <x v="473"/>
    <x v="472"/>
    <x v="6"/>
    <x v="0"/>
    <s v="Chambersfurt"/>
    <x v="43"/>
    <s v="USA"/>
    <s v="Bronze"/>
  </r>
  <r>
    <x v="474"/>
    <x v="473"/>
    <x v="8"/>
    <x v="1"/>
    <s v="East Christopherhaven"/>
    <x v="6"/>
    <s v="USA"/>
    <s v="Platinum"/>
  </r>
  <r>
    <x v="475"/>
    <x v="474"/>
    <x v="17"/>
    <x v="1"/>
    <s v="Lake Michael"/>
    <x v="28"/>
    <s v="USA"/>
    <s v="Platinum"/>
  </r>
  <r>
    <x v="476"/>
    <x v="475"/>
    <x v="14"/>
    <x v="1"/>
    <s v="Anthonymouth"/>
    <x v="18"/>
    <s v="USA"/>
    <s v="Gold"/>
  </r>
  <r>
    <x v="477"/>
    <x v="476"/>
    <x v="21"/>
    <x v="1"/>
    <s v="West Kelseyberg"/>
    <x v="11"/>
    <s v="USA"/>
    <s v="Platinum"/>
  </r>
  <r>
    <x v="478"/>
    <x v="477"/>
    <x v="3"/>
    <x v="0"/>
    <s v="West Sarah"/>
    <x v="6"/>
    <s v="USA"/>
    <s v="Gold"/>
  </r>
  <r>
    <x v="479"/>
    <x v="478"/>
    <x v="16"/>
    <x v="0"/>
    <s v="New Jamesview"/>
    <x v="7"/>
    <s v="USA"/>
    <s v="Bronze"/>
  </r>
  <r>
    <x v="480"/>
    <x v="479"/>
    <x v="14"/>
    <x v="0"/>
    <s v="Robinchester"/>
    <x v="35"/>
    <s v="USA"/>
    <s v="Bronze"/>
  </r>
  <r>
    <x v="481"/>
    <x v="480"/>
    <x v="27"/>
    <x v="0"/>
    <s v="Kelseybury"/>
    <x v="15"/>
    <s v="USA"/>
    <s v="Gold"/>
  </r>
  <r>
    <x v="482"/>
    <x v="481"/>
    <x v="1"/>
    <x v="0"/>
    <s v="West Tylerfort"/>
    <x v="47"/>
    <s v="USA"/>
    <s v="Platinum"/>
  </r>
  <r>
    <x v="483"/>
    <x v="409"/>
    <x v="22"/>
    <x v="0"/>
    <s v="East Rodney"/>
    <x v="29"/>
    <s v="USA"/>
    <s v="Gold"/>
  </r>
  <r>
    <x v="484"/>
    <x v="482"/>
    <x v="8"/>
    <x v="0"/>
    <s v="West Markton"/>
    <x v="48"/>
    <s v="USA"/>
    <s v="Bronze"/>
  </r>
  <r>
    <x v="485"/>
    <x v="483"/>
    <x v="12"/>
    <x v="1"/>
    <s v="East Dillonview"/>
    <x v="39"/>
    <s v="USA"/>
    <s v="Bronze"/>
  </r>
  <r>
    <x v="486"/>
    <x v="484"/>
    <x v="36"/>
    <x v="1"/>
    <s v="Lake April"/>
    <x v="28"/>
    <s v="USA"/>
    <s v="Bronze"/>
  </r>
  <r>
    <x v="487"/>
    <x v="485"/>
    <x v="13"/>
    <x v="1"/>
    <s v="East Patriciastad"/>
    <x v="22"/>
    <s v="USA"/>
    <s v="Platinum"/>
  </r>
  <r>
    <x v="488"/>
    <x v="486"/>
    <x v="32"/>
    <x v="1"/>
    <s v="South Davidport"/>
    <x v="4"/>
    <s v="USA"/>
    <s v="Platinum"/>
  </r>
  <r>
    <x v="489"/>
    <x v="487"/>
    <x v="45"/>
    <x v="1"/>
    <s v="Lake Elizabethside"/>
    <x v="36"/>
    <s v="USA"/>
    <s v="Silver"/>
  </r>
  <r>
    <x v="490"/>
    <x v="488"/>
    <x v="32"/>
    <x v="0"/>
    <s v="North Nataliemouth"/>
    <x v="24"/>
    <s v="USA"/>
    <s v="Platinum"/>
  </r>
  <r>
    <x v="491"/>
    <x v="489"/>
    <x v="15"/>
    <x v="1"/>
    <s v="Kellyberg"/>
    <x v="6"/>
    <s v="USA"/>
    <s v="Gold"/>
  </r>
  <r>
    <x v="492"/>
    <x v="490"/>
    <x v="3"/>
    <x v="1"/>
    <s v="Port Carol"/>
    <x v="35"/>
    <s v="USA"/>
    <s v="Platinum"/>
  </r>
  <r>
    <x v="493"/>
    <x v="491"/>
    <x v="7"/>
    <x v="0"/>
    <s v="South William"/>
    <x v="2"/>
    <s v="USA"/>
    <s v="Silver"/>
  </r>
  <r>
    <x v="494"/>
    <x v="492"/>
    <x v="27"/>
    <x v="0"/>
    <s v="Port Cheryl"/>
    <x v="45"/>
    <s v="USA"/>
    <s v="Gold"/>
  </r>
  <r>
    <x v="495"/>
    <x v="493"/>
    <x v="32"/>
    <x v="1"/>
    <s v="Bryanmouth"/>
    <x v="17"/>
    <s v="USA"/>
    <s v="Bronze"/>
  </r>
  <r>
    <x v="496"/>
    <x v="494"/>
    <x v="34"/>
    <x v="0"/>
    <s v="North Seanfurt"/>
    <x v="3"/>
    <s v="USA"/>
    <s v="Bronze"/>
  </r>
  <r>
    <x v="497"/>
    <x v="495"/>
    <x v="46"/>
    <x v="1"/>
    <s v="Port William"/>
    <x v="10"/>
    <s v="USA"/>
    <s v="Gold"/>
  </r>
  <r>
    <x v="498"/>
    <x v="496"/>
    <x v="25"/>
    <x v="0"/>
    <s v="Snyderfurt"/>
    <x v="33"/>
    <s v="USA"/>
    <s v="Silver"/>
  </r>
  <r>
    <x v="499"/>
    <x v="497"/>
    <x v="19"/>
    <x v="1"/>
    <s v="East Valerieview"/>
    <x v="5"/>
    <s v="USA"/>
    <s v="Platin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  sheena bonilla  "/>
    <n v="55"/>
    <x v="0"/>
    <s v="Donaldton"/>
    <s v="North Carolina"/>
    <s v="USA"/>
    <x v="0"/>
  </r>
  <r>
    <x v="1"/>
    <s v="Eugene Nelson"/>
    <n v="26"/>
    <x v="1"/>
    <s v="Phillipsmouth"/>
    <s v="North Dakota"/>
    <s v="USA"/>
    <x v="1"/>
  </r>
  <r>
    <x v="2"/>
    <s v="dr. Benjamin Price"/>
    <n v="29"/>
    <x v="1"/>
    <s v="Kylebury"/>
    <s v="Alabama"/>
    <s v="USA"/>
    <x v="1"/>
  </r>
  <r>
    <x v="3"/>
    <s v="jeremy harris"/>
    <n v="59"/>
    <x v="1"/>
    <s v="Thomastown"/>
    <s v="Ohio"/>
    <s v="USA"/>
    <x v="2"/>
  </r>
  <r>
    <x v="4"/>
    <s v="Caroline Collins"/>
    <n v="64"/>
    <x v="1"/>
    <s v="Nicholasshire"/>
    <s v="California"/>
    <s v="USA"/>
    <x v="3"/>
  </r>
  <r>
    <x v="5"/>
    <s v="Christine Vaughn"/>
    <n v="24"/>
    <x v="0"/>
    <s v="East Amandamouth"/>
    <s v="Oregon"/>
    <s v="USA"/>
    <x v="2"/>
  </r>
  <r>
    <x v="6"/>
    <s v="Amber Jackson"/>
    <n v="29"/>
    <x v="1"/>
    <s v="Deborahborough"/>
    <s v="South Dakota"/>
    <s v="USA"/>
    <x v="1"/>
  </r>
  <r>
    <x v="7"/>
    <s v="Daniel Boyd"/>
    <n v="29"/>
    <x v="1"/>
    <s v="West Pamelafurt"/>
    <s v="West Virginia"/>
    <s v="USA"/>
    <x v="2"/>
  </r>
  <r>
    <x v="8"/>
    <s v="Melissa Howard"/>
    <n v="53"/>
    <x v="1"/>
    <s v="Maynardton"/>
    <s v="New Hampshire"/>
    <s v="USA"/>
    <x v="4"/>
  </r>
  <r>
    <x v="9"/>
    <s v="Ms. Maria Leach"/>
    <n v="64"/>
    <x v="0"/>
    <s v="Melissashire"/>
    <s v="Pennsylvania"/>
    <s v="USA"/>
    <x v="1"/>
  </r>
  <r>
    <x v="10"/>
    <s v="Dominic Page"/>
    <n v="53"/>
    <x v="0"/>
    <s v="Port Michaelburgh"/>
    <s v="Pennsylvania"/>
    <s v="USA"/>
    <x v="2"/>
  </r>
  <r>
    <x v="11"/>
    <s v="Brian Lopez"/>
    <n v="28"/>
    <x v="1"/>
    <s v="East Krista"/>
    <s v="New York"/>
    <s v="USA"/>
    <x v="4"/>
  </r>
  <r>
    <x v="12"/>
    <s v="Kenneth Lambert"/>
    <n v="55"/>
    <x v="1"/>
    <s v="North Kathryn"/>
    <s v="Kansas"/>
    <s v="USA"/>
    <x v="1"/>
  </r>
  <r>
    <x v="13"/>
    <s v="Nathan Hernandez"/>
    <n v="32"/>
    <x v="1"/>
    <s v="New Becky"/>
    <s v="Montana"/>
    <s v="USA"/>
    <x v="3"/>
  </r>
  <r>
    <x v="14"/>
    <s v="Ashley Cohen"/>
    <n v="53"/>
    <x v="1"/>
    <s v="Lake Kristamouth"/>
    <s v="Nebraska"/>
    <s v="USA"/>
    <x v="3"/>
  </r>
  <r>
    <x v="15"/>
    <s v="Laura Alvarez"/>
    <n v="49"/>
    <x v="1"/>
    <s v="Lawsonhaven"/>
    <s v="Washington"/>
    <s v="USA"/>
    <x v="1"/>
  </r>
  <r>
    <x v="16"/>
    <s v="John Scott"/>
    <n v="24"/>
    <x v="1"/>
    <s v="South Christopher"/>
    <s v="Pennsylvania"/>
    <s v="USA"/>
    <x v="2"/>
  </r>
  <r>
    <x v="17"/>
    <s v="Adam Cruz"/>
    <n v="60"/>
    <x v="1"/>
    <s v="Brandonville"/>
    <s v="Georgia"/>
    <s v="USA"/>
    <x v="1"/>
  </r>
  <r>
    <x v="18"/>
    <s v="Rhonda Moss"/>
    <n v="43"/>
    <x v="0"/>
    <s v="South William"/>
    <s v="Kansas"/>
    <s v="USA"/>
    <x v="0"/>
  </r>
  <r>
    <x v="19"/>
    <s v="Michael Torres"/>
    <n v="46"/>
    <x v="1"/>
    <s v="Gonzalezfort"/>
    <s v="New Jersey"/>
    <s v="USA"/>
    <x v="1"/>
  </r>
  <r>
    <x v="20"/>
    <s v="Bridget Allen"/>
    <n v="59"/>
    <x v="0"/>
    <s v="Lake Shaneburgh"/>
    <s v="Delaware"/>
    <s v="USA"/>
    <x v="3"/>
  </r>
  <r>
    <x v="21"/>
    <s v="Jeff Martinez"/>
    <n v="36"/>
    <x v="1"/>
    <s v="Smithburgh"/>
    <s v="Oklahoma"/>
    <s v="USA"/>
    <x v="4"/>
  </r>
  <r>
    <x v="22"/>
    <s v="   paul fox"/>
    <n v="33"/>
    <x v="1"/>
    <s v="Michaelton"/>
    <s v="Hawaii"/>
    <s v="USA"/>
    <x v="3"/>
  </r>
  <r>
    <x v="23"/>
    <s v="Jonathan Steele"/>
    <n v="52"/>
    <x v="1"/>
    <s v="Molinabury"/>
    <s v="Oregon"/>
    <s v="USA"/>
    <x v="3"/>
  </r>
  <r>
    <x v="24"/>
    <s v="Heather Collins"/>
    <n v="40"/>
    <x v="0"/>
    <s v="Rogerschester"/>
    <s v="Idaho"/>
    <s v="USA"/>
    <x v="1"/>
  </r>
  <r>
    <x v="25"/>
    <s v="Diana Taylor"/>
    <n v="59"/>
    <x v="1"/>
    <s v="Vasqueztown"/>
    <s v="California"/>
    <s v="USA"/>
    <x v="2"/>
  </r>
  <r>
    <x v="26"/>
    <s v="Amber Carlson"/>
    <n v="18"/>
    <x v="1"/>
    <s v="East Michellemouth"/>
    <s v="Missouri"/>
    <s v="USA"/>
    <x v="4"/>
  </r>
  <r>
    <x v="27"/>
    <s v="Leslie Johnson"/>
    <n v="31"/>
    <x v="0"/>
    <s v="Mollyshire"/>
    <s v="Utah"/>
    <s v="USA"/>
    <x v="0"/>
  </r>
  <r>
    <x v="28"/>
    <s v="Joshua Ryan"/>
    <n v="27"/>
    <x v="1"/>
    <s v="New David"/>
    <s v="New Jersey"/>
    <s v="USA"/>
    <x v="1"/>
  </r>
  <r>
    <x v="29"/>
    <s v="David Arnold"/>
    <n v="54"/>
    <x v="1"/>
    <s v="East Jennifer"/>
    <s v="California"/>
    <s v="USA"/>
    <x v="3"/>
  </r>
  <r>
    <x v="30"/>
    <s v="Jessica Acevedo"/>
    <n v="64"/>
    <x v="1"/>
    <s v="Amybury"/>
    <s v="Pennsylvania"/>
    <s v="USA"/>
    <x v="2"/>
  </r>
  <r>
    <x v="31"/>
    <s v="Sarah Vance"/>
    <n v="41"/>
    <x v="0"/>
    <s v="Johnsonville"/>
    <s v="Oregon"/>
    <s v="USA"/>
    <x v="3"/>
  </r>
  <r>
    <x v="32"/>
    <s v="Mike Jennings"/>
    <n v="48"/>
    <x v="1"/>
    <s v="Fostermouth"/>
    <s v="Arizona"/>
    <s v="USA"/>
    <x v="4"/>
  </r>
  <r>
    <x v="33"/>
    <s v="Robert Jones DDS"/>
    <n v="25"/>
    <x v="0"/>
    <s v="Tristanton"/>
    <s v="Oklahoma"/>
    <s v="USA"/>
    <x v="1"/>
  </r>
  <r>
    <x v="34"/>
    <s v="Christopher Olson"/>
    <n v="27"/>
    <x v="1"/>
    <s v="West Richard"/>
    <s v="Maryland"/>
    <s v="USA"/>
    <x v="1"/>
  </r>
  <r>
    <x v="35"/>
    <s v="Rachel Myers"/>
    <n v="52"/>
    <x v="0"/>
    <s v="Robertberg"/>
    <s v="North Dakota"/>
    <s v="USA"/>
    <x v="3"/>
  </r>
  <r>
    <x v="36"/>
    <s v="Thomas Phillips"/>
    <n v="20"/>
    <x v="1"/>
    <s v="Luisfurt"/>
    <s v="Georgia"/>
    <s v="USA"/>
    <x v="4"/>
  </r>
  <r>
    <x v="37"/>
    <s v="Christopher Carter"/>
    <n v="27"/>
    <x v="1"/>
    <s v="Brendastad"/>
    <s v="South Dakota"/>
    <s v="USA"/>
    <x v="0"/>
  </r>
  <r>
    <x v="38"/>
    <s v="Deanna Simpson"/>
    <n v="35"/>
    <x v="1"/>
    <s v="Brownport"/>
    <s v="North Dakota"/>
    <s v="USA"/>
    <x v="2"/>
  </r>
  <r>
    <x v="39"/>
    <s v="Tonya Reynolds"/>
    <n v="55"/>
    <x v="1"/>
    <s v="Darleneton"/>
    <s v="Michigan"/>
    <s v="USA"/>
    <x v="4"/>
  </r>
  <r>
    <x v="40"/>
    <s v="Eric Vega"/>
    <n v="50"/>
    <x v="0"/>
    <s v="Williamsonland"/>
    <s v="Kansas"/>
    <s v="USA"/>
    <x v="4"/>
  </r>
  <r>
    <x v="41"/>
    <s v="James Gibbs"/>
    <n v="21"/>
    <x v="0"/>
    <s v="Mooneyshire"/>
    <s v="Alaska"/>
    <s v="USA"/>
    <x v="1"/>
  </r>
  <r>
    <x v="42"/>
    <s v="William Martin"/>
    <n v="19"/>
    <x v="0"/>
    <s v="Ryanburgh"/>
    <s v="Connecticut"/>
    <s v="USA"/>
    <x v="1"/>
  </r>
  <r>
    <x v="43"/>
    <s v="Joseph Snow"/>
    <n v="45"/>
    <x v="0"/>
    <s v="South Michaelfort"/>
    <s v="Vermont"/>
    <s v="USA"/>
    <x v="4"/>
  </r>
  <r>
    <x v="44"/>
    <s v="Denise Williams"/>
    <n v="34"/>
    <x v="0"/>
    <s v="Christianstad"/>
    <s v="Hawaii"/>
    <s v="USA"/>
    <x v="2"/>
  </r>
  <r>
    <x v="45"/>
    <s v="Jordan Jackson DDS"/>
    <n v="54"/>
    <x v="0"/>
    <s v="North Johnview"/>
    <s v="Arizona"/>
    <s v="USA"/>
    <x v="4"/>
  </r>
  <r>
    <x v="46"/>
    <s v="Michelle Garcia DDS"/>
    <n v="55"/>
    <x v="1"/>
    <s v="Perezbury"/>
    <s v="Ohio"/>
    <s v="USA"/>
    <x v="1"/>
  </r>
  <r>
    <x v="47"/>
    <s v="Gina Knight"/>
    <n v="54"/>
    <x v="1"/>
    <s v="Lake Roberthaven"/>
    <s v="Nevada"/>
    <s v="USA"/>
    <x v="3"/>
  </r>
  <r>
    <x v="48"/>
    <s v="April Mullins"/>
    <n v="54"/>
    <x v="0"/>
    <s v="Dawsonbury"/>
    <s v="North Carolina"/>
    <s v="USA"/>
    <x v="1"/>
  </r>
  <r>
    <x v="49"/>
    <s v="Timothy Weaver"/>
    <n v="45"/>
    <x v="1"/>
    <s v="New Amy"/>
    <s v="Ohio"/>
    <s v="USA"/>
    <x v="4"/>
  </r>
  <r>
    <x v="50"/>
    <s v="Matthew Hunter Jr."/>
    <n v="61"/>
    <x v="1"/>
    <s v="Gregoryview"/>
    <s v="Illinois"/>
    <s v="USA"/>
    <x v="4"/>
  </r>
  <r>
    <x v="51"/>
    <s v="Sarah Rodgers"/>
    <n v="23"/>
    <x v="1"/>
    <s v="New Julia"/>
    <s v="West Virginia"/>
    <s v="USA"/>
    <x v="4"/>
  </r>
  <r>
    <x v="52"/>
    <s v="Debra Liu"/>
    <n v="55"/>
    <x v="0"/>
    <s v="South Timtown"/>
    <s v="Minnesota"/>
    <s v="USA"/>
    <x v="2"/>
  </r>
  <r>
    <x v="53"/>
    <s v="Sharon Brown"/>
    <n v="37"/>
    <x v="1"/>
    <s v="East Andrea"/>
    <s v="Michigan"/>
    <s v="USA"/>
    <x v="4"/>
  </r>
  <r>
    <x v="54"/>
    <s v="Katherine Dorsey"/>
    <n v="24"/>
    <x v="0"/>
    <s v="Christopherland"/>
    <s v="Oklahoma"/>
    <s v="USA"/>
    <x v="1"/>
  </r>
  <r>
    <x v="55"/>
    <s v="Wayne Mcpherson"/>
    <n v="56"/>
    <x v="1"/>
    <s v="Edwardsfort"/>
    <s v="Minnesota"/>
    <s v="USA"/>
    <x v="2"/>
  </r>
  <r>
    <x v="56"/>
    <s v="Christopher Sutton"/>
    <n v="49"/>
    <x v="1"/>
    <s v="Deborahberg"/>
    <s v="Pennsylvania"/>
    <s v="USA"/>
    <x v="4"/>
  </r>
  <r>
    <x v="57"/>
    <s v="Jay Patel"/>
    <n v="43"/>
    <x v="1"/>
    <s v="Morrisbury"/>
    <s v="Rhode Island"/>
    <s v="USA"/>
    <x v="1"/>
  </r>
  <r>
    <x v="58"/>
    <s v="Cheryl Copeland"/>
    <n v="51"/>
    <x v="0"/>
    <s v="Snowmouth"/>
    <s v="Maryland"/>
    <s v="USA"/>
    <x v="1"/>
  </r>
  <r>
    <x v="59"/>
    <s v="Alyssa Vargas"/>
    <n v="53"/>
    <x v="0"/>
    <s v="New Kathrynland"/>
    <s v="Montana"/>
    <s v="USA"/>
    <x v="1"/>
  </r>
  <r>
    <x v="60"/>
    <s v="Dr. David Smith"/>
    <n v="22"/>
    <x v="1"/>
    <s v="Schmidtchester"/>
    <s v="Alaska"/>
    <s v="USA"/>
    <x v="3"/>
  </r>
  <r>
    <x v="61"/>
    <s v="Kristin Stein"/>
    <n v="23"/>
    <x v="0"/>
    <s v="Jennifermouth"/>
    <s v="Missouri"/>
    <s v="USA"/>
    <x v="3"/>
  </r>
  <r>
    <x v="62"/>
    <s v="James Bean"/>
    <n v="50"/>
    <x v="0"/>
    <s v="Stevensonton"/>
    <s v="New Mexico"/>
    <s v="USA"/>
    <x v="2"/>
  </r>
  <r>
    <x v="63"/>
    <s v="Michael Daniel"/>
    <n v="51"/>
    <x v="0"/>
    <s v="New Jesse"/>
    <s v="Tennessee"/>
    <s v="USA"/>
    <x v="1"/>
  </r>
  <r>
    <x v="64"/>
    <s v="Mr. Mason Butler"/>
    <n v="33"/>
    <x v="0"/>
    <s v="Port Kathrynhaven"/>
    <s v="Arizona"/>
    <s v="USA"/>
    <x v="4"/>
  </r>
  <r>
    <x v="65"/>
    <s v="Michael Thomas"/>
    <n v="21"/>
    <x v="1"/>
    <s v="Woodmouth"/>
    <s v="Nevada"/>
    <s v="USA"/>
    <x v="3"/>
  </r>
  <r>
    <x v="66"/>
    <s v="Cody Diaz"/>
    <n v="27"/>
    <x v="1"/>
    <s v="South Aaronside"/>
    <s v="New Hampshire"/>
    <s v="USA"/>
    <x v="3"/>
  </r>
  <r>
    <x v="67"/>
    <s v="Amber Mcclain"/>
    <n v="58"/>
    <x v="0"/>
    <s v="Brendaburgh"/>
    <s v="Florida"/>
    <s v="USA"/>
    <x v="3"/>
  </r>
  <r>
    <x v="68"/>
    <s v="Mr. Mark Beasley"/>
    <n v="24"/>
    <x v="1"/>
    <s v="West Johnchester"/>
    <s v="Indiana"/>
    <s v="USA"/>
    <x v="3"/>
  </r>
  <r>
    <x v="69"/>
    <s v="Roy Cole"/>
    <n v="24"/>
    <x v="1"/>
    <s v="North Cynthiatown"/>
    <s v="New Jersey"/>
    <s v="USA"/>
    <x v="1"/>
  </r>
  <r>
    <x v="70"/>
    <s v="Eric Singh"/>
    <n v="29"/>
    <x v="1"/>
    <s v="Port Lisa"/>
    <s v="New Mexico"/>
    <s v="USA"/>
    <x v="4"/>
  </r>
  <r>
    <x v="71"/>
    <s v="Andrea Perez"/>
    <n v="61"/>
    <x v="1"/>
    <s v="South Shaun"/>
    <s v="New Mexico"/>
    <s v="USA"/>
    <x v="4"/>
  </r>
  <r>
    <x v="72"/>
    <s v="Tonya Burch"/>
    <n v="39"/>
    <x v="1"/>
    <s v="Olsonhaven"/>
    <s v="Iowa"/>
    <s v="USA"/>
    <x v="4"/>
  </r>
  <r>
    <x v="73"/>
    <s v="Christopher Brown"/>
    <n v="56"/>
    <x v="1"/>
    <s v="Sandrastad"/>
    <s v="West Virginia"/>
    <s v="USA"/>
    <x v="3"/>
  </r>
  <r>
    <x v="74"/>
    <s v="John Mayer"/>
    <n v="58"/>
    <x v="0"/>
    <s v="Longport"/>
    <s v="Colorado"/>
    <s v="USA"/>
    <x v="2"/>
  </r>
  <r>
    <x v="75"/>
    <s v="Rhonda Morales"/>
    <n v="61"/>
    <x v="1"/>
    <s v="Lake Barryfurt"/>
    <s v="California"/>
    <s v="USA"/>
    <x v="4"/>
  </r>
  <r>
    <x v="76"/>
    <s v="Nathan Campbell"/>
    <n v="37"/>
    <x v="0"/>
    <s v="Rodrigueztown"/>
    <s v="Oklahoma"/>
    <s v="USA"/>
    <x v="4"/>
  </r>
  <r>
    <x v="77"/>
    <s v="Katherine Young"/>
    <n v="29"/>
    <x v="0"/>
    <s v="North Valeriemouth"/>
    <s v="Vermont"/>
    <s v="USA"/>
    <x v="4"/>
  </r>
  <r>
    <x v="78"/>
    <s v="Cody Blake"/>
    <n v="21"/>
    <x v="0"/>
    <s v="North Scottport"/>
    <s v="Virginia"/>
    <s v="USA"/>
    <x v="4"/>
  </r>
  <r>
    <x v="79"/>
    <s v="Molly Gardner"/>
    <n v="22"/>
    <x v="1"/>
    <s v="Nicoleborough"/>
    <s v="Arkansas"/>
    <s v="USA"/>
    <x v="1"/>
  </r>
  <r>
    <x v="80"/>
    <s v="Jennifer Garcia"/>
    <n v="61"/>
    <x v="1"/>
    <s v="New Sean"/>
    <s v="New Mexico"/>
    <s v="USA"/>
    <x v="2"/>
  </r>
  <r>
    <x v="81"/>
    <s v="Krystal Ford"/>
    <n v="34"/>
    <x v="1"/>
    <s v="South David"/>
    <s v="Arizona"/>
    <s v="USA"/>
    <x v="1"/>
  </r>
  <r>
    <x v="82"/>
    <s v="George Rosario"/>
    <n v="53"/>
    <x v="0"/>
    <s v="Leburgh"/>
    <s v="Florida"/>
    <s v="USA"/>
    <x v="2"/>
  </r>
  <r>
    <x v="83"/>
    <s v="Thomas Robinson"/>
    <n v="48"/>
    <x v="1"/>
    <s v="Nicholastown"/>
    <s v="Georgia"/>
    <s v="USA"/>
    <x v="2"/>
  </r>
  <r>
    <x v="84"/>
    <s v="Christy Hoffman"/>
    <n v="26"/>
    <x v="1"/>
    <s v="Garyberg"/>
    <s v="Indiana"/>
    <s v="USA"/>
    <x v="1"/>
  </r>
  <r>
    <x v="85"/>
    <s v="Richard Delgado"/>
    <n v="36"/>
    <x v="0"/>
    <s v="West Theodorechester"/>
    <s v="Pennsylvania"/>
    <s v="USA"/>
    <x v="3"/>
  </r>
  <r>
    <x v="86"/>
    <s v="Tammy Miller MD"/>
    <n v="19"/>
    <x v="1"/>
    <s v="Austinfurt"/>
    <s v="Mississippi"/>
    <s v="USA"/>
    <x v="4"/>
  </r>
  <r>
    <x v="87"/>
    <s v="Melissa Duffy MD"/>
    <n v="58"/>
    <x v="1"/>
    <s v="East Jenna"/>
    <s v="South Carolina"/>
    <s v="USA"/>
    <x v="2"/>
  </r>
  <r>
    <x v="88"/>
    <s v="Timothy Wright"/>
    <n v="58"/>
    <x v="0"/>
    <s v="Ashleystad"/>
    <s v="Arkansas"/>
    <s v="USA"/>
    <x v="3"/>
  </r>
  <r>
    <x v="89"/>
    <s v="Jamie Yoder"/>
    <n v="43"/>
    <x v="0"/>
    <s v="New Gabrielleville"/>
    <s v="Wisconsin"/>
    <s v="USA"/>
    <x v="1"/>
  </r>
  <r>
    <x v="90"/>
    <s v="Oscar Moon"/>
    <n v="58"/>
    <x v="1"/>
    <s v="West Cody"/>
    <s v="Louisiana"/>
    <s v="USA"/>
    <x v="1"/>
  </r>
  <r>
    <x v="91"/>
    <s v="Donna Gregory"/>
    <n v="29"/>
    <x v="1"/>
    <s v="South Amandahaven"/>
    <s v="Arizona"/>
    <s v="USA"/>
    <x v="3"/>
  </r>
  <r>
    <x v="92"/>
    <s v="Robert Jackson"/>
    <n v="44"/>
    <x v="1"/>
    <s v="Lake Brandy"/>
    <s v="Tennessee"/>
    <s v="USA"/>
    <x v="1"/>
  </r>
  <r>
    <x v="93"/>
    <s v="Christy Vasquez"/>
    <n v="28"/>
    <x v="1"/>
    <s v="Port Travisstad"/>
    <s v="South Carolina"/>
    <s v="USA"/>
    <x v="4"/>
  </r>
  <r>
    <x v="94"/>
    <s v="David Patterson"/>
    <n v="43"/>
    <x v="1"/>
    <s v="New Amyport"/>
    <s v="Nevada"/>
    <s v="USA"/>
    <x v="4"/>
  </r>
  <r>
    <x v="95"/>
    <s v="Amy Fowler"/>
    <n v="62"/>
    <x v="1"/>
    <s v="West Bobbyshire"/>
    <s v="New York"/>
    <s v="USA"/>
    <x v="1"/>
  </r>
  <r>
    <x v="96"/>
    <s v="Samantha Walker"/>
    <n v="30"/>
    <x v="1"/>
    <s v="Timothyburgh"/>
    <s v="Louisiana"/>
    <s v="USA"/>
    <x v="1"/>
  </r>
  <r>
    <x v="97"/>
    <s v="David Cobb"/>
    <n v="36"/>
    <x v="0"/>
    <s v="Lake Thomas"/>
    <s v="South Dakota"/>
    <s v="USA"/>
    <x v="3"/>
  </r>
  <r>
    <x v="98"/>
    <s v="Brittney Morgan"/>
    <n v="24"/>
    <x v="0"/>
    <s v="Lake Kaylahaven"/>
    <s v="Alaska"/>
    <s v="USA"/>
    <x v="4"/>
  </r>
  <r>
    <x v="99"/>
    <s v="Sheila Wilson"/>
    <n v="35"/>
    <x v="0"/>
    <s v="South Dustin"/>
    <s v="Tennessee"/>
    <s v="USA"/>
    <x v="3"/>
  </r>
  <r>
    <x v="100"/>
    <s v="Diane Watson"/>
    <n v="53"/>
    <x v="1"/>
    <s v="North Codyport"/>
    <s v="Texas"/>
    <s v="USA"/>
    <x v="1"/>
  </r>
  <r>
    <x v="101"/>
    <s v="Colleen Maynard"/>
    <n v="29"/>
    <x v="0"/>
    <s v="Singletonmouth"/>
    <s v="Utah"/>
    <s v="USA"/>
    <x v="4"/>
  </r>
  <r>
    <x v="102"/>
    <s v="Sarah Schneider"/>
    <n v="34"/>
    <x v="1"/>
    <s v="Port Joshuachester"/>
    <s v="Pennsylvania"/>
    <s v="USA"/>
    <x v="2"/>
  </r>
  <r>
    <x v="103"/>
    <s v="Steven Stein"/>
    <n v="21"/>
    <x v="0"/>
    <s v="West Lauren"/>
    <s v="Connecticut"/>
    <s v="USA"/>
    <x v="2"/>
  </r>
  <r>
    <x v="104"/>
    <s v="Christopher Lester"/>
    <n v="64"/>
    <x v="0"/>
    <s v="South Jenniferville"/>
    <s v="Georgia"/>
    <s v="USA"/>
    <x v="3"/>
  </r>
  <r>
    <x v="105"/>
    <s v="Lance Baker"/>
    <n v="50"/>
    <x v="1"/>
    <s v="Port Victoria"/>
    <s v="Florida"/>
    <s v="USA"/>
    <x v="4"/>
  </r>
  <r>
    <x v="106"/>
    <s v="Howard Summers"/>
    <n v="53"/>
    <x v="1"/>
    <s v="East Linda"/>
    <s v="Rhode Island"/>
    <s v="USA"/>
    <x v="2"/>
  </r>
  <r>
    <x v="107"/>
    <s v="Erica Carney"/>
    <n v="62"/>
    <x v="1"/>
    <s v="North Justin"/>
    <s v="North Dakota"/>
    <s v="USA"/>
    <x v="1"/>
  </r>
  <r>
    <x v="108"/>
    <s v="Travis Holland"/>
    <n v="38"/>
    <x v="0"/>
    <s v="Webstermouth"/>
    <s v="New Hampshire"/>
    <s v="USA"/>
    <x v="2"/>
  </r>
  <r>
    <x v="109"/>
    <s v="Amy Walker"/>
    <n v="27"/>
    <x v="0"/>
    <s v="Smithland"/>
    <s v="West Virginia"/>
    <s v="USA"/>
    <x v="3"/>
  </r>
  <r>
    <x v="110"/>
    <s v="Ashley Griffin"/>
    <n v="40"/>
    <x v="1"/>
    <s v="New Dawnton"/>
    <s v="Maryland"/>
    <s v="USA"/>
    <x v="4"/>
  </r>
  <r>
    <x v="111"/>
    <s v="Julie Farmer"/>
    <n v="18"/>
    <x v="1"/>
    <s v="Rodriguezmouth"/>
    <s v="Arizona"/>
    <s v="USA"/>
    <x v="1"/>
  </r>
  <r>
    <x v="112"/>
    <s v="David Cole"/>
    <n v="27"/>
    <x v="1"/>
    <s v="Lake Michael"/>
    <s v="Michigan"/>
    <s v="USA"/>
    <x v="3"/>
  </r>
  <r>
    <x v="113"/>
    <s v="Edward Hall"/>
    <n v="51"/>
    <x v="0"/>
    <s v="New William"/>
    <s v="New Mexico"/>
    <s v="USA"/>
    <x v="4"/>
  </r>
  <r>
    <x v="114"/>
    <s v="Ryan Hernandez"/>
    <n v="30"/>
    <x v="0"/>
    <s v="East Donna"/>
    <s v="Nevada"/>
    <s v="USA"/>
    <x v="2"/>
  </r>
  <r>
    <x v="115"/>
    <s v="Tyler Conrad"/>
    <n v="53"/>
    <x v="1"/>
    <s v="North Curtischester"/>
    <s v="North Dakota"/>
    <s v="USA"/>
    <x v="1"/>
  </r>
  <r>
    <x v="116"/>
    <s v="Anthony Phillips"/>
    <n v="18"/>
    <x v="1"/>
    <s v="North Davidport"/>
    <s v="Rhode Island"/>
    <s v="USA"/>
    <x v="1"/>
  </r>
  <r>
    <x v="117"/>
    <s v="Colleen Mccarthy"/>
    <n v="21"/>
    <x v="1"/>
    <s v="North Katherine"/>
    <s v="Washington"/>
    <s v="USA"/>
    <x v="1"/>
  </r>
  <r>
    <x v="118"/>
    <s v="Earl Allen"/>
    <n v="36"/>
    <x v="0"/>
    <s v="New Jenniferburgh"/>
    <s v="Nebraska"/>
    <s v="USA"/>
    <x v="1"/>
  </r>
  <r>
    <x v="119"/>
    <s v="Michael Jones"/>
    <n v="40"/>
    <x v="0"/>
    <s v="North Edwardton"/>
    <s v="Tennessee"/>
    <s v="USA"/>
    <x v="2"/>
  </r>
  <r>
    <x v="120"/>
    <s v="Jacob Hopkins"/>
    <n v="44"/>
    <x v="1"/>
    <s v="lake tylerfort"/>
    <s v="Pennsylvania"/>
    <s v="USA"/>
    <x v="1"/>
  </r>
  <r>
    <x v="121"/>
    <s v="Joel Robinson"/>
    <n v="62"/>
    <x v="0"/>
    <s v="Lake Danielport"/>
    <s v="Hawaii"/>
    <s v="USA"/>
    <x v="1"/>
  </r>
  <r>
    <x v="122"/>
    <s v="Michael Chang"/>
    <n v="50"/>
    <x v="0"/>
    <s v="Kathrynport"/>
    <s v="North Carolina"/>
    <s v="USA"/>
    <x v="1"/>
  </r>
  <r>
    <x v="123"/>
    <s v="Erin Hopkins"/>
    <n v="40"/>
    <x v="0"/>
    <s v="North Sabrina"/>
    <s v="Iowa"/>
    <s v="USA"/>
    <x v="3"/>
  </r>
  <r>
    <x v="124"/>
    <s v="Donald Lee"/>
    <n v="26"/>
    <x v="0"/>
    <s v="Wongberg"/>
    <s v="Illinois"/>
    <s v="USA"/>
    <x v="2"/>
  </r>
  <r>
    <x v="125"/>
    <s v="Keith Miller"/>
    <n v="64"/>
    <x v="1"/>
    <s v="West Jameston"/>
    <s v="Maine"/>
    <s v="USA"/>
    <x v="1"/>
  </r>
  <r>
    <x v="126"/>
    <s v="James Wolfe"/>
    <n v="62"/>
    <x v="1"/>
    <s v="Benjaminton"/>
    <s v="Arizona"/>
    <s v="USA"/>
    <x v="4"/>
  </r>
  <r>
    <x v="127"/>
    <s v="John Mcknight"/>
    <n v="39"/>
    <x v="0"/>
    <s v="South Nathan"/>
    <s v="Vermont"/>
    <s v="USA"/>
    <x v="1"/>
  </r>
  <r>
    <x v="128"/>
    <s v="Susan Mcdonald"/>
    <n v="45"/>
    <x v="0"/>
    <s v="East Ellen"/>
    <s v="Arkansas"/>
    <s v="USA"/>
    <x v="3"/>
  </r>
  <r>
    <x v="129"/>
    <s v="Jessica Mitchell"/>
    <n v="43"/>
    <x v="1"/>
    <s v="Matthewbury"/>
    <s v="South Dakota"/>
    <s v="USA"/>
    <x v="3"/>
  </r>
  <r>
    <x v="130"/>
    <s v="Jamie Reyes"/>
    <n v="29"/>
    <x v="0"/>
    <s v="   jonesbury "/>
    <s v="Connecticut"/>
    <s v="United States of America"/>
    <x v="1"/>
  </r>
  <r>
    <x v="131"/>
    <s v="Joseph Richards"/>
    <n v="34"/>
    <x v="1"/>
    <s v="Wigginsville"/>
    <s v="Alabama"/>
    <s v="USA"/>
    <x v="2"/>
  </r>
  <r>
    <x v="132"/>
    <s v="Miguel Reynolds"/>
    <n v="57"/>
    <x v="1"/>
    <s v="Taylorberg"/>
    <s v="Ohio"/>
    <s v="USA"/>
    <x v="4"/>
  </r>
  <r>
    <x v="133"/>
    <s v="Hayley Pope"/>
    <n v="62"/>
    <x v="1"/>
    <s v="West Stephenville"/>
    <s v="Florida"/>
    <s v="USA"/>
    <x v="2"/>
  </r>
  <r>
    <x v="134"/>
    <s v="Morgan Bowen"/>
    <n v="54"/>
    <x v="0"/>
    <s v="Parksfort"/>
    <s v="Washington"/>
    <s v="USA"/>
    <x v="4"/>
  </r>
  <r>
    <x v="135"/>
    <s v="Matthew Hanna"/>
    <n v="33"/>
    <x v="1"/>
    <s v="Gonzalezbury"/>
    <s v="Michigan"/>
    <s v="USA"/>
    <x v="1"/>
  </r>
  <r>
    <x v="136"/>
    <s v="Patrick Coleman"/>
    <n v="29"/>
    <x v="0"/>
    <s v="New Jeffrey"/>
    <s v="Nebraska"/>
    <s v="USA"/>
    <x v="3"/>
  </r>
  <r>
    <x v="137"/>
    <s v="Rick Dominguez"/>
    <n v="55"/>
    <x v="1"/>
    <s v="North Johnbury"/>
    <s v="Ohio"/>
    <s v="USA"/>
    <x v="1"/>
  </r>
  <r>
    <x v="138"/>
    <s v="Sean Roth"/>
    <n v="43"/>
    <x v="0"/>
    <s v="Lake Michael"/>
    <s v="Virginia"/>
    <s v="USA"/>
    <x v="4"/>
  </r>
  <r>
    <x v="139"/>
    <s v="Brian Holder"/>
    <n v="32"/>
    <x v="0"/>
    <s v="Port Travis"/>
    <s v="Utah"/>
    <s v="USA"/>
    <x v="2"/>
  </r>
  <r>
    <x v="140"/>
    <s v="Patty Francis"/>
    <n v="63"/>
    <x v="1"/>
    <s v="South Brooke"/>
    <s v="Pennsylvania"/>
    <s v="USA"/>
    <x v="4"/>
  </r>
  <r>
    <x v="141"/>
    <s v="Cristian Wright"/>
    <n v="30"/>
    <x v="0"/>
    <s v="Port Denise"/>
    <s v="California"/>
    <s v="United States of America"/>
    <x v="2"/>
  </r>
  <r>
    <x v="142"/>
    <s v="Maria Ramirez"/>
    <n v="37"/>
    <x v="0"/>
    <s v="West Brandon"/>
    <s v="Montana"/>
    <s v="USA"/>
    <x v="2"/>
  </r>
  <r>
    <x v="143"/>
    <s v="Carlos Skinner"/>
    <n v="46"/>
    <x v="0"/>
    <s v="Dwaynemouth"/>
    <s v="Alabama"/>
    <s v="USA"/>
    <x v="2"/>
  </r>
  <r>
    <x v="144"/>
    <s v="Justin Cross"/>
    <n v="62"/>
    <x v="1"/>
    <s v="North Anthonychester"/>
    <s v="Nevada"/>
    <s v="USA"/>
    <x v="2"/>
  </r>
  <r>
    <x v="145"/>
    <s v="Cameron Simpson"/>
    <n v="46"/>
    <x v="0"/>
    <s v="Michaelfort"/>
    <s v="Indiana"/>
    <s v="USA"/>
    <x v="1"/>
  </r>
  <r>
    <x v="146"/>
    <s v="Edward Rivera"/>
    <n v="32"/>
    <x v="1"/>
    <s v="Chungmouth"/>
    <s v="South Carolina"/>
    <s v="USA"/>
    <x v="4"/>
  </r>
  <r>
    <x v="147"/>
    <s v="Rhonda Young"/>
    <n v="49"/>
    <x v="1"/>
    <s v="Lake Nathanfort"/>
    <s v="Alaska"/>
    <s v="USA"/>
    <x v="1"/>
  </r>
  <r>
    <x v="148"/>
    <s v="Theresa Campbell"/>
    <n v="42"/>
    <x v="1"/>
    <s v="New Brian"/>
    <s v="Wisconsin"/>
    <s v="USA"/>
    <x v="2"/>
  </r>
  <r>
    <x v="149"/>
    <s v="Denise Griffin"/>
    <n v="33"/>
    <x v="0"/>
    <s v="West Markhaven"/>
    <s v="Florida"/>
    <s v="USA"/>
    <x v="1"/>
  </r>
  <r>
    <x v="150"/>
    <s v="Stephanie Conway"/>
    <n v="24"/>
    <x v="0"/>
    <s v="Port Frankmouth"/>
    <s v="Mississippi"/>
    <s v="USA"/>
    <x v="4"/>
  </r>
  <r>
    <x v="151"/>
    <s v="Michael Davies"/>
    <n v="25"/>
    <x v="1"/>
    <s v="Lake Stevenfort"/>
    <s v="Oregon"/>
    <s v="USA"/>
    <x v="4"/>
  </r>
  <r>
    <x v="152"/>
    <s v="Patrick Roberts"/>
    <n v="41"/>
    <x v="1"/>
    <s v="Jaredville"/>
    <s v="Missouri"/>
    <s v="USA"/>
    <x v="1"/>
  </r>
  <r>
    <x v="153"/>
    <s v="Joseph Faulkner"/>
    <n v="31"/>
    <x v="0"/>
    <s v="New Leahfurt"/>
    <s v="North Dakota"/>
    <s v="USA"/>
    <x v="2"/>
  </r>
  <r>
    <x v="154"/>
    <s v="Julie Hale"/>
    <n v="35"/>
    <x v="1"/>
    <s v="Owensview"/>
    <s v="Vermont"/>
    <s v="USA"/>
    <x v="4"/>
  </r>
  <r>
    <x v="155"/>
    <s v="Curtis Haynes"/>
    <n v="60"/>
    <x v="1"/>
    <s v="Estradaside"/>
    <s v="Iowa"/>
    <s v="USA"/>
    <x v="4"/>
  </r>
  <r>
    <x v="156"/>
    <s v="Maria Sanchez"/>
    <n v="46"/>
    <x v="0"/>
    <s v="East Peterbury"/>
    <s v="North Dakota"/>
    <s v="USA"/>
    <x v="2"/>
  </r>
  <r>
    <x v="157"/>
    <s v="Paul Zamora"/>
    <n v="59"/>
    <x v="0"/>
    <s v="North Larryfurt"/>
    <s v="North Dakota"/>
    <s v="USA"/>
    <x v="1"/>
  </r>
  <r>
    <x v="158"/>
    <s v="Sean Powell"/>
    <n v="43"/>
    <x v="0"/>
    <s v="South Kevin"/>
    <s v="Vermont"/>
    <s v="USA"/>
    <x v="2"/>
  </r>
  <r>
    <x v="159"/>
    <s v="Brian Choi"/>
    <n v="46"/>
    <x v="1"/>
    <s v="Floydton"/>
    <s v="New Jersey"/>
    <s v="USA"/>
    <x v="4"/>
  </r>
  <r>
    <x v="160"/>
    <s v="John Lawson"/>
    <n v="41"/>
    <x v="1"/>
    <s v="New Juliemouth"/>
    <s v="North Carolina"/>
    <s v="USA"/>
    <x v="1"/>
  </r>
  <r>
    <x v="161"/>
    <s v="Cynthia Morris"/>
    <n v="18"/>
    <x v="1"/>
    <s v="Hessmouth"/>
    <s v="Arizona"/>
    <s v="USA"/>
    <x v="3"/>
  </r>
  <r>
    <x v="162"/>
    <s v="Mariah Brown"/>
    <n v="37"/>
    <x v="0"/>
    <s v="Palmerbury"/>
    <s v="Tennessee"/>
    <s v="United States of America"/>
    <x v="3"/>
  </r>
  <r>
    <x v="163"/>
    <s v="Joseph Jones"/>
    <n v="21"/>
    <x v="0"/>
    <s v="North Matthew"/>
    <s v="Illinois"/>
    <s v="USA"/>
    <x v="2"/>
  </r>
  <r>
    <x v="164"/>
    <s v="Daniel Rivas"/>
    <n v="39"/>
    <x v="1"/>
    <s v="Dominiquefort"/>
    <s v="Georgia"/>
    <s v="USA"/>
    <x v="3"/>
  </r>
  <r>
    <x v="165"/>
    <s v="Jason Wheeler"/>
    <n v="47"/>
    <x v="1"/>
    <s v="Carolview"/>
    <s v="Illinois"/>
    <s v="USA"/>
    <x v="1"/>
  </r>
  <r>
    <x v="166"/>
    <s v="Patricia Gardner"/>
    <n v="25"/>
    <x v="1"/>
    <s v="South Ashleyton"/>
    <s v="Michigan"/>
    <s v="USA"/>
    <x v="3"/>
  </r>
  <r>
    <x v="167"/>
    <s v="Antonio Wade"/>
    <n v="36"/>
    <x v="1"/>
    <s v="New Jasonmouth"/>
    <s v="Tennessee"/>
    <s v="USA"/>
    <x v="4"/>
  </r>
  <r>
    <x v="168"/>
    <s v="Daniel Contreras"/>
    <n v="36"/>
    <x v="1"/>
    <s v="Robertview"/>
    <s v="Florida"/>
    <s v="USA"/>
    <x v="1"/>
  </r>
  <r>
    <x v="169"/>
    <s v="Steve Mclaughlin"/>
    <n v="64"/>
    <x v="0"/>
    <s v="Josephmouth"/>
    <s v="New Hampshire"/>
    <s v="USA"/>
    <x v="2"/>
  </r>
  <r>
    <x v="170"/>
    <s v="Christopher Garcia DDS"/>
    <n v="18"/>
    <x v="0"/>
    <s v="New Joseph"/>
    <s v="Missouri"/>
    <s v="USA"/>
    <x v="4"/>
  </r>
  <r>
    <x v="171"/>
    <s v="Amy Wilson"/>
    <n v="44"/>
    <x v="1"/>
    <s v="Morrisburgh"/>
    <s v="Indiana"/>
    <s v="USA"/>
    <x v="1"/>
  </r>
  <r>
    <x v="172"/>
    <s v="Thomas Rhodes"/>
    <n v="41"/>
    <x v="1"/>
    <s v="Port Richard"/>
    <s v="West Virginia"/>
    <s v="USA"/>
    <x v="2"/>
  </r>
  <r>
    <x v="173"/>
    <s v="Teresa Stokes"/>
    <n v="41"/>
    <x v="1"/>
    <s v="New William"/>
    <s v="Iowa"/>
    <s v="USA"/>
    <x v="1"/>
  </r>
  <r>
    <x v="174"/>
    <s v="Maria Davis"/>
    <n v="26"/>
    <x v="1"/>
    <s v="Avilahaven"/>
    <s v="Vermont"/>
    <s v="USA"/>
    <x v="4"/>
  </r>
  <r>
    <x v="175"/>
    <s v="Michelle Rogers"/>
    <n v="56"/>
    <x v="0"/>
    <s v="East Jessicaborough"/>
    <s v="Hawaii"/>
    <s v="USA"/>
    <x v="1"/>
  </r>
  <r>
    <x v="176"/>
    <s v="John Bradford"/>
    <n v="48"/>
    <x v="0"/>
    <s v="Anabury"/>
    <s v="Vermont"/>
    <s v="USA"/>
    <x v="3"/>
  </r>
  <r>
    <x v="177"/>
    <s v="Curtis Lam"/>
    <n v="55"/>
    <x v="0"/>
    <s v="Butlerberg"/>
    <s v="Kentucky"/>
    <s v="USA"/>
    <x v="1"/>
  </r>
  <r>
    <x v="178"/>
    <s v="Michelle Myers"/>
    <n v="33"/>
    <x v="1"/>
    <s v="West Daniel"/>
    <s v="South Carolina"/>
    <s v="USA"/>
    <x v="2"/>
  </r>
  <r>
    <x v="179"/>
    <s v="Nicholas Bradshaw"/>
    <n v="43"/>
    <x v="1"/>
    <s v="Murphyfurt"/>
    <s v="Utah"/>
    <s v="USA"/>
    <x v="3"/>
  </r>
  <r>
    <x v="180"/>
    <s v="Wesley Thompson"/>
    <n v="38"/>
    <x v="0"/>
    <s v="East Davidmouth"/>
    <s v="Maine"/>
    <s v="USA"/>
    <x v="2"/>
  </r>
  <r>
    <x v="181"/>
    <s v="Erin Ward"/>
    <n v="60"/>
    <x v="0"/>
    <s v="New Brianchester"/>
    <s v="New York"/>
    <s v="USA"/>
    <x v="2"/>
  </r>
  <r>
    <x v="182"/>
    <s v="Melissa Hamilton"/>
    <n v="23"/>
    <x v="1"/>
    <s v="Hutchinsonville"/>
    <s v="Oklahoma"/>
    <s v="USA"/>
    <x v="3"/>
  </r>
  <r>
    <x v="183"/>
    <s v="Mario Jacobs"/>
    <n v="18"/>
    <x v="0"/>
    <s v="Port James"/>
    <s v="New York"/>
    <s v="USA"/>
    <x v="1"/>
  </r>
  <r>
    <x v="184"/>
    <s v="Leonard Cochran"/>
    <n v="46"/>
    <x v="1"/>
    <s v="Port Sherryview"/>
    <s v="North Dakota"/>
    <s v="USA"/>
    <x v="3"/>
  </r>
  <r>
    <x v="185"/>
    <s v="Brent Rivas"/>
    <n v="54"/>
    <x v="1"/>
    <s v="North Kellyberg"/>
    <s v="New Jersey"/>
    <s v="USA"/>
    <x v="1"/>
  </r>
  <r>
    <x v="186"/>
    <s v="Jennifer Pruitt"/>
    <n v="53"/>
    <x v="0"/>
    <s v="East Justin"/>
    <s v="Missouri"/>
    <s v="USA"/>
    <x v="3"/>
  </r>
  <r>
    <x v="187"/>
    <s v="Dr. Suzanne Bullock"/>
    <n v="60"/>
    <x v="1"/>
    <s v="Lake Blaketon"/>
    <s v="Alabama"/>
    <s v="USA"/>
    <x v="1"/>
  </r>
  <r>
    <x v="188"/>
    <s v="Kimberly Brooks"/>
    <n v="42"/>
    <x v="0"/>
    <s v="Kingfort"/>
    <s v="New Mexico"/>
    <s v="USA"/>
    <x v="3"/>
  </r>
  <r>
    <x v="189"/>
    <s v="Daniel Austin"/>
    <n v="29"/>
    <x v="0"/>
    <s v="Lake Howardberg"/>
    <s v="Kentucky"/>
    <s v="USA"/>
    <x v="4"/>
  </r>
  <r>
    <x v="190"/>
    <s v="Christopher Stewart"/>
    <n v="21"/>
    <x v="0"/>
    <s v="Amandaside"/>
    <s v="New York"/>
    <s v="USA"/>
    <x v="2"/>
  </r>
  <r>
    <x v="191"/>
    <s v="Todd Poole"/>
    <n v="29"/>
    <x v="1"/>
    <s v="Johnsonshire"/>
    <s v="Ohio"/>
    <s v="USA"/>
    <x v="2"/>
  </r>
  <r>
    <x v="192"/>
    <s v="Jacob Wood"/>
    <n v="26"/>
    <x v="0"/>
    <s v="Lake Samanthafort"/>
    <s v="Idaho"/>
    <s v="USA"/>
    <x v="4"/>
  </r>
  <r>
    <x v="193"/>
    <s v="David Roberts"/>
    <n v="38"/>
    <x v="0"/>
    <s v="Port Amanda"/>
    <s v="Georgia"/>
    <s v="USA"/>
    <x v="4"/>
  </r>
  <r>
    <x v="194"/>
    <s v="Ashley Ferguson"/>
    <n v="46"/>
    <x v="0"/>
    <s v="Sarahmouth"/>
    <s v="Pennsylvania"/>
    <s v="USA"/>
    <x v="4"/>
  </r>
  <r>
    <x v="195"/>
    <s v="Anthony Garcia"/>
    <n v="60"/>
    <x v="0"/>
    <s v="Taraberg"/>
    <s v="Arizona"/>
    <s v="USA"/>
    <x v="3"/>
  </r>
  <r>
    <x v="196"/>
    <s v="Megan Greer"/>
    <n v="18"/>
    <x v="1"/>
    <s v="West John"/>
    <s v="Alaska"/>
    <s v="USA"/>
    <x v="1"/>
  </r>
  <r>
    <x v="197"/>
    <s v="Andrea Jacobs"/>
    <n v="45"/>
    <x v="1"/>
    <s v="Christopherland"/>
    <s v="Minnesota"/>
    <s v="USA"/>
    <x v="1"/>
  </r>
  <r>
    <x v="198"/>
    <s v="Wanda Snyder"/>
    <n v="54"/>
    <x v="0"/>
    <s v="Frostmouth"/>
    <s v="Vermont"/>
    <s v="USA"/>
    <x v="2"/>
  </r>
  <r>
    <x v="199"/>
    <s v="Carmen Price"/>
    <n v="46"/>
    <x v="0"/>
    <s v="North Briannamouth"/>
    <s v="Tennessee"/>
    <s v="USA"/>
    <x v="2"/>
  </r>
  <r>
    <x v="200"/>
    <s v="Anna Perez"/>
    <n v="30"/>
    <x v="0"/>
    <s v="South Jerry"/>
    <s v="Maine"/>
    <s v="USA"/>
    <x v="1"/>
  </r>
  <r>
    <x v="201"/>
    <s v="Mary Boyd"/>
    <n v="25"/>
    <x v="1"/>
    <s v="New Logan"/>
    <s v="Michigan"/>
    <s v="USA"/>
    <x v="2"/>
  </r>
  <r>
    <x v="202"/>
    <s v="Christina Garcia"/>
    <n v="37"/>
    <x v="1"/>
    <s v="Clarkeside"/>
    <s v="Kansas"/>
    <s v="USA"/>
    <x v="1"/>
  </r>
  <r>
    <x v="203"/>
    <s v="Sarah Brady"/>
    <n v="47"/>
    <x v="0"/>
    <s v="Johnsonland"/>
    <s v="Iowa"/>
    <s v="USA"/>
    <x v="1"/>
  </r>
  <r>
    <x v="204"/>
    <s v="Tiffany Herrera"/>
    <n v="52"/>
    <x v="0"/>
    <s v="New Dianebury"/>
    <s v="Virginia"/>
    <s v="USA"/>
    <x v="1"/>
  </r>
  <r>
    <x v="205"/>
    <s v="Michelle Carpenter"/>
    <n v="44"/>
    <x v="1"/>
    <s v="Lake Danielleton"/>
    <s v="New Jersey"/>
    <s v="USA"/>
    <x v="4"/>
  </r>
  <r>
    <x v="206"/>
    <s v="Ronald Jones"/>
    <n v="26"/>
    <x v="1"/>
    <s v="Brownshire"/>
    <s v="Tennessee"/>
    <s v="USA"/>
    <x v="3"/>
  </r>
  <r>
    <x v="207"/>
    <s v="Jacqueline Pacheco"/>
    <n v="28"/>
    <x v="1"/>
    <s v="South Emily"/>
    <s v="New Jersey"/>
    <s v="USA"/>
    <x v="2"/>
  </r>
  <r>
    <x v="208"/>
    <s v="John Perez"/>
    <n v="54"/>
    <x v="0"/>
    <s v="Kathrynview"/>
    <s v="Louisiana"/>
    <s v="USA"/>
    <x v="1"/>
  </r>
  <r>
    <x v="209"/>
    <s v="Joan Johnson"/>
    <n v="50"/>
    <x v="1"/>
    <s v="Lake Josephport"/>
    <s v="Maine"/>
    <s v="USA"/>
    <x v="1"/>
  </r>
  <r>
    <x v="210"/>
    <s v="Antonio Jones"/>
    <n v="48"/>
    <x v="0"/>
    <s v="Matthewborough"/>
    <s v="Georgia"/>
    <s v="USA"/>
    <x v="3"/>
  </r>
  <r>
    <x v="211"/>
    <s v="Rodney Huffman"/>
    <n v="20"/>
    <x v="1"/>
    <s v="Garzafort"/>
    <s v="Delaware"/>
    <s v="USA"/>
    <x v="3"/>
  </r>
  <r>
    <x v="212"/>
    <s v="Blake Harrison"/>
    <n v="63"/>
    <x v="1"/>
    <s v="Lyonsfort"/>
    <s v="Washington"/>
    <s v="USA"/>
    <x v="1"/>
  </r>
  <r>
    <x v="213"/>
    <s v="Stuart Johnson"/>
    <n v="42"/>
    <x v="1"/>
    <s v="West Markport"/>
    <s v="North Dakota"/>
    <s v="USA"/>
    <x v="1"/>
  </r>
  <r>
    <x v="214"/>
    <s v="Eric Todd"/>
    <n v="61"/>
    <x v="0"/>
    <s v="Danielstad"/>
    <s v="Montana"/>
    <s v="USA"/>
    <x v="4"/>
  </r>
  <r>
    <x v="215"/>
    <s v="Steve Medina"/>
    <n v="50"/>
    <x v="1"/>
    <s v="East Josephside"/>
    <s v="Oregon"/>
    <s v="USA"/>
    <x v="4"/>
  </r>
  <r>
    <x v="216"/>
    <s v="Kathryn Garcia"/>
    <n v="44"/>
    <x v="0"/>
    <s v="Morrismouth"/>
    <s v="California"/>
    <s v="USA"/>
    <x v="1"/>
  </r>
  <r>
    <x v="217"/>
    <s v="Kathy Copeland"/>
    <n v="42"/>
    <x v="0"/>
    <s v="North Christinemouth"/>
    <s v="Missouri"/>
    <s v="USA"/>
    <x v="3"/>
  </r>
  <r>
    <x v="218"/>
    <s v="Julia Jackson"/>
    <n v="46"/>
    <x v="0"/>
    <s v="Edwardland"/>
    <s v="California"/>
    <s v="USA"/>
    <x v="1"/>
  </r>
  <r>
    <x v="219"/>
    <s v="Jordan Wells"/>
    <n v="47"/>
    <x v="1"/>
    <s v="Phillipschester   "/>
    <s v="New Jersey"/>
    <s v="USA"/>
    <x v="4"/>
  </r>
  <r>
    <x v="220"/>
    <s v="George Davis"/>
    <n v="50"/>
    <x v="1"/>
    <s v="    lake lisa"/>
    <s v="Massachusetts"/>
    <s v="USA"/>
    <x v="2"/>
  </r>
  <r>
    <x v="221"/>
    <s v="Lisa Young"/>
    <n v="38"/>
    <x v="0"/>
    <s v="Maybury"/>
    <s v="Georgia"/>
    <s v="USA"/>
    <x v="1"/>
  </r>
  <r>
    <x v="222"/>
    <s v="Alejandro Doyle"/>
    <n v="35"/>
    <x v="0"/>
    <s v="East Crystalton"/>
    <s v="New Mexico"/>
    <s v="USA"/>
    <x v="1"/>
  </r>
  <r>
    <x v="223"/>
    <s v="Robert Harris"/>
    <n v="50"/>
    <x v="0"/>
    <s v="East jeremy"/>
    <s v="Iowa"/>
    <s v="USA"/>
    <x v="1"/>
  </r>
  <r>
    <x v="224"/>
    <s v="Anthony Morgan"/>
    <n v="29"/>
    <x v="0"/>
    <s v="New Anthonyfurt"/>
    <s v="Missouri"/>
    <s v="USA"/>
    <x v="3"/>
  </r>
  <r>
    <x v="225"/>
    <s v="Elizabeth Stanley"/>
    <n v="46"/>
    <x v="1"/>
    <s v="Bethanyton"/>
    <s v="Utah"/>
    <s v="USA"/>
    <x v="1"/>
  </r>
  <r>
    <x v="226"/>
    <s v="Alexis Castaneda"/>
    <n v="54"/>
    <x v="0"/>
    <s v="Morrisbury"/>
    <s v="Alaska"/>
    <s v="USA"/>
    <x v="4"/>
  </r>
  <r>
    <x v="227"/>
    <s v="Gregory Pham"/>
    <n v="63"/>
    <x v="1"/>
    <s v="Pollardton"/>
    <s v="Kansas"/>
    <s v="USA"/>
    <x v="4"/>
  </r>
  <r>
    <x v="228"/>
    <s v="Casey Flores"/>
    <n v="52"/>
    <x v="1"/>
    <s v="Lake Michael"/>
    <s v="Utah"/>
    <s v="USA"/>
    <x v="4"/>
  </r>
  <r>
    <x v="229"/>
    <s v="Tanner Thompson"/>
    <n v="32"/>
    <x v="1"/>
    <s v="Port Lisashire"/>
    <s v="Maryland"/>
    <s v="USA"/>
    <x v="2"/>
  </r>
  <r>
    <x v="230"/>
    <s v="Timothy Sanders"/>
    <n v="29"/>
    <x v="0"/>
    <s v="Aaronmouth"/>
    <s v="Florida"/>
    <s v="USA"/>
    <x v="2"/>
  </r>
  <r>
    <x v="231"/>
    <s v="Timothy Juarez"/>
    <n v="22"/>
    <x v="1"/>
    <s v="Grahamstad"/>
    <s v="South Carolina"/>
    <s v="USA"/>
    <x v="2"/>
  </r>
  <r>
    <x v="232"/>
    <s v="Christy Hill"/>
    <n v="27"/>
    <x v="1"/>
    <s v="Tammyton"/>
    <s v="New Jersey"/>
    <s v="USA"/>
    <x v="1"/>
  </r>
  <r>
    <x v="233"/>
    <s v="Michelle Gonzalez"/>
    <n v="59"/>
    <x v="0"/>
    <s v="Clarkport"/>
    <s v="West Virginia"/>
    <s v="USA"/>
    <x v="3"/>
  </r>
  <r>
    <x v="234"/>
    <s v="Nathaniel Hill"/>
    <n v="43"/>
    <x v="1"/>
    <s v="Lake Mark"/>
    <s v="Kansas"/>
    <s v="USA"/>
    <x v="4"/>
  </r>
  <r>
    <x v="235"/>
    <s v="Jon Ortiz"/>
    <n v="28"/>
    <x v="1"/>
    <s v="South Angelaport"/>
    <s v="Delaware"/>
    <s v="USA"/>
    <x v="2"/>
  </r>
  <r>
    <x v="236"/>
    <s v="Joshua Wilson"/>
    <n v="42"/>
    <x v="1"/>
    <s v="North Larryport"/>
    <s v="Virginia"/>
    <s v="USA"/>
    <x v="2"/>
  </r>
  <r>
    <x v="237"/>
    <s v="Wesley Short"/>
    <n v="41"/>
    <x v="1"/>
    <s v="Susanstad"/>
    <s v="Montana"/>
    <s v="USA"/>
    <x v="4"/>
  </r>
  <r>
    <x v="238"/>
    <s v="Steven Smith"/>
    <n v="40"/>
    <x v="0"/>
    <s v="Port Krista"/>
    <s v="West Virginia"/>
    <s v="USA"/>
    <x v="1"/>
  </r>
  <r>
    <x v="239"/>
    <s v="Maria Hill"/>
    <n v="58"/>
    <x v="1"/>
    <s v="Zamoraborough"/>
    <s v="Nevada"/>
    <s v="USA"/>
    <x v="1"/>
  </r>
  <r>
    <x v="240"/>
    <s v="William Hull"/>
    <n v="59"/>
    <x v="1"/>
    <s v="Heathfort"/>
    <s v="Michigan"/>
    <s v="USA"/>
    <x v="1"/>
  </r>
  <r>
    <x v="241"/>
    <s v="Mr. William Horton"/>
    <n v="31"/>
    <x v="0"/>
    <s v="Dawsonchester"/>
    <s v="Virginia"/>
    <s v="USA"/>
    <x v="1"/>
  </r>
  <r>
    <x v="242"/>
    <s v="William Jackson"/>
    <n v="58"/>
    <x v="1"/>
    <s v="New Tina"/>
    <s v="Connecticut"/>
    <s v="USA"/>
    <x v="3"/>
  </r>
  <r>
    <x v="243"/>
    <s v="Brian Hammond"/>
    <n v="56"/>
    <x v="1"/>
    <s v="North Nicholas"/>
    <s v="Texas"/>
    <s v="USA"/>
    <x v="4"/>
  </r>
  <r>
    <x v="244"/>
    <s v="Nancy Page"/>
    <n v="19"/>
    <x v="0"/>
    <s v="West Julia"/>
    <s v="Utah"/>
    <s v="USA"/>
    <x v="2"/>
  </r>
  <r>
    <x v="245"/>
    <s v="Laura Soto"/>
    <n v="57"/>
    <x v="1"/>
    <s v="Rodriguezton"/>
    <s v="Michigan"/>
    <s v="USA"/>
    <x v="1"/>
  </r>
  <r>
    <x v="246"/>
    <s v="Mary Russell"/>
    <n v="58"/>
    <x v="0"/>
    <s v="South Regina"/>
    <s v="Arkansas"/>
    <s v="USA"/>
    <x v="2"/>
  </r>
  <r>
    <x v="247"/>
    <s v="Douglas Rhodes"/>
    <n v="32"/>
    <x v="0"/>
    <s v="Mikehaven"/>
    <s v="New Hampshire"/>
    <s v="USA"/>
    <x v="1"/>
  </r>
  <r>
    <x v="248"/>
    <s v="Nicholas Webb"/>
    <n v="19"/>
    <x v="0"/>
    <s v="Lake Timothy"/>
    <s v="Nevada"/>
    <s v="USA"/>
    <x v="4"/>
  </r>
  <r>
    <x v="249"/>
    <s v="Lauren George"/>
    <n v="41"/>
    <x v="1"/>
    <s v="Garciamouth"/>
    <s v="New York"/>
    <s v="USA"/>
    <x v="4"/>
  </r>
  <r>
    <x v="250"/>
    <s v="Veronica Newman"/>
    <n v="48"/>
    <x v="0"/>
    <s v="New Daniel"/>
    <s v="Delaware"/>
    <s v="USA"/>
    <x v="1"/>
  </r>
  <r>
    <x v="251"/>
    <s v="Tyler Garner"/>
    <n v="64"/>
    <x v="0"/>
    <s v="Port Coreyfort"/>
    <s v="Alabama"/>
    <s v="USA"/>
    <x v="3"/>
  </r>
  <r>
    <x v="252"/>
    <s v="John Mccoy"/>
    <n v="26"/>
    <x v="0"/>
    <s v="Robinborough"/>
    <s v="South Dakota"/>
    <s v="USA"/>
    <x v="3"/>
  </r>
  <r>
    <x v="253"/>
    <s v="Dr. Ashley Yates MD"/>
    <n v="32"/>
    <x v="0"/>
    <s v="New Maria"/>
    <s v="Wisconsin"/>
    <s v="USA"/>
    <x v="2"/>
  </r>
  <r>
    <x v="254"/>
    <s v="Linda Kline"/>
    <n v="34"/>
    <x v="0"/>
    <s v="Masseyland"/>
    <s v="Alaska"/>
    <s v="USA"/>
    <x v="3"/>
  </r>
  <r>
    <x v="255"/>
    <s v="Damon Perez"/>
    <n v="21"/>
    <x v="0"/>
    <s v="Jasonton"/>
    <s v="Ohio"/>
    <s v="USA"/>
    <x v="4"/>
  </r>
  <r>
    <x v="256"/>
    <s v="Kristen Fischer"/>
    <n v="57"/>
    <x v="0"/>
    <s v="Lake Christopher"/>
    <s v="Arkansas"/>
    <s v="USA"/>
    <x v="1"/>
  </r>
  <r>
    <x v="257"/>
    <s v="Christopher David"/>
    <n v="42"/>
    <x v="0"/>
    <s v="Karenmouth"/>
    <s v="Massachusetts"/>
    <s v="USA"/>
    <x v="3"/>
  </r>
  <r>
    <x v="258"/>
    <s v="Sarah Stewart"/>
    <n v="24"/>
    <x v="1"/>
    <s v="East Richard"/>
    <s v="Texas"/>
    <s v="USA"/>
    <x v="1"/>
  </r>
  <r>
    <x v="259"/>
    <s v="Beth Allen"/>
    <n v="32"/>
    <x v="1"/>
    <s v="South Kathrynmouth"/>
    <s v="Oklahoma"/>
    <s v="USA"/>
    <x v="3"/>
  </r>
  <r>
    <x v="260"/>
    <s v="Russell Lamb"/>
    <n v="63"/>
    <x v="1"/>
    <s v="North Jonathon"/>
    <s v="Arizona"/>
    <s v="USA"/>
    <x v="1"/>
  </r>
  <r>
    <x v="261"/>
    <s v="Carol Bishop"/>
    <n v="27"/>
    <x v="1"/>
    <s v="Lake Saramouth"/>
    <s v="Oregon"/>
    <s v="USA"/>
    <x v="3"/>
  </r>
  <r>
    <x v="262"/>
    <s v="Katherine Cowan"/>
    <n v="60"/>
    <x v="1"/>
    <s v="New Ana"/>
    <s v="Montana"/>
    <s v="USA"/>
    <x v="3"/>
  </r>
  <r>
    <x v="263"/>
    <s v="Crystal Davis"/>
    <n v="50"/>
    <x v="0"/>
    <s v="Sallymouth"/>
    <s v="Louisiana"/>
    <s v="USA"/>
    <x v="2"/>
  </r>
  <r>
    <x v="264"/>
    <s v="Matthew Payne"/>
    <n v="25"/>
    <x v="0"/>
    <s v="Grahamfurt"/>
    <s v="Wyoming"/>
    <s v="USA"/>
    <x v="4"/>
  </r>
  <r>
    <x v="265"/>
    <s v="Tracy Kelly"/>
    <n v="38"/>
    <x v="0"/>
    <s v="West Jamieport"/>
    <s v="Tennessee"/>
    <s v="USA"/>
    <x v="3"/>
  </r>
  <r>
    <x v="266"/>
    <s v="Cynthia Payne"/>
    <n v="32"/>
    <x v="1"/>
    <s v="South Gina"/>
    <s v="Kentucky"/>
    <s v="USA"/>
    <x v="2"/>
  </r>
  <r>
    <x v="267"/>
    <s v="Zachary Shelton"/>
    <n v="18"/>
    <x v="0"/>
    <s v="North Nicholas"/>
    <s v="Montana"/>
    <s v="USA"/>
    <x v="2"/>
  </r>
  <r>
    <x v="268"/>
    <s v="Kevin Orr"/>
    <n v="53"/>
    <x v="1"/>
    <s v="Ryanberg"/>
    <s v="Minnesota"/>
    <s v="USA"/>
    <x v="2"/>
  </r>
  <r>
    <x v="269"/>
    <s v="Tyrone Olson"/>
    <n v="45"/>
    <x v="1"/>
    <s v="Emilytown"/>
    <s v="California"/>
    <s v="USA"/>
    <x v="3"/>
  </r>
  <r>
    <x v="270"/>
    <s v="Brian Garcia"/>
    <n v="31"/>
    <x v="1"/>
    <s v="Ramosmouth"/>
    <s v="Louisiana"/>
    <s v="USA"/>
    <x v="4"/>
  </r>
  <r>
    <x v="271"/>
    <s v="Daisy Johnson DDS"/>
    <n v="64"/>
    <x v="0"/>
    <s v="North Stephanie"/>
    <s v="Nebraska"/>
    <s v="USA"/>
    <x v="1"/>
  </r>
  <r>
    <x v="272"/>
    <s v="Adam Rowland"/>
    <n v="48"/>
    <x v="1"/>
    <s v="Welchview"/>
    <s v="California"/>
    <s v="USA"/>
    <x v="4"/>
  </r>
  <r>
    <x v="273"/>
    <s v="Samantha Robinson"/>
    <n v="23"/>
    <x v="0"/>
    <s v="North Roy"/>
    <s v="Mississippi"/>
    <s v="USA"/>
    <x v="2"/>
  </r>
  <r>
    <x v="274"/>
    <s v="Sarah Lane"/>
    <n v="38"/>
    <x v="0"/>
    <s v="Edwardborough"/>
    <s v="Vermont"/>
    <s v="USA"/>
    <x v="3"/>
  </r>
  <r>
    <x v="275"/>
    <s v="Shannon Miller"/>
    <n v="22"/>
    <x v="0"/>
    <s v="North Austinport"/>
    <s v="Kentucky"/>
    <s v="USA"/>
    <x v="4"/>
  </r>
  <r>
    <x v="276"/>
    <s v="Arthur Warren"/>
    <n v="38"/>
    <x v="0"/>
    <s v="Ericshire"/>
    <s v="Nevada"/>
    <s v="USA"/>
    <x v="4"/>
  </r>
  <r>
    <x v="277"/>
    <s v="Jeffrey Gomez"/>
    <n v="22"/>
    <x v="1"/>
    <s v="Lake Nicole"/>
    <s v="Colorado"/>
    <s v="USA"/>
    <x v="1"/>
  </r>
  <r>
    <x v="278"/>
    <s v="Stephen Fowler"/>
    <n v="42"/>
    <x v="1"/>
    <s v="Port Mariastad"/>
    <s v="Rhode Island"/>
    <s v="USA"/>
    <x v="1"/>
  </r>
  <r>
    <x v="279"/>
    <s v="Aaron Luna"/>
    <n v="21"/>
    <x v="1"/>
    <s v="Gilltown"/>
    <s v="Ohio"/>
    <s v="USA"/>
    <x v="2"/>
  </r>
  <r>
    <x v="280"/>
    <s v="Antonio Leon"/>
    <n v="48"/>
    <x v="0"/>
    <s v="Morrisville"/>
    <s v="Hawaii"/>
    <s v="USA"/>
    <x v="2"/>
  </r>
  <r>
    <x v="281"/>
    <s v="Brittany Watson"/>
    <n v="59"/>
    <x v="0"/>
    <s v="North Joshualand"/>
    <s v="Connecticut"/>
    <s v="USA"/>
    <x v="1"/>
  </r>
  <r>
    <x v="282"/>
    <s v="Kristi Lopez"/>
    <n v="46"/>
    <x v="1"/>
    <s v="Spencermouth"/>
    <s v="New Jersey"/>
    <s v="USA"/>
    <x v="4"/>
  </r>
  <r>
    <x v="283"/>
    <s v="Bryan Garcia"/>
    <n v="54"/>
    <x v="1"/>
    <s v="Garciaborough"/>
    <s v="Wyoming"/>
    <s v="USA"/>
    <x v="3"/>
  </r>
  <r>
    <x v="284"/>
    <s v="Hunter Sutton"/>
    <n v="54"/>
    <x v="0"/>
    <s v="Patrickshire"/>
    <s v="Connecticut"/>
    <s v="USA"/>
    <x v="4"/>
  </r>
  <r>
    <x v="285"/>
    <s v="Donna Guerra"/>
    <n v="46"/>
    <x v="1"/>
    <s v="North Robert"/>
    <s v="Massachusetts"/>
    <s v="USA"/>
    <x v="3"/>
  </r>
  <r>
    <x v="286"/>
    <s v="Tommy Roberts"/>
    <n v="22"/>
    <x v="0"/>
    <s v="Port Tonyfort"/>
    <s v="South Dakota"/>
    <s v="USA"/>
    <x v="3"/>
  </r>
  <r>
    <x v="287"/>
    <s v="Cynthia Roberts"/>
    <n v="22"/>
    <x v="1"/>
    <s v="Millerfort"/>
    <s v="Vermont"/>
    <s v="USA"/>
    <x v="4"/>
  </r>
  <r>
    <x v="288"/>
    <s v="Misty Ferguson"/>
    <n v="58"/>
    <x v="0"/>
    <s v="North Joseside"/>
    <s v="Connecticut"/>
    <s v="USA"/>
    <x v="4"/>
  </r>
  <r>
    <x v="289"/>
    <s v="Jennifer Figueroa"/>
    <n v="45"/>
    <x v="0"/>
    <s v="North Brookestad"/>
    <s v="Ohio"/>
    <s v="USA"/>
    <x v="2"/>
  </r>
  <r>
    <x v="290"/>
    <s v="Chase Williams MD"/>
    <n v="52"/>
    <x v="1"/>
    <s v="Sherimouth"/>
    <s v="Virginia"/>
    <s v="USA"/>
    <x v="3"/>
  </r>
  <r>
    <x v="291"/>
    <s v="James Powell"/>
    <n v="40"/>
    <x v="1"/>
    <s v="West Beverlymouth"/>
    <s v="Missouri"/>
    <s v="USA"/>
    <x v="2"/>
  </r>
  <r>
    <x v="292"/>
    <s v="Ricardo Jones"/>
    <n v="30"/>
    <x v="0"/>
    <s v="Danielland"/>
    <s v="Minnesota"/>
    <s v="USA"/>
    <x v="3"/>
  </r>
  <r>
    <x v="293"/>
    <s v="Gloria Taylor"/>
    <n v="56"/>
    <x v="1"/>
    <s v="North Daniel"/>
    <s v="Louisiana"/>
    <s v="USA"/>
    <x v="1"/>
  </r>
  <r>
    <x v="294"/>
    <s v="Lisa Chandler"/>
    <n v="29"/>
    <x v="0"/>
    <s v="Port Richard"/>
    <s v="Montana"/>
    <s v="USA"/>
    <x v="1"/>
  </r>
  <r>
    <x v="295"/>
    <s v="Crystal Waters"/>
    <n v="19"/>
    <x v="1"/>
    <s v="North Michelleport"/>
    <s v="Kansas"/>
    <s v="USA"/>
    <x v="2"/>
  </r>
  <r>
    <x v="296"/>
    <s v="Jared Moran"/>
    <n v="28"/>
    <x v="1"/>
    <s v="South David"/>
    <s v="West Virginia"/>
    <s v="USA"/>
    <x v="2"/>
  </r>
  <r>
    <x v="297"/>
    <s v="Jennifer Carr"/>
    <n v="47"/>
    <x v="1"/>
    <s v="Lake Brett"/>
    <s v="Missouri"/>
    <s v="USA"/>
    <x v="3"/>
  </r>
  <r>
    <x v="298"/>
    <s v="Tracy Stephens"/>
    <n v="64"/>
    <x v="0"/>
    <s v="New Joshuatown"/>
    <s v="Maine"/>
    <s v="USA"/>
    <x v="1"/>
  </r>
  <r>
    <x v="299"/>
    <s v="Stephanie Jacobs"/>
    <n v="48"/>
    <x v="1"/>
    <s v="West Robinmouth"/>
    <s v="Louisiana"/>
    <s v="USA"/>
    <x v="1"/>
  </r>
  <r>
    <x v="300"/>
    <s v="Matthew Avery"/>
    <n v="29"/>
    <x v="0"/>
    <s v="Lake Melissashire"/>
    <s v="Oregon"/>
    <s v="USA"/>
    <x v="3"/>
  </r>
  <r>
    <x v="301"/>
    <s v="Ryan Kane"/>
    <n v="50"/>
    <x v="0"/>
    <s v="West Bruceburgh"/>
    <s v="Virginia"/>
    <s v="USA"/>
    <x v="4"/>
  </r>
  <r>
    <x v="302"/>
    <s v="Edward Cole"/>
    <n v="36"/>
    <x v="0"/>
    <s v="Lake Charlotte"/>
    <s v="Arizona"/>
    <s v="USA"/>
    <x v="4"/>
  </r>
  <r>
    <x v="303"/>
    <s v="John Sloan"/>
    <n v="23"/>
    <x v="1"/>
    <s v="East Johntown"/>
    <s v="Delaware"/>
    <s v="USA"/>
    <x v="1"/>
  </r>
  <r>
    <x v="304"/>
    <s v="Miss Alexandria Li DVM"/>
    <n v="41"/>
    <x v="0"/>
    <s v="Port Jenniferton"/>
    <s v="Kansas"/>
    <s v="USA"/>
    <x v="3"/>
  </r>
  <r>
    <x v="305"/>
    <s v="Roberta Green"/>
    <n v="64"/>
    <x v="0"/>
    <s v="West Joseph"/>
    <s v="Washington"/>
    <s v="USA"/>
    <x v="1"/>
  </r>
  <r>
    <x v="306"/>
    <s v="Angela Robinson"/>
    <n v="44"/>
    <x v="0"/>
    <s v="New Nicholasstad"/>
    <s v="Tennessee"/>
    <s v="USA"/>
    <x v="1"/>
  </r>
  <r>
    <x v="307"/>
    <s v="Brandy Thompson"/>
    <n v="56"/>
    <x v="1"/>
    <s v="West Patriciaview"/>
    <s v="Alabama"/>
    <s v="USA"/>
    <x v="2"/>
  </r>
  <r>
    <x v="308"/>
    <s v="Jennifer Zamora"/>
    <n v="60"/>
    <x v="1"/>
    <s v="Sarahland"/>
    <s v="Iowa"/>
    <s v="USA"/>
    <x v="4"/>
  </r>
  <r>
    <x v="309"/>
    <s v="Stacy Collins"/>
    <n v="41"/>
    <x v="1"/>
    <s v="Randychester"/>
    <s v="California"/>
    <s v="USA"/>
    <x v="2"/>
  </r>
  <r>
    <x v="310"/>
    <s v="Kara Dodson"/>
    <n v="20"/>
    <x v="0"/>
    <s v="Joelside"/>
    <s v="Vermont"/>
    <s v="USA"/>
    <x v="3"/>
  </r>
  <r>
    <x v="311"/>
    <s v="Kevin Larson"/>
    <n v="35"/>
    <x v="0"/>
    <s v="Port Edwardmouth"/>
    <s v="Oregon"/>
    <s v="USA"/>
    <x v="1"/>
  </r>
  <r>
    <x v="312"/>
    <s v="Jason Mullins"/>
    <n v="47"/>
    <x v="1"/>
    <s v="Brianchester"/>
    <s v="Delaware"/>
    <s v="USA"/>
    <x v="3"/>
  </r>
  <r>
    <x v="313"/>
    <s v="Elizabeth Jones"/>
    <n v="62"/>
    <x v="0"/>
    <s v="Brownburgh"/>
    <s v="Maryland"/>
    <s v="USA"/>
    <x v="1"/>
  </r>
  <r>
    <x v="314"/>
    <s v="Elizabeth Johnson"/>
    <n v="53"/>
    <x v="1"/>
    <s v="Anitaland"/>
    <s v="Washington"/>
    <s v="USA"/>
    <x v="3"/>
  </r>
  <r>
    <x v="315"/>
    <s v="William Rodriguez"/>
    <n v="49"/>
    <x v="0"/>
    <s v="Port Chad"/>
    <s v="Massachusetts"/>
    <s v="USA"/>
    <x v="3"/>
  </r>
  <r>
    <x v="316"/>
    <s v="Robert House"/>
    <n v="34"/>
    <x v="0"/>
    <s v="Lake James"/>
    <s v="Maryland"/>
    <s v="USA"/>
    <x v="4"/>
  </r>
  <r>
    <x v="317"/>
    <s v="Tiffany Williams"/>
    <n v="64"/>
    <x v="1"/>
    <s v="Richardsport"/>
    <s v="New Hampshire"/>
    <s v="USA"/>
    <x v="4"/>
  </r>
  <r>
    <x v="318"/>
    <s v="Madison Wright"/>
    <n v="25"/>
    <x v="0"/>
    <s v="Monicaview"/>
    <s v="Kansas"/>
    <s v="USA"/>
    <x v="1"/>
  </r>
  <r>
    <x v="319"/>
    <s v="Casey Simpson"/>
    <n v="54"/>
    <x v="0"/>
    <s v="West Mathewside"/>
    <s v="Mississippi"/>
    <s v="USA"/>
    <x v="1"/>
  </r>
  <r>
    <x v="320"/>
    <s v="Jessica Gonzalez"/>
    <n v="34"/>
    <x v="1"/>
    <s v="South Darrenland"/>
    <s v="Iowa"/>
    <s v="USA"/>
    <x v="2"/>
  </r>
  <r>
    <x v="321"/>
    <s v="Darren Burton"/>
    <n v="21"/>
    <x v="1"/>
    <s v="Lake Alice"/>
    <s v="Tennessee"/>
    <s v="USA"/>
    <x v="2"/>
  </r>
  <r>
    <x v="322"/>
    <s v="Samuel Arias"/>
    <n v="54"/>
    <x v="0"/>
    <s v="North Nicole"/>
    <s v="Wyoming"/>
    <s v="USA"/>
    <x v="2"/>
  </r>
  <r>
    <x v="323"/>
    <s v="Kristy Dunlap"/>
    <n v="64"/>
    <x v="1"/>
    <s v="Whiteport"/>
    <s v="North Carolina"/>
    <s v="USA"/>
    <x v="1"/>
  </r>
  <r>
    <x v="324"/>
    <s v="Alex Mann II"/>
    <n v="58"/>
    <x v="0"/>
    <s v="South Zacharychester"/>
    <s v="Oklahoma"/>
    <s v="USA"/>
    <x v="2"/>
  </r>
  <r>
    <x v="325"/>
    <s v="Andrew Smith"/>
    <n v="60"/>
    <x v="0"/>
    <s v="East Matthew"/>
    <s v="Wisconsin"/>
    <s v="USA"/>
    <x v="2"/>
  </r>
  <r>
    <x v="326"/>
    <s v="Robert King"/>
    <n v="58"/>
    <x v="1"/>
    <s v="Cindyton"/>
    <s v="Rhode Island"/>
    <s v="USA"/>
    <x v="4"/>
  </r>
  <r>
    <x v="327"/>
    <s v="Reginald Willis"/>
    <n v="62"/>
    <x v="1"/>
    <s v="Kellybury"/>
    <s v="New York"/>
    <s v="USA"/>
    <x v="2"/>
  </r>
  <r>
    <x v="328"/>
    <s v="Mario Harvey Jr."/>
    <n v="46"/>
    <x v="0"/>
    <s v="Jessicaport"/>
    <s v="Minnesota"/>
    <s v="USA"/>
    <x v="1"/>
  </r>
  <r>
    <x v="329"/>
    <s v="Victor Mcintosh"/>
    <n v="62"/>
    <x v="1"/>
    <s v="Tiffanyshire"/>
    <s v="Minnesota"/>
    <s v="USA"/>
    <x v="2"/>
  </r>
  <r>
    <x v="330"/>
    <s v="Pamela Mcguire"/>
    <n v="54"/>
    <x v="0"/>
    <s v="South Jasontown"/>
    <s v="Illinois"/>
    <s v="USA"/>
    <x v="1"/>
  </r>
  <r>
    <x v="331"/>
    <s v="Maria Phillips"/>
    <n v="38"/>
    <x v="1"/>
    <s v="North Kathytown"/>
    <s v="Montana"/>
    <s v="USA"/>
    <x v="2"/>
  </r>
  <r>
    <x v="332"/>
    <s v="Dr. Lindsay Hanna"/>
    <n v="34"/>
    <x v="1"/>
    <s v="New Paulstad"/>
    <s v="Hawaii"/>
    <s v="USA"/>
    <x v="2"/>
  </r>
  <r>
    <x v="333"/>
    <s v="Teresa Johnson"/>
    <n v="64"/>
    <x v="1"/>
    <s v="Johnsonbury"/>
    <s v="Georgia"/>
    <s v="USA"/>
    <x v="4"/>
  </r>
  <r>
    <x v="334"/>
    <s v="Mr. Christopher Sims"/>
    <n v="50"/>
    <x v="1"/>
    <s v="Donaldsontown"/>
    <s v="Connecticut"/>
    <s v="USA"/>
    <x v="3"/>
  </r>
  <r>
    <x v="335"/>
    <s v="Jennifer Woods"/>
    <n v="37"/>
    <x v="0"/>
    <s v="West Brendamouth"/>
    <s v="North Carolina"/>
    <s v="USA"/>
    <x v="1"/>
  </r>
  <r>
    <x v="336"/>
    <s v="John Jones"/>
    <n v="58"/>
    <x v="1"/>
    <s v="North Michaelborough"/>
    <s v="Oregon"/>
    <s v="USA"/>
    <x v="3"/>
  </r>
  <r>
    <x v="337"/>
    <s v="Carol Lewis"/>
    <n v="40"/>
    <x v="1"/>
    <s v="Ryanport"/>
    <s v="North Carolina"/>
    <s v="USA"/>
    <x v="2"/>
  </r>
  <r>
    <x v="338"/>
    <s v="Jasmine Snyder"/>
    <n v="46"/>
    <x v="1"/>
    <s v="Hudsonfort"/>
    <s v="Connecticut"/>
    <s v="USA"/>
    <x v="3"/>
  </r>
  <r>
    <x v="339"/>
    <s v="Mrs. Susan Buckley"/>
    <n v="52"/>
    <x v="1"/>
    <s v="Stevensbury"/>
    <s v="Arizona"/>
    <s v="USA"/>
    <x v="1"/>
  </r>
  <r>
    <x v="340"/>
    <s v="Eric Davis"/>
    <n v="27"/>
    <x v="0"/>
    <s v="Johntown"/>
    <s v="Colorado"/>
    <s v="USA"/>
    <x v="2"/>
  </r>
  <r>
    <x v="341"/>
    <s v="Angela Williams"/>
    <n v="56"/>
    <x v="1"/>
    <s v="Lake Alyssaburgh"/>
    <s v="Illinois"/>
    <s v="USA"/>
    <x v="2"/>
  </r>
  <r>
    <x v="342"/>
    <s v="Michelle Cunningham"/>
    <n v="30"/>
    <x v="1"/>
    <s v="Amandaborough"/>
    <s v="Connecticut"/>
    <s v="USA"/>
    <x v="2"/>
  </r>
  <r>
    <x v="343"/>
    <s v="Ryan Moore"/>
    <n v="38"/>
    <x v="0"/>
    <s v="Cartershire"/>
    <s v="Virginia"/>
    <s v="USA"/>
    <x v="2"/>
  </r>
  <r>
    <x v="344"/>
    <s v="Evelyn Brown"/>
    <n v="39"/>
    <x v="0"/>
    <s v="West Victoriaborough"/>
    <s v="New Mexico"/>
    <s v="USA"/>
    <x v="4"/>
  </r>
  <r>
    <x v="345"/>
    <s v="Daniel Nelson"/>
    <n v="33"/>
    <x v="0"/>
    <s v="North Jonathan"/>
    <s v="Oklahoma"/>
    <s v="USA"/>
    <x v="2"/>
  </r>
  <r>
    <x v="346"/>
    <s v="John Jordan"/>
    <n v="58"/>
    <x v="1"/>
    <s v="Port Crystalberg"/>
    <s v="Tennessee"/>
    <s v="USA"/>
    <x v="1"/>
  </r>
  <r>
    <x v="347"/>
    <s v="Justin Mason DDS"/>
    <n v="39"/>
    <x v="1"/>
    <s v="Peggystad"/>
    <s v="Connecticut"/>
    <s v="USA"/>
    <x v="4"/>
  </r>
  <r>
    <x v="348"/>
    <s v="Sherry Cabrera"/>
    <n v="55"/>
    <x v="0"/>
    <s v="Shannonview"/>
    <s v="Pennsylvania"/>
    <s v="USA"/>
    <x v="3"/>
  </r>
  <r>
    <x v="349"/>
    <s v="Heather Valenzuela"/>
    <n v="31"/>
    <x v="0"/>
    <s v="New Angiefurt"/>
    <s v="Alaska"/>
    <s v="USA"/>
    <x v="2"/>
  </r>
  <r>
    <x v="350"/>
    <s v="Charles Miller"/>
    <n v="26"/>
    <x v="0"/>
    <s v="Lake Allisonborough"/>
    <s v="Iowa"/>
    <s v="USA"/>
    <x v="3"/>
  </r>
  <r>
    <x v="351"/>
    <s v="Jeffrey Mccarthy"/>
    <n v="25"/>
    <x v="1"/>
    <s v="North Samuel"/>
    <s v="Nebraska"/>
    <s v="USA"/>
    <x v="2"/>
  </r>
  <r>
    <x v="352"/>
    <s v="Michael Greene"/>
    <n v="52"/>
    <x v="1"/>
    <s v="Port Saramouth"/>
    <s v="Wisconsin"/>
    <s v="USA"/>
    <x v="3"/>
  </r>
  <r>
    <x v="353"/>
    <s v="   laura green"/>
    <n v="56"/>
    <x v="1"/>
    <s v="Westbury"/>
    <s v="Oregon"/>
    <s v="USA"/>
    <x v="1"/>
  </r>
  <r>
    <x v="354"/>
    <s v="Ryan Torres"/>
    <n v="38"/>
    <x v="0"/>
    <s v="Guerreroport"/>
    <s v="Connecticut"/>
    <s v="USA"/>
    <x v="3"/>
  </r>
  <r>
    <x v="355"/>
    <s v="Carlos Flores"/>
    <n v="20"/>
    <x v="0"/>
    <s v="North Johnfurt"/>
    <s v="Washington"/>
    <s v="USA"/>
    <x v="4"/>
  </r>
  <r>
    <x v="356"/>
    <s v="Steve Hunt"/>
    <n v="54"/>
    <x v="0"/>
    <s v="North Richard"/>
    <s v="Virginia"/>
    <s v="USA"/>
    <x v="2"/>
  </r>
  <r>
    <x v="357"/>
    <s v="Manuel Castillo"/>
    <n v="41"/>
    <x v="0"/>
    <s v="Nealview"/>
    <s v="Tennessee"/>
    <s v="USA"/>
    <x v="4"/>
  </r>
  <r>
    <x v="358"/>
    <s v="Ashley Anderson"/>
    <n v="60"/>
    <x v="1"/>
    <s v="West Johnmouth"/>
    <s v="Mississippi"/>
    <s v="USA"/>
    <x v="4"/>
  </r>
  <r>
    <x v="359"/>
    <s v="Melanie Lam"/>
    <n v="32"/>
    <x v="0"/>
    <s v="East Michaelton"/>
    <s v="Kansas"/>
    <s v="USA"/>
    <x v="3"/>
  </r>
  <r>
    <x v="360"/>
    <s v="Denise Tate"/>
    <n v="34"/>
    <x v="0"/>
    <s v="Andersonside"/>
    <s v="Arkansas"/>
    <s v="USA"/>
    <x v="1"/>
  </r>
  <r>
    <x v="361"/>
    <s v="Natalie Johnson"/>
    <n v="64"/>
    <x v="0"/>
    <s v="New Jessechester"/>
    <s v="Indiana"/>
    <s v="USA"/>
    <x v="1"/>
  </r>
  <r>
    <x v="362"/>
    <s v="Joshua Smith DVM"/>
    <n v="60"/>
    <x v="0"/>
    <s v="Melvinton"/>
    <s v="Alaska"/>
    <s v="USA"/>
    <x v="4"/>
  </r>
  <r>
    <x v="363"/>
    <s v="Elizabeth Smith"/>
    <n v="23"/>
    <x v="0"/>
    <s v="Murphytown"/>
    <s v="Ohio"/>
    <s v="USA"/>
    <x v="2"/>
  </r>
  <r>
    <x v="364"/>
    <s v="Chloe Aguilar"/>
    <n v="58"/>
    <x v="0"/>
    <s v="Lake Johnside"/>
    <s v="Arizona"/>
    <s v="USA"/>
    <x v="2"/>
  </r>
  <r>
    <x v="365"/>
    <s v="Brandon Mcbride"/>
    <n v="63"/>
    <x v="1"/>
    <s v="Kellyside"/>
    <s v="Alaska"/>
    <s v="USA"/>
    <x v="1"/>
  </r>
  <r>
    <x v="366"/>
    <s v="Mallory Allen"/>
    <n v="40"/>
    <x v="1"/>
    <s v="North Theresa"/>
    <s v="Alabama"/>
    <s v="USA"/>
    <x v="1"/>
  </r>
  <r>
    <x v="367"/>
    <s v="Melinda Johnson"/>
    <n v="51"/>
    <x v="0"/>
    <s v="Kaufmanfurt"/>
    <s v="Ohio"/>
    <s v="USA"/>
    <x v="2"/>
  </r>
  <r>
    <x v="368"/>
    <s v="Miranda King"/>
    <n v="34"/>
    <x v="1"/>
    <s v="West Mathew"/>
    <s v="New York"/>
    <s v="USA"/>
    <x v="1"/>
  </r>
  <r>
    <x v="369"/>
    <s v="Gregory Allen"/>
    <n v="20"/>
    <x v="1"/>
    <s v="West Bruce"/>
    <s v="Vermont"/>
    <s v="USA"/>
    <x v="1"/>
  </r>
  <r>
    <x v="370"/>
    <s v="James Holloway Jr."/>
    <n v="45"/>
    <x v="0"/>
    <s v="Millston"/>
    <s v="Indiana"/>
    <s v="USA"/>
    <x v="3"/>
  </r>
  <r>
    <x v="371"/>
    <s v="Michael Garner"/>
    <n v="21"/>
    <x v="1"/>
    <s v="Port Crystal"/>
    <s v="New Hampshire"/>
    <s v="USA"/>
    <x v="1"/>
  </r>
  <r>
    <x v="372"/>
    <s v="Jacqueline Anthony"/>
    <n v="28"/>
    <x v="0"/>
    <s v="Vincentside"/>
    <s v="Ohio"/>
    <s v="USA"/>
    <x v="2"/>
  </r>
  <r>
    <x v="373"/>
    <s v="James Orozco"/>
    <n v="37"/>
    <x v="1"/>
    <s v="Simpsonfort"/>
    <s v="Maine"/>
    <s v="USA"/>
    <x v="4"/>
  </r>
  <r>
    <x v="374"/>
    <s v="Emma Wilson"/>
    <n v="60"/>
    <x v="0"/>
    <s v="Andersonburgh"/>
    <s v="Hawaii"/>
    <s v="USA"/>
    <x v="1"/>
  </r>
  <r>
    <x v="375"/>
    <s v="Joshua Bell"/>
    <n v="26"/>
    <x v="0"/>
    <s v="Port Richardshire"/>
    <s v="Minnesota"/>
    <s v="USA"/>
    <x v="1"/>
  </r>
  <r>
    <x v="376"/>
    <s v="Michele Burke"/>
    <n v="30"/>
    <x v="0"/>
    <s v="Chambersberg"/>
    <s v="Connecticut"/>
    <s v="USA"/>
    <x v="2"/>
  </r>
  <r>
    <x v="377"/>
    <s v="Charles Conley"/>
    <n v="39"/>
    <x v="1"/>
    <s v="Nathanshire"/>
    <s v="Maine"/>
    <s v="USA"/>
    <x v="4"/>
  </r>
  <r>
    <x v="378"/>
    <s v="Frank Stewart"/>
    <n v="44"/>
    <x v="1"/>
    <s v="Fischerborough"/>
    <s v="Delaware"/>
    <s v="USA"/>
    <x v="2"/>
  </r>
  <r>
    <x v="379"/>
    <s v="Tanya Lopez"/>
    <n v="34"/>
    <x v="1"/>
    <s v="West Jeffreyburgh"/>
    <s v="Iowa"/>
    <s v="USA"/>
    <x v="4"/>
  </r>
  <r>
    <x v="380"/>
    <s v="Shelley Ponce"/>
    <n v="23"/>
    <x v="0"/>
    <s v="South Cassandrachester"/>
    <s v="Rhode Island"/>
    <s v="USA"/>
    <x v="4"/>
  </r>
  <r>
    <x v="381"/>
    <s v="Erika Padilla"/>
    <n v="50"/>
    <x v="0"/>
    <s v="Andrewsland"/>
    <s v="Alabama"/>
    <s v="USA"/>
    <x v="3"/>
  </r>
  <r>
    <x v="382"/>
    <s v="Martha Brown"/>
    <n v="20"/>
    <x v="1"/>
    <s v="Novakstad"/>
    <s v="California"/>
    <s v="USA"/>
    <x v="4"/>
  </r>
  <r>
    <x v="383"/>
    <s v="Kristine Higgins"/>
    <n v="27"/>
    <x v="1"/>
    <s v="Jennifertown"/>
    <s v="South Carolina"/>
    <s v="USA"/>
    <x v="3"/>
  </r>
  <r>
    <x v="384"/>
    <s v="Andrew Mason"/>
    <n v="52"/>
    <x v="1"/>
    <s v="North Michael"/>
    <s v="Iowa"/>
    <s v="USA"/>
    <x v="2"/>
  </r>
  <r>
    <x v="385"/>
    <s v="Tammy Brennan"/>
    <n v="60"/>
    <x v="0"/>
    <s v="Lake Brandontown"/>
    <s v="South Carolina"/>
    <s v="USA"/>
    <x v="4"/>
  </r>
  <r>
    <x v="386"/>
    <s v="Melanie Mitchell"/>
    <n v="18"/>
    <x v="1"/>
    <s v="West Laura"/>
    <s v="Maryland"/>
    <s v="USA"/>
    <x v="2"/>
  </r>
  <r>
    <x v="387"/>
    <s v="Timothy Gardner"/>
    <n v="28"/>
    <x v="1"/>
    <s v="New Dawn"/>
    <s v="New Jersey"/>
    <s v="USA"/>
    <x v="3"/>
  </r>
  <r>
    <x v="388"/>
    <s v="Timothy Valenzuela"/>
    <n v="53"/>
    <x v="0"/>
    <s v="Stevensshire"/>
    <s v="Missouri"/>
    <s v="USA"/>
    <x v="1"/>
  </r>
  <r>
    <x v="389"/>
    <s v="Cynthia Lopez"/>
    <n v="50"/>
    <x v="0"/>
    <s v="Joseland"/>
    <s v="Nebraska"/>
    <s v="USA"/>
    <x v="1"/>
  </r>
  <r>
    <x v="390"/>
    <s v="Daniel Bell"/>
    <n v="56"/>
    <x v="0"/>
    <s v="Deniseberg"/>
    <s v="Arkansas"/>
    <s v="USA"/>
    <x v="3"/>
  </r>
  <r>
    <x v="391"/>
    <s v="Heidi Tyler"/>
    <n v="40"/>
    <x v="1"/>
    <s v="Dawnstad"/>
    <s v="Oregon"/>
    <s v="USA"/>
    <x v="2"/>
  </r>
  <r>
    <x v="392"/>
    <s v="Jacqueline Payne"/>
    <n v="46"/>
    <x v="0"/>
    <s v="Gutierrezstad"/>
    <s v="Missouri"/>
    <s v="USA"/>
    <x v="4"/>
  </r>
  <r>
    <x v="393"/>
    <s v="Michael Mcneil"/>
    <n v="46"/>
    <x v="0"/>
    <s v="Stewartchester"/>
    <s v="Utah"/>
    <s v="USA"/>
    <x v="2"/>
  </r>
  <r>
    <x v="394"/>
    <s v="Alejandro Evans"/>
    <n v="43"/>
    <x v="1"/>
    <s v="Cannonberg"/>
    <s v="Connecticut"/>
    <s v="USA"/>
    <x v="2"/>
  </r>
  <r>
    <x v="395"/>
    <s v="Brandon Mcguire"/>
    <n v="50"/>
    <x v="0"/>
    <s v="Lake Morganland"/>
    <s v="Kansas"/>
    <s v="USA"/>
    <x v="4"/>
  </r>
  <r>
    <x v="396"/>
    <s v="Alexander Byrd"/>
    <n v="25"/>
    <x v="1"/>
    <s v="Parkerview"/>
    <s v="New York"/>
    <s v="USA"/>
    <x v="3"/>
  </r>
  <r>
    <x v="397"/>
    <s v="Charles Norman PhD"/>
    <n v="62"/>
    <x v="1"/>
    <s v="East Jennifer"/>
    <s v="Kansas"/>
    <s v="USA"/>
    <x v="1"/>
  </r>
  <r>
    <x v="398"/>
    <s v="Jennifer Johnson"/>
    <n v="54"/>
    <x v="0"/>
    <s v="Cheyenneborough"/>
    <s v="New Hampshire"/>
    <s v="USA"/>
    <x v="2"/>
  </r>
  <r>
    <x v="399"/>
    <s v="John Donaldson"/>
    <n v="27"/>
    <x v="0"/>
    <s v="New Edward"/>
    <s v="Maine"/>
    <s v="USA"/>
    <x v="2"/>
  </r>
  <r>
    <x v="400"/>
    <s v="Mark Rogers"/>
    <n v="57"/>
    <x v="1"/>
    <s v="Bookertown"/>
    <s v="Oklahoma"/>
    <s v="USA"/>
    <x v="1"/>
  </r>
  <r>
    <x v="401"/>
    <s v="Terry Moses"/>
    <n v="51"/>
    <x v="1"/>
    <s v="Leahmouth"/>
    <s v="Nevada"/>
    <s v="USA"/>
    <x v="1"/>
  </r>
  <r>
    <x v="402"/>
    <s v="Cassandra Perez"/>
    <n v="31"/>
    <x v="0"/>
    <s v="Brandonville"/>
    <s v="Mississippi"/>
    <s v="USA"/>
    <x v="2"/>
  </r>
  <r>
    <x v="403"/>
    <s v="Justin Ingram"/>
    <n v="34"/>
    <x v="0"/>
    <s v="Lake Lisaland"/>
    <s v="Louisiana"/>
    <s v="USA"/>
    <x v="2"/>
  </r>
  <r>
    <x v="404"/>
    <s v="David Ross"/>
    <n v="22"/>
    <x v="1"/>
    <s v="South Angela"/>
    <s v="Arkansas"/>
    <s v="USA"/>
    <x v="3"/>
  </r>
  <r>
    <x v="405"/>
    <s v="Eric Wolfe"/>
    <n v="18"/>
    <x v="1"/>
    <s v="Garciaview"/>
    <s v="Louisiana"/>
    <s v="USA"/>
    <x v="4"/>
  </r>
  <r>
    <x v="406"/>
    <s v="David Lozano"/>
    <n v="23"/>
    <x v="1"/>
    <s v="North Michaelfurt"/>
    <s v="Wisconsin"/>
    <s v="USA"/>
    <x v="4"/>
  </r>
  <r>
    <x v="407"/>
    <s v="Joseph Mendoza"/>
    <n v="33"/>
    <x v="0"/>
    <s v="Ashleymouth"/>
    <s v="Maryland"/>
    <s v="USA"/>
    <x v="4"/>
  </r>
  <r>
    <x v="408"/>
    <s v="Isabel Foster"/>
    <n v="36"/>
    <x v="0"/>
    <s v="Port Joshuaville"/>
    <s v="New Jersey"/>
    <s v="USA"/>
    <x v="4"/>
  </r>
  <r>
    <x v="409"/>
    <s v="Sarah Smith"/>
    <n v="55"/>
    <x v="0"/>
    <s v="Kathleenport"/>
    <s v="Wyoming"/>
    <s v="USA"/>
    <x v="4"/>
  </r>
  <r>
    <x v="410"/>
    <s v="Jackie Thompson"/>
    <n v="48"/>
    <x v="1"/>
    <s v="South Edwin"/>
    <s v="New Jersey"/>
    <s v="USA"/>
    <x v="2"/>
  </r>
  <r>
    <x v="411"/>
    <s v="Katrina Perez"/>
    <n v="63"/>
    <x v="0"/>
    <s v="West Rebecca"/>
    <s v="Ohio"/>
    <s v="USA"/>
    <x v="3"/>
  </r>
  <r>
    <x v="412"/>
    <s v="Shane Brown"/>
    <n v="23"/>
    <x v="1"/>
    <s v="East Andrea"/>
    <s v="Michigan"/>
    <s v="USA"/>
    <x v="4"/>
  </r>
  <r>
    <x v="413"/>
    <s v="Megan Ryan"/>
    <n v="59"/>
    <x v="1"/>
    <s v="Andrewsfurt"/>
    <s v="Idaho"/>
    <s v="USA"/>
    <x v="2"/>
  </r>
  <r>
    <x v="414"/>
    <s v="Melissa Valentine"/>
    <n v="35"/>
    <x v="1"/>
    <s v="East Patriciafort"/>
    <s v="Missouri"/>
    <s v="USA"/>
    <x v="4"/>
  </r>
  <r>
    <x v="415"/>
    <s v="Tyler Cook"/>
    <n v="26"/>
    <x v="1"/>
    <s v="Kramerview"/>
    <s v="Alaska"/>
    <s v="USA"/>
    <x v="3"/>
  </r>
  <r>
    <x v="416"/>
    <s v="Jennifer Myers"/>
    <n v="46"/>
    <x v="0"/>
    <s v="Marthaborough"/>
    <s v="Wisconsin"/>
    <s v="USA"/>
    <x v="1"/>
  </r>
  <r>
    <x v="417"/>
    <s v="Karen King"/>
    <n v="64"/>
    <x v="1"/>
    <s v="Kimburgh"/>
    <s v="North Carolina"/>
    <s v="USA"/>
    <x v="2"/>
  </r>
  <r>
    <x v="418"/>
    <s v="Luke Parks"/>
    <n v="60"/>
    <x v="1"/>
    <s v="West Mario"/>
    <s v="New Hampshire"/>
    <s v="USA"/>
    <x v="3"/>
  </r>
  <r>
    <x v="419"/>
    <s v="Monica Miller"/>
    <n v="33"/>
    <x v="0"/>
    <s v="Lake David"/>
    <s v="Mississippi"/>
    <s v="USA"/>
    <x v="4"/>
  </r>
  <r>
    <x v="420"/>
    <s v="Dr. Tamara White MD"/>
    <n v="60"/>
    <x v="0"/>
    <s v="New Benjamin"/>
    <s v="North Carolina"/>
    <s v="USA"/>
    <x v="2"/>
  </r>
  <r>
    <x v="421"/>
    <s v="Holly Robinson"/>
    <n v="45"/>
    <x v="1"/>
    <s v="East Amy"/>
    <s v="Washington"/>
    <s v="USA"/>
    <x v="1"/>
  </r>
  <r>
    <x v="422"/>
    <s v="Brittany Edwards DDS"/>
    <n v="42"/>
    <x v="1"/>
    <s v="Aliciahaven"/>
    <s v="Kansas"/>
    <s v="USA"/>
    <x v="1"/>
  </r>
  <r>
    <x v="423"/>
    <s v="Rebecca Baker"/>
    <n v="35"/>
    <x v="0"/>
    <s v="New Katherine"/>
    <s v="Kansas"/>
    <s v="USA"/>
    <x v="3"/>
  </r>
  <r>
    <x v="424"/>
    <s v="Edwin Barnes"/>
    <n v="53"/>
    <x v="0"/>
    <s v="Lake Alexandra"/>
    <s v="North Carolina"/>
    <s v="USA"/>
    <x v="2"/>
  </r>
  <r>
    <x v="425"/>
    <s v="Bryce Hawkins"/>
    <n v="40"/>
    <x v="0"/>
    <s v="Lake Monique"/>
    <s v="Utah"/>
    <s v="USA"/>
    <x v="2"/>
  </r>
  <r>
    <x v="426"/>
    <s v="Jeanette Nichols"/>
    <n v="28"/>
    <x v="0"/>
    <s v="Aguilarland"/>
    <s v="North Carolina"/>
    <s v="USA"/>
    <x v="1"/>
  </r>
  <r>
    <x v="427"/>
    <s v="Jose Stewart"/>
    <n v="18"/>
    <x v="1"/>
    <s v="South Robert"/>
    <s v="Maine"/>
    <s v="USA"/>
    <x v="4"/>
  </r>
  <r>
    <x v="428"/>
    <s v="Samuel Mullins"/>
    <n v="27"/>
    <x v="1"/>
    <s v="Hartmouth"/>
    <s v="Louisiana"/>
    <s v="USA"/>
    <x v="2"/>
  </r>
  <r>
    <x v="429"/>
    <s v="Sean Vang"/>
    <n v="43"/>
    <x v="0"/>
    <s v="Davidchester"/>
    <s v="Idaho"/>
    <s v="USA"/>
    <x v="1"/>
  </r>
  <r>
    <x v="430"/>
    <s v="Kimberly Roberts"/>
    <n v="36"/>
    <x v="1"/>
    <s v="Josephchester"/>
    <s v="New Jersey"/>
    <s v="USA"/>
    <x v="4"/>
  </r>
  <r>
    <x v="431"/>
    <s v="John Smith"/>
    <n v="27"/>
    <x v="0"/>
    <s v="South Andrewport"/>
    <s v="California"/>
    <s v="USA"/>
    <x v="1"/>
  </r>
  <r>
    <x v="432"/>
    <s v="Summer Weiss"/>
    <n v="37"/>
    <x v="0"/>
    <s v="Phyllisport"/>
    <s v="New Jersey"/>
    <s v="USA"/>
    <x v="2"/>
  </r>
  <r>
    <x v="433"/>
    <s v="Thomas Moore"/>
    <n v="51"/>
    <x v="1"/>
    <s v="Williamsberg"/>
    <s v="New York"/>
    <s v="USA"/>
    <x v="3"/>
  </r>
  <r>
    <x v="434"/>
    <s v="Monique Castro"/>
    <n v="48"/>
    <x v="1"/>
    <s v="New Sarah"/>
    <s v="Indiana"/>
    <s v="USA"/>
    <x v="4"/>
  </r>
  <r>
    <x v="435"/>
    <s v="Lindsay Beasley"/>
    <n v="37"/>
    <x v="1"/>
    <s v="Wesleyhaven"/>
    <s v="Idaho"/>
    <s v="USA"/>
    <x v="3"/>
  </r>
  <r>
    <x v="436"/>
    <s v="Sharon Simpson"/>
    <n v="61"/>
    <x v="0"/>
    <s v="South Michellebury"/>
    <s v="South Dakota"/>
    <s v="USA"/>
    <x v="4"/>
  </r>
  <r>
    <x v="437"/>
    <s v="Melinda Rivera"/>
    <n v="47"/>
    <x v="1"/>
    <s v="East Davidmouth"/>
    <s v="New Hampshire"/>
    <s v="USA"/>
    <x v="1"/>
  </r>
  <r>
    <x v="438"/>
    <s v="Monica Flynn"/>
    <n v="59"/>
    <x v="1"/>
    <s v="Amberburgh"/>
    <s v="Tennessee"/>
    <s v="USA"/>
    <x v="1"/>
  </r>
  <r>
    <x v="439"/>
    <s v="John Compton"/>
    <n v="53"/>
    <x v="0"/>
    <s v="North Daniel"/>
    <s v="Michigan"/>
    <s v="USA"/>
    <x v="3"/>
  </r>
  <r>
    <x v="440"/>
    <s v="Tammy Trevino"/>
    <n v="60"/>
    <x v="0"/>
    <s v="Justinberg"/>
    <s v="North Dakota"/>
    <s v="USA"/>
    <x v="3"/>
  </r>
  <r>
    <x v="441"/>
    <s v="Dalton Walters"/>
    <n v="31"/>
    <x v="0"/>
    <s v="Jonesstad"/>
    <s v="Wisconsin"/>
    <s v="USA"/>
    <x v="3"/>
  </r>
  <r>
    <x v="442"/>
    <s v="Kelli Smith"/>
    <n v="42"/>
    <x v="1"/>
    <s v="North Maryfort"/>
    <s v="Oregon"/>
    <s v="USA"/>
    <x v="2"/>
  </r>
  <r>
    <x v="443"/>
    <s v="Adam Castro"/>
    <n v="51"/>
    <x v="0"/>
    <s v="New Donnabury"/>
    <s v="Texas"/>
    <s v="USA"/>
    <x v="3"/>
  </r>
  <r>
    <x v="444"/>
    <s v="Cheryl Carr"/>
    <n v="19"/>
    <x v="0"/>
    <s v="Jessicaland"/>
    <s v="Wyoming"/>
    <s v="USA"/>
    <x v="4"/>
  </r>
  <r>
    <x v="445"/>
    <s v="Gene Lee"/>
    <n v="41"/>
    <x v="1"/>
    <s v="Mcfarlandmouth"/>
    <s v="Virginia"/>
    <s v="USA"/>
    <x v="1"/>
  </r>
  <r>
    <x v="446"/>
    <s v="Shannon Turner"/>
    <n v="35"/>
    <x v="0"/>
    <s v="West Jorge"/>
    <s v="Oklahoma"/>
    <s v="USA"/>
    <x v="3"/>
  </r>
  <r>
    <x v="447"/>
    <s v="Monica Wright"/>
    <n v="45"/>
    <x v="0"/>
    <s v="Paulside"/>
    <s v="North Carolina"/>
    <s v="USA"/>
    <x v="4"/>
  </r>
  <r>
    <x v="448"/>
    <s v="Eric Holmes"/>
    <n v="64"/>
    <x v="1"/>
    <s v="Smithville"/>
    <s v="Wyoming"/>
    <s v="USA"/>
    <x v="2"/>
  </r>
  <r>
    <x v="449"/>
    <s v="William Cortez"/>
    <n v="29"/>
    <x v="0"/>
    <s v="Port Hannahport"/>
    <s v="Ohio"/>
    <s v="USA"/>
    <x v="2"/>
  </r>
  <r>
    <x v="450"/>
    <s v="Shane Mills"/>
    <n v="59"/>
    <x v="0"/>
    <s v="Lake Meganstad"/>
    <s v="Nebraska"/>
    <s v="USA"/>
    <x v="2"/>
  </r>
  <r>
    <x v="451"/>
    <s v="Ashley Roberts"/>
    <n v="46"/>
    <x v="0"/>
    <s v="Josephmouth"/>
    <s v="New Mexico"/>
    <s v="USA"/>
    <x v="4"/>
  </r>
  <r>
    <x v="452"/>
    <s v="Jeffery Wolf"/>
    <n v="60"/>
    <x v="1"/>
    <s v="New Laura"/>
    <s v="Mississippi"/>
    <s v="USA"/>
    <x v="2"/>
  </r>
  <r>
    <x v="453"/>
    <s v="April Phillips"/>
    <n v="62"/>
    <x v="1"/>
    <s v="Lake Carolyn"/>
    <s v="Hawaii"/>
    <s v="USA"/>
    <x v="1"/>
  </r>
  <r>
    <x v="454"/>
    <s v="John Berg"/>
    <n v="60"/>
    <x v="0"/>
    <s v="Johnsonville"/>
    <s v="Oklahoma"/>
    <s v="USA"/>
    <x v="4"/>
  </r>
  <r>
    <x v="455"/>
    <s v="Tyler Weber"/>
    <n v="54"/>
    <x v="0"/>
    <s v="East Yvette"/>
    <s v="Illinois"/>
    <s v="USA"/>
    <x v="4"/>
  </r>
  <r>
    <x v="456"/>
    <s v="Julie Powell"/>
    <n v="59"/>
    <x v="1"/>
    <s v="South Barbara"/>
    <s v="Arkansas"/>
    <s v="USA"/>
    <x v="4"/>
  </r>
  <r>
    <x v="457"/>
    <s v="Christina Robertson"/>
    <n v="59"/>
    <x v="0"/>
    <s v="Hubbardborough"/>
    <s v="Kentucky"/>
    <s v="USA"/>
    <x v="1"/>
  </r>
  <r>
    <x v="458"/>
    <s v="Kelly Garrett"/>
    <n v="62"/>
    <x v="1"/>
    <s v="Port Taylorberg"/>
    <s v="Pennsylvania"/>
    <s v="USA"/>
    <x v="3"/>
  </r>
  <r>
    <x v="459"/>
    <s v="John Perez"/>
    <n v="29"/>
    <x v="1"/>
    <s v="Brandontown"/>
    <s v="South Carolina"/>
    <s v="USA"/>
    <x v="4"/>
  </r>
  <r>
    <x v="460"/>
    <s v="Justin Johnson"/>
    <n v="35"/>
    <x v="0"/>
    <s v="Hughesview"/>
    <s v="Iowa"/>
    <s v="USA"/>
    <x v="4"/>
  </r>
  <r>
    <x v="461"/>
    <s v="Paul Cox"/>
    <n v="60"/>
    <x v="1"/>
    <s v="East Julie"/>
    <s v="Kansas"/>
    <s v="USA"/>
    <x v="3"/>
  </r>
  <r>
    <x v="462"/>
    <s v="Beth Martin"/>
    <n v="34"/>
    <x v="1"/>
    <s v="Burkefurt"/>
    <s v="West Virginia"/>
    <s v="USA"/>
    <x v="3"/>
  </r>
  <r>
    <x v="463"/>
    <s v="Samantha Lee"/>
    <n v="36"/>
    <x v="1"/>
    <s v="Port Anthony"/>
    <s v="Connecticut"/>
    <s v="USA"/>
    <x v="2"/>
  </r>
  <r>
    <x v="464"/>
    <s v="David Pierce"/>
    <n v="45"/>
    <x v="1"/>
    <s v="Grayland"/>
    <s v="Washington"/>
    <s v="USA"/>
    <x v="1"/>
  </r>
  <r>
    <x v="465"/>
    <s v="Ronald Ross"/>
    <n v="28"/>
    <x v="1"/>
    <s v="Hartmanside"/>
    <s v="North Carolina"/>
    <s v="USA"/>
    <x v="3"/>
  </r>
  <r>
    <x v="466"/>
    <s v="Cynthia Parrish"/>
    <n v="18"/>
    <x v="0"/>
    <s v="Espinozaberg"/>
    <s v="Minnesota"/>
    <s v="USA"/>
    <x v="3"/>
  </r>
  <r>
    <x v="467"/>
    <s v="Michael Foley"/>
    <n v="63"/>
    <x v="1"/>
    <s v="Oneillfurt"/>
    <s v="Vermont"/>
    <s v="USA"/>
    <x v="4"/>
  </r>
  <r>
    <x v="468"/>
    <s v="Gregory Curtis"/>
    <n v="45"/>
    <x v="0"/>
    <s v="Bergermouth"/>
    <s v="Vermont"/>
    <s v="USA"/>
    <x v="2"/>
  </r>
  <r>
    <x v="469"/>
    <s v="James Foster"/>
    <n v="19"/>
    <x v="0"/>
    <s v="East Audrey"/>
    <s v="Utah"/>
    <s v="USA"/>
    <x v="4"/>
  </r>
  <r>
    <x v="470"/>
    <s v="Manuel Fisher"/>
    <n v="21"/>
    <x v="1"/>
    <s v="Kanebury"/>
    <s v="New Hampshire"/>
    <s v="USA"/>
    <x v="4"/>
  </r>
  <r>
    <x v="471"/>
    <s v="Debra Mccullough"/>
    <n v="42"/>
    <x v="0"/>
    <s v="Mcdanielfurt"/>
    <s v="Montana"/>
    <s v="USA"/>
    <x v="1"/>
  </r>
  <r>
    <x v="472"/>
    <s v="Philip Mendoza"/>
    <n v="42"/>
    <x v="0"/>
    <s v="Tylermouth"/>
    <s v="Massachusetts"/>
    <s v="USA"/>
    <x v="3"/>
  </r>
  <r>
    <x v="473"/>
    <s v="Laura Mathews"/>
    <n v="53"/>
    <x v="0"/>
    <s v="Chambersfurt"/>
    <s v="Wisconsin"/>
    <s v="USA"/>
    <x v="2"/>
  </r>
  <r>
    <x v="474"/>
    <s v="Joshua Howard"/>
    <n v="32"/>
    <x v="1"/>
    <s v="East Christopherhaven"/>
    <s v="South Dakota"/>
    <s v="USA"/>
    <x v="1"/>
  </r>
  <r>
    <x v="475"/>
    <s v="Barbara Berry"/>
    <n v="18"/>
    <x v="1"/>
    <s v="Lake Michael"/>
    <s v="Vermont"/>
    <s v="USA"/>
    <x v="1"/>
  </r>
  <r>
    <x v="476"/>
    <s v="Elizabeth Foster"/>
    <n v="33"/>
    <x v="1"/>
    <s v="Anthonymouth"/>
    <s v="Oklahoma"/>
    <s v="USA"/>
    <x v="4"/>
  </r>
  <r>
    <x v="477"/>
    <s v="Andrea Harris"/>
    <n v="41"/>
    <x v="1"/>
    <s v="West Kelseyberg"/>
    <s v="Kansas"/>
    <s v="USA"/>
    <x v="1"/>
  </r>
  <r>
    <x v="478"/>
    <s v="Earl Smith DDS"/>
    <n v="59"/>
    <x v="0"/>
    <s v="West Sarah"/>
    <s v="South Dakota"/>
    <s v="USA"/>
    <x v="4"/>
  </r>
  <r>
    <x v="479"/>
    <s v="Dylan Gutierrez"/>
    <n v="40"/>
    <x v="0"/>
    <s v="New Jamesview"/>
    <s v="West Virginia"/>
    <s v="USA"/>
    <x v="2"/>
  </r>
  <r>
    <x v="480"/>
    <s v="Jordan Medina"/>
    <n v="33"/>
    <x v="0"/>
    <s v="Robinchester"/>
    <s v="Florida"/>
    <s v="USA"/>
    <x v="2"/>
  </r>
  <r>
    <x v="481"/>
    <s v="Bryan Tran"/>
    <n v="21"/>
    <x v="0"/>
    <s v="Kelseybury"/>
    <s v="Georgia"/>
    <s v="USA"/>
    <x v="4"/>
  </r>
  <r>
    <x v="482"/>
    <s v="Sheri Joyce"/>
    <n v="26"/>
    <x v="0"/>
    <s v="West Tylerfort"/>
    <s v="Kentucky"/>
    <s v="USA"/>
    <x v="1"/>
  </r>
  <r>
    <x v="483"/>
    <s v="Sarah Smith"/>
    <n v="48"/>
    <x v="0"/>
    <s v="East Rodney"/>
    <s v="Nevada"/>
    <s v="USA"/>
    <x v="4"/>
  </r>
  <r>
    <x v="484"/>
    <s v="Jessica Castro"/>
    <n v="32"/>
    <x v="0"/>
    <s v="West Markton"/>
    <s v="Massachusetts"/>
    <s v="USA"/>
    <x v="2"/>
  </r>
  <r>
    <x v="485"/>
    <s v="Sara Ingram"/>
    <n v="46"/>
    <x v="1"/>
    <s v="East Dillonview"/>
    <s v="Virginia"/>
    <s v="USA"/>
    <x v="2"/>
  </r>
  <r>
    <x v="486"/>
    <s v="Eric Lee"/>
    <n v="22"/>
    <x v="1"/>
    <s v="Lake April"/>
    <s v="Vermont"/>
    <s v="USA"/>
    <x v="2"/>
  </r>
  <r>
    <x v="487"/>
    <s v="Amanda Medina"/>
    <n v="36"/>
    <x v="1"/>
    <s v="East Patriciastad"/>
    <s v="Utah"/>
    <s v="USA"/>
    <x v="1"/>
  </r>
  <r>
    <x v="488"/>
    <s v="Zachary Andrade"/>
    <n v="23"/>
    <x v="1"/>
    <s v="South Davidport"/>
    <s v="California"/>
    <s v="USA"/>
    <x v="1"/>
  </r>
  <r>
    <x v="489"/>
    <s v="Melinda Thomas"/>
    <n v="42"/>
    <x v="1"/>
    <s v="Lake Elizabethside"/>
    <s v="Indiana"/>
    <s v="USA"/>
    <x v="3"/>
  </r>
  <r>
    <x v="490"/>
    <s v="Scott Harris"/>
    <n v="23"/>
    <x v="0"/>
    <s v="North Nataliemouth"/>
    <s v="Maryland"/>
    <s v="USA"/>
    <x v="1"/>
  </r>
  <r>
    <x v="491"/>
    <s v="Kaitlin Brown"/>
    <n v="52"/>
    <x v="1"/>
    <s v="Kellyberg"/>
    <s v="South Dakota"/>
    <s v="USA"/>
    <x v="4"/>
  </r>
  <r>
    <x v="492"/>
    <s v="Darrell Miller"/>
    <n v="59"/>
    <x v="1"/>
    <s v="Port Carol"/>
    <s v="Florida"/>
    <s v="USA"/>
    <x v="1"/>
  </r>
  <r>
    <x v="493"/>
    <s v="Amanda Powell"/>
    <n v="28"/>
    <x v="0"/>
    <s v="South William"/>
    <s v="Alabama"/>
    <s v="USA"/>
    <x v="3"/>
  </r>
  <r>
    <x v="494"/>
    <s v="Justin Lopez"/>
    <n v="21"/>
    <x v="0"/>
    <s v="Port Cheryl"/>
    <s v="Texas"/>
    <s v="USA"/>
    <x v="4"/>
  </r>
  <r>
    <x v="495"/>
    <s v="James Berger"/>
    <n v="23"/>
    <x v="1"/>
    <s v="Bryanmouth"/>
    <s v="Delaware"/>
    <s v="USA"/>
    <x v="2"/>
  </r>
  <r>
    <x v="496"/>
    <s v="Christopher Ford"/>
    <n v="56"/>
    <x v="0"/>
    <s v="North Seanfurt"/>
    <s v="Ohio"/>
    <s v="USA"/>
    <x v="2"/>
  </r>
  <r>
    <x v="497"/>
    <s v="Sarah Marsh"/>
    <n v="47"/>
    <x v="1"/>
    <s v="Port William"/>
    <s v="New York"/>
    <s v="USA"/>
    <x v="4"/>
  </r>
  <r>
    <x v="498"/>
    <s v="Traci Gonzalez"/>
    <n v="35"/>
    <x v="0"/>
    <s v="Snyderfurt"/>
    <s v="New Mexico"/>
    <s v="USA"/>
    <x v="3"/>
  </r>
  <r>
    <x v="499"/>
    <s v="Philip Pennington"/>
    <n v="27"/>
    <x v="1"/>
    <s v="East Valerieview"/>
    <s v="Oregon"/>
    <s v="USA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776F4-2EAC-42DC-A425-3AD57EFFD6D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623" firstHeaderRow="1" firstDataRow="1" firstDataCol="1"/>
  <pivotFields count="8">
    <pivotField dataField="1" showAll="0" defaultSubtota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</items>
    </pivotField>
    <pivotField showAll="0" defaultSubtotal="0">
      <items count="498">
        <item x="279"/>
        <item x="443"/>
        <item x="17"/>
        <item x="272"/>
        <item x="222"/>
        <item x="394"/>
        <item x="324"/>
        <item x="396"/>
        <item x="226"/>
        <item x="59"/>
        <item x="485"/>
        <item x="491"/>
        <item x="26"/>
        <item x="6"/>
        <item x="67"/>
        <item x="95"/>
        <item x="109"/>
        <item x="171"/>
        <item x="476"/>
        <item x="197"/>
        <item x="71"/>
        <item x="384"/>
        <item x="325"/>
        <item x="306"/>
        <item x="341"/>
        <item x="200"/>
        <item x="195"/>
        <item x="224"/>
        <item x="116"/>
        <item x="210"/>
        <item x="280"/>
        <item x="167"/>
        <item x="48"/>
        <item x="453"/>
        <item x="276"/>
        <item x="358"/>
        <item x="14"/>
        <item x="194"/>
        <item x="110"/>
        <item x="451"/>
        <item x="474"/>
        <item x="259"/>
        <item x="461"/>
        <item x="212"/>
        <item x="365"/>
        <item x="395"/>
        <item x="307"/>
        <item x="185"/>
        <item x="159"/>
        <item x="270"/>
        <item x="243"/>
        <item x="139"/>
        <item x="11"/>
        <item x="20"/>
        <item x="422"/>
        <item x="281"/>
        <item x="98"/>
        <item x="283"/>
        <item x="480"/>
        <item x="425"/>
        <item x="145"/>
        <item x="355"/>
        <item x="143"/>
        <item x="199"/>
        <item x="261"/>
        <item x="337"/>
        <item x="4"/>
        <item x="228"/>
        <item x="319"/>
        <item x="402"/>
        <item x="377"/>
        <item x="350"/>
        <item x="397"/>
        <item x="290"/>
        <item x="444"/>
        <item x="58"/>
        <item x="364"/>
        <item x="202"/>
        <item x="457"/>
        <item x="5"/>
        <item x="73"/>
        <item x="37"/>
        <item x="257"/>
        <item x="494"/>
        <item x="170"/>
        <item x="104"/>
        <item x="34"/>
        <item x="190"/>
        <item x="56"/>
        <item x="232"/>
        <item x="84"/>
        <item x="93"/>
        <item x="78"/>
        <item x="66"/>
        <item x="101"/>
        <item x="117"/>
        <item x="141"/>
        <item x="263"/>
        <item x="295"/>
        <item x="155"/>
        <item x="177"/>
        <item x="389"/>
        <item x="161"/>
        <item x="465"/>
        <item x="266"/>
        <item x="287"/>
        <item x="271"/>
        <item x="441"/>
        <item x="255"/>
        <item x="189"/>
        <item x="390"/>
        <item x="7"/>
        <item x="168"/>
        <item x="345"/>
        <item x="164"/>
        <item x="490"/>
        <item x="321"/>
        <item x="29"/>
        <item x="97"/>
        <item x="112"/>
        <item x="406"/>
        <item x="94"/>
        <item x="463"/>
        <item x="193"/>
        <item x="404"/>
        <item x="38"/>
        <item x="52"/>
        <item x="470"/>
        <item x="149"/>
        <item x="360"/>
        <item x="44"/>
        <item x="25"/>
        <item x="100"/>
        <item x="10"/>
        <item x="124"/>
        <item x="91"/>
        <item x="285"/>
        <item x="247"/>
        <item x="253"/>
        <item x="2"/>
        <item x="60"/>
        <item x="332"/>
        <item x="187"/>
        <item x="420"/>
        <item x="478"/>
        <item x="118"/>
        <item x="477"/>
        <item x="302"/>
        <item x="113"/>
        <item x="146"/>
        <item x="424"/>
        <item x="475"/>
        <item x="314"/>
        <item x="313"/>
        <item x="363"/>
        <item x="225"/>
        <item x="374"/>
        <item x="340"/>
        <item x="448"/>
        <item x="484"/>
        <item x="70"/>
        <item x="214"/>
        <item x="40"/>
        <item x="405"/>
        <item x="107"/>
        <item x="381"/>
        <item x="123"/>
        <item x="181"/>
        <item x="1"/>
        <item x="344"/>
        <item x="378"/>
        <item x="445"/>
        <item x="220"/>
        <item x="82"/>
        <item x="47"/>
        <item x="293"/>
        <item x="369"/>
        <item x="467"/>
        <item x="227"/>
        <item x="133"/>
        <item x="24"/>
        <item x="349"/>
        <item x="391"/>
        <item x="421"/>
        <item x="106"/>
        <item x="284"/>
        <item x="408"/>
        <item x="410"/>
        <item x="120"/>
        <item x="192"/>
        <item x="372"/>
        <item x="207"/>
        <item x="392"/>
        <item x="62"/>
        <item x="493"/>
        <item x="468"/>
        <item x="41"/>
        <item x="370"/>
        <item x="373"/>
        <item x="291"/>
        <item x="126"/>
        <item x="130"/>
        <item x="89"/>
        <item x="296"/>
        <item x="338"/>
        <item x="312"/>
        <item x="165"/>
        <item x="57"/>
        <item x="426"/>
        <item x="21"/>
        <item x="452"/>
        <item x="277"/>
        <item x="351"/>
        <item x="297"/>
        <item x="289"/>
        <item x="80"/>
        <item x="398"/>
        <item x="416"/>
        <item x="186"/>
        <item x="335"/>
        <item x="308"/>
        <item x="3"/>
        <item x="30"/>
        <item x="482"/>
        <item x="320"/>
        <item x="129"/>
        <item x="209"/>
        <item x="121"/>
        <item x="454"/>
        <item x="176"/>
        <item x="439"/>
        <item x="399"/>
        <item x="336"/>
        <item x="346"/>
        <item x="160"/>
        <item x="74"/>
        <item x="252"/>
        <item x="127"/>
        <item x="208"/>
        <item x="16"/>
        <item x="303"/>
        <item x="431"/>
        <item x="235"/>
        <item x="23"/>
        <item x="45"/>
        <item x="479"/>
        <item x="219"/>
        <item x="427"/>
        <item x="153"/>
        <item x="163"/>
        <item x="407"/>
        <item x="131"/>
        <item x="43"/>
        <item x="375"/>
        <item x="473"/>
        <item x="28"/>
        <item x="362"/>
        <item x="236"/>
        <item x="218"/>
        <item x="111"/>
        <item x="154"/>
        <item x="456"/>
        <item x="144"/>
        <item x="403"/>
        <item x="459"/>
        <item x="492"/>
        <item x="347"/>
        <item x="489"/>
        <item x="310"/>
        <item x="417"/>
        <item x="262"/>
        <item x="54"/>
        <item x="77"/>
        <item x="216"/>
        <item x="217"/>
        <item x="411"/>
        <item x="125"/>
        <item x="442"/>
        <item x="458"/>
        <item x="12"/>
        <item x="311"/>
        <item x="268"/>
        <item x="188"/>
        <item x="430"/>
        <item x="256"/>
        <item x="282"/>
        <item x="61"/>
        <item x="383"/>
        <item x="323"/>
        <item x="81"/>
        <item x="105"/>
        <item x="15"/>
        <item x="353"/>
        <item x="472"/>
        <item x="245"/>
        <item x="249"/>
        <item x="184"/>
        <item x="27"/>
        <item x="254"/>
        <item x="435"/>
        <item x="294"/>
        <item x="221"/>
        <item x="418"/>
        <item x="318"/>
        <item x="366"/>
        <item x="357"/>
        <item x="469"/>
        <item x="174"/>
        <item x="239"/>
        <item x="331"/>
        <item x="142"/>
        <item x="156"/>
        <item x="162"/>
        <item x="328"/>
        <item x="183"/>
        <item x="400"/>
        <item x="382"/>
        <item x="201"/>
        <item x="246"/>
        <item x="300"/>
        <item x="135"/>
        <item x="50"/>
        <item x="264"/>
        <item x="196"/>
        <item x="413"/>
        <item x="359"/>
        <item x="386"/>
        <item x="367"/>
        <item x="437"/>
        <item x="487"/>
        <item x="87"/>
        <item x="182"/>
        <item x="8"/>
        <item x="414"/>
        <item x="122"/>
        <item x="63"/>
        <item x="151"/>
        <item x="466"/>
        <item x="371"/>
        <item x="352"/>
        <item x="119"/>
        <item x="393"/>
        <item x="65"/>
        <item x="19"/>
        <item x="376"/>
        <item x="205"/>
        <item x="342"/>
        <item x="46"/>
        <item x="233"/>
        <item x="178"/>
        <item x="175"/>
        <item x="132"/>
        <item x="32"/>
        <item x="368"/>
        <item x="304"/>
        <item x="288"/>
        <item x="79"/>
        <item x="438"/>
        <item x="419"/>
        <item x="447"/>
        <item x="434"/>
        <item x="134"/>
        <item x="334"/>
        <item x="68"/>
        <item x="64"/>
        <item x="241"/>
        <item x="339"/>
        <item x="9"/>
        <item x="244"/>
        <item x="361"/>
        <item x="76"/>
        <item x="13"/>
        <item x="234"/>
        <item x="179"/>
        <item x="248"/>
        <item x="90"/>
        <item x="330"/>
        <item x="166"/>
        <item x="136"/>
        <item x="152"/>
        <item x="140"/>
        <item x="460"/>
        <item x="22"/>
        <item x="157"/>
        <item x="471"/>
        <item x="497"/>
        <item x="35"/>
        <item x="423"/>
        <item x="327"/>
        <item x="75"/>
        <item x="18"/>
        <item x="147"/>
        <item x="292"/>
        <item x="85"/>
        <item x="137"/>
        <item x="223"/>
        <item x="316"/>
        <item x="92"/>
        <item x="33"/>
        <item x="326"/>
        <item x="305"/>
        <item x="211"/>
        <item x="206"/>
        <item x="464"/>
        <item x="69"/>
        <item x="260"/>
        <item x="114"/>
        <item x="301"/>
        <item x="343"/>
        <item x="354"/>
        <item x="462"/>
        <item x="273"/>
        <item x="96"/>
        <item x="322"/>
        <item x="428"/>
        <item x="483"/>
        <item x="203"/>
        <item x="274"/>
        <item x="495"/>
        <item x="51"/>
        <item x="102"/>
        <item x="409"/>
        <item x="258"/>
        <item x="31"/>
        <item x="488"/>
        <item x="158"/>
        <item x="138"/>
        <item x="429"/>
        <item x="412"/>
        <item x="450"/>
        <item x="275"/>
        <item x="446"/>
        <item x="53"/>
        <item x="436"/>
        <item x="0"/>
        <item x="99"/>
        <item x="380"/>
        <item x="481"/>
        <item x="348"/>
        <item x="309"/>
        <item x="150"/>
        <item x="299"/>
        <item x="278"/>
        <item x="356"/>
        <item x="169"/>
        <item x="215"/>
        <item x="238"/>
        <item x="103"/>
        <item x="213"/>
        <item x="432"/>
        <item x="128"/>
        <item x="385"/>
        <item x="86"/>
        <item x="440"/>
        <item x="229"/>
        <item x="379"/>
        <item x="333"/>
        <item x="173"/>
        <item x="401"/>
        <item x="148"/>
        <item x="433"/>
        <item x="36"/>
        <item x="172"/>
        <item x="83"/>
        <item x="204"/>
        <item x="317"/>
        <item x="387"/>
        <item x="231"/>
        <item x="230"/>
        <item x="388"/>
        <item x="49"/>
        <item x="88"/>
        <item x="191"/>
        <item x="286"/>
        <item x="72"/>
        <item x="39"/>
        <item x="496"/>
        <item x="265"/>
        <item x="298"/>
        <item x="108"/>
        <item x="115"/>
        <item x="415"/>
        <item x="251"/>
        <item x="455"/>
        <item x="269"/>
        <item x="250"/>
        <item x="329"/>
        <item x="198"/>
        <item x="55"/>
        <item x="237"/>
        <item x="180"/>
        <item x="449"/>
        <item x="240"/>
        <item x="242"/>
        <item x="42"/>
        <item x="315"/>
        <item x="486"/>
        <item x="267"/>
      </items>
    </pivotField>
    <pivotField axis="axisRow" multipleItemSelectionAllowed="1" showAll="0" defaultSubtotal="0">
      <items count="47">
        <item x="17"/>
        <item x="28"/>
        <item x="24"/>
        <item x="27"/>
        <item x="36"/>
        <item x="32"/>
        <item x="5"/>
        <item x="23"/>
        <item x="1"/>
        <item x="19"/>
        <item x="7"/>
        <item x="2"/>
        <item x="41"/>
        <item x="18"/>
        <item x="8"/>
        <item x="14"/>
        <item x="30"/>
        <item x="25"/>
        <item x="13"/>
        <item x="33"/>
        <item x="42"/>
        <item x="38"/>
        <item x="16"/>
        <item x="21"/>
        <item x="45"/>
        <item x="11"/>
        <item x="39"/>
        <item x="29"/>
        <item x="12"/>
        <item x="46"/>
        <item x="22"/>
        <item x="9"/>
        <item x="26"/>
        <item x="35"/>
        <item x="15"/>
        <item x="6"/>
        <item x="20"/>
        <item x="0"/>
        <item x="34"/>
        <item x="43"/>
        <item x="37"/>
        <item x="3"/>
        <item x="10"/>
        <item x="31"/>
        <item x="40"/>
        <item x="44"/>
        <item x="4"/>
      </items>
    </pivotField>
    <pivotField axis="axisRow" showAll="0" defaultSubtotal="0">
      <items count="2">
        <item x="1"/>
        <item x="0"/>
      </items>
    </pivotField>
    <pivotField showAll="0" defaultSubtotal="0"/>
    <pivotField axis="axisRow" showAll="0" defaultSubtotal="0">
      <items count="50">
        <item x="2"/>
        <item x="26"/>
        <item x="23"/>
        <item x="40"/>
        <item x="4"/>
        <item x="38"/>
        <item x="27"/>
        <item x="17"/>
        <item x="35"/>
        <item x="15"/>
        <item x="19"/>
        <item x="20"/>
        <item x="30"/>
        <item x="36"/>
        <item x="37"/>
        <item x="11"/>
        <item x="47"/>
        <item x="44"/>
        <item x="46"/>
        <item x="24"/>
        <item x="48"/>
        <item x="25"/>
        <item x="31"/>
        <item x="41"/>
        <item x="21"/>
        <item x="12"/>
        <item x="13"/>
        <item x="29"/>
        <item x="8"/>
        <item x="16"/>
        <item x="33"/>
        <item x="10"/>
        <item x="0"/>
        <item x="1"/>
        <item x="3"/>
        <item x="18"/>
        <item x="5"/>
        <item x="9"/>
        <item x="32"/>
        <item x="42"/>
        <item x="6"/>
        <item x="34"/>
        <item x="45"/>
        <item x="22"/>
        <item x="28"/>
        <item x="39"/>
        <item x="14"/>
        <item x="7"/>
        <item x="43"/>
        <item x="49"/>
      </items>
    </pivotField>
    <pivotField showAll="0" defaultSubtotal="0"/>
    <pivotField showAll="0" defaultSubtotal="0"/>
  </pivotFields>
  <rowFields count="3">
    <field x="5"/>
    <field x="3"/>
    <field x="2"/>
  </rowFields>
  <rowItems count="620">
    <i>
      <x/>
    </i>
    <i r="1">
      <x/>
    </i>
    <i r="2">
      <x v="11"/>
    </i>
    <i r="2">
      <x v="16"/>
    </i>
    <i r="2">
      <x v="22"/>
    </i>
    <i r="2">
      <x v="38"/>
    </i>
    <i r="2">
      <x v="42"/>
    </i>
    <i r="1">
      <x v="1"/>
    </i>
    <i r="2">
      <x v="10"/>
    </i>
    <i r="2">
      <x v="28"/>
    </i>
    <i r="2">
      <x v="32"/>
    </i>
    <i r="2">
      <x v="46"/>
    </i>
    <i>
      <x v="1"/>
    </i>
    <i r="1">
      <x/>
    </i>
    <i r="2">
      <x/>
    </i>
    <i r="2">
      <x v="4"/>
    </i>
    <i r="2">
      <x v="8"/>
    </i>
    <i r="2">
      <x v="31"/>
    </i>
    <i r="2">
      <x v="45"/>
    </i>
    <i r="1">
      <x v="1"/>
    </i>
    <i r="2">
      <x v="3"/>
    </i>
    <i r="2">
      <x v="6"/>
    </i>
    <i r="2">
      <x v="13"/>
    </i>
    <i r="2">
      <x v="16"/>
    </i>
    <i r="2">
      <x v="36"/>
    </i>
    <i r="2">
      <x v="42"/>
    </i>
    <i>
      <x v="2"/>
    </i>
    <i r="1">
      <x/>
    </i>
    <i r="2">
      <x/>
    </i>
    <i r="2">
      <x v="11"/>
    </i>
    <i r="2">
      <x v="16"/>
    </i>
    <i r="2">
      <x v="30"/>
    </i>
    <i r="2">
      <x v="34"/>
    </i>
    <i r="2">
      <x v="44"/>
    </i>
    <i r="2">
      <x v="45"/>
    </i>
    <i r="1">
      <x v="1"/>
    </i>
    <i r="2">
      <x v="15"/>
    </i>
    <i r="2">
      <x v="18"/>
    </i>
    <i r="2">
      <x v="36"/>
    </i>
    <i r="2">
      <x v="40"/>
    </i>
    <i r="2">
      <x v="42"/>
    </i>
    <i>
      <x v="3"/>
    </i>
    <i r="1">
      <x/>
    </i>
    <i r="2">
      <x v="4"/>
    </i>
    <i r="2">
      <x v="41"/>
    </i>
    <i r="1">
      <x v="1"/>
    </i>
    <i r="2">
      <x v="16"/>
    </i>
    <i r="2">
      <x v="27"/>
    </i>
    <i r="2">
      <x v="38"/>
    </i>
    <i r="2">
      <x v="39"/>
    </i>
    <i r="2">
      <x v="40"/>
    </i>
    <i>
      <x v="4"/>
    </i>
    <i r="1">
      <x/>
    </i>
    <i r="2">
      <x v="2"/>
    </i>
    <i r="2">
      <x v="5"/>
    </i>
    <i r="2">
      <x v="23"/>
    </i>
    <i r="2">
      <x v="27"/>
    </i>
    <i r="2">
      <x v="30"/>
    </i>
    <i r="2">
      <x v="36"/>
    </i>
    <i r="2">
      <x v="41"/>
    </i>
    <i r="2">
      <x v="43"/>
    </i>
    <i r="2">
      <x v="46"/>
    </i>
    <i r="1">
      <x v="1"/>
    </i>
    <i r="2">
      <x v="9"/>
    </i>
    <i r="2">
      <x v="12"/>
    </i>
    <i r="2">
      <x v="26"/>
    </i>
    <i r="2">
      <x v="28"/>
    </i>
    <i>
      <x v="5"/>
    </i>
    <i r="1">
      <x/>
    </i>
    <i r="2">
      <x v="4"/>
    </i>
    <i r="1">
      <x v="1"/>
    </i>
    <i r="2">
      <x v="9"/>
    </i>
    <i r="2">
      <x v="40"/>
    </i>
    <i>
      <x v="6"/>
    </i>
    <i r="1">
      <x/>
    </i>
    <i r="2">
      <x v="12"/>
    </i>
    <i r="2">
      <x v="18"/>
    </i>
    <i r="2">
      <x v="21"/>
    </i>
    <i r="2">
      <x v="25"/>
    </i>
    <i r="2">
      <x v="28"/>
    </i>
    <i r="2">
      <x v="32"/>
    </i>
    <i r="2">
      <x v="40"/>
    </i>
    <i r="1">
      <x v="1"/>
    </i>
    <i r="2">
      <x v="1"/>
    </i>
    <i r="2">
      <x v="3"/>
    </i>
    <i r="2">
      <x v="11"/>
    </i>
    <i r="2">
      <x v="12"/>
    </i>
    <i r="2">
      <x v="20"/>
    </i>
    <i r="2">
      <x v="36"/>
    </i>
    <i r="2">
      <x v="40"/>
    </i>
    <i r="2">
      <x v="41"/>
    </i>
    <i>
      <x v="7"/>
    </i>
    <i r="1">
      <x/>
    </i>
    <i r="2">
      <x v="2"/>
    </i>
    <i r="2">
      <x v="5"/>
    </i>
    <i r="2">
      <x v="10"/>
    </i>
    <i r="2">
      <x v="26"/>
    </i>
    <i r="2">
      <x v="29"/>
    </i>
    <i r="1">
      <x v="1"/>
    </i>
    <i r="2">
      <x v="30"/>
    </i>
    <i r="2">
      <x v="41"/>
    </i>
    <i>
      <x v="8"/>
    </i>
    <i r="1">
      <x/>
    </i>
    <i r="2">
      <x v="18"/>
    </i>
    <i r="2">
      <x v="32"/>
    </i>
    <i r="2">
      <x v="41"/>
    </i>
    <i r="2">
      <x v="44"/>
    </i>
    <i r="1">
      <x v="1"/>
    </i>
    <i r="2">
      <x v="11"/>
    </i>
    <i r="2">
      <x v="15"/>
    </i>
    <i r="2">
      <x v="35"/>
    </i>
    <i r="2">
      <x v="40"/>
    </i>
    <i>
      <x v="9"/>
    </i>
    <i r="1">
      <x/>
    </i>
    <i r="2">
      <x v="2"/>
    </i>
    <i r="2">
      <x v="21"/>
    </i>
    <i r="2">
      <x v="30"/>
    </i>
    <i r="2">
      <x v="42"/>
    </i>
    <i r="2">
      <x v="46"/>
    </i>
    <i r="1">
      <x v="1"/>
    </i>
    <i r="2">
      <x v="3"/>
    </i>
    <i r="2">
      <x v="20"/>
    </i>
    <i r="2">
      <x v="30"/>
    </i>
    <i r="2">
      <x v="46"/>
    </i>
    <i>
      <x v="10"/>
    </i>
    <i r="1">
      <x/>
    </i>
    <i r="2">
      <x v="15"/>
    </i>
    <i r="2">
      <x v="16"/>
    </i>
    <i r="2">
      <x v="44"/>
    </i>
    <i r="1">
      <x v="1"/>
    </i>
    <i r="2">
      <x v="16"/>
    </i>
    <i r="2">
      <x v="30"/>
    </i>
    <i r="2">
      <x v="38"/>
    </i>
    <i r="2">
      <x v="42"/>
    </i>
    <i r="2">
      <x v="44"/>
    </i>
    <i>
      <x v="11"/>
    </i>
    <i r="1">
      <x/>
    </i>
    <i r="2">
      <x v="19"/>
    </i>
    <i r="2">
      <x v="41"/>
    </i>
    <i r="1">
      <x v="1"/>
    </i>
    <i r="2">
      <x v="8"/>
    </i>
    <i r="2">
      <x v="22"/>
    </i>
    <i r="2">
      <x v="25"/>
    </i>
    <i>
      <x v="12"/>
    </i>
    <i r="1">
      <x/>
    </i>
    <i r="2">
      <x v="29"/>
    </i>
    <i r="2">
      <x v="38"/>
    </i>
    <i r="2">
      <x v="43"/>
    </i>
    <i r="1">
      <x v="1"/>
    </i>
    <i r="2">
      <x v="3"/>
    </i>
    <i r="2">
      <x v="8"/>
    </i>
    <i r="2">
      <x v="36"/>
    </i>
    <i>
      <x v="13"/>
    </i>
    <i r="1">
      <x/>
    </i>
    <i r="2">
      <x v="6"/>
    </i>
    <i r="2">
      <x v="8"/>
    </i>
    <i r="2">
      <x v="24"/>
    </i>
    <i r="2">
      <x v="26"/>
    </i>
    <i r="2">
      <x v="30"/>
    </i>
    <i r="1">
      <x v="1"/>
    </i>
    <i r="2">
      <x v="27"/>
    </i>
    <i r="2">
      <x v="28"/>
    </i>
    <i r="2">
      <x v="46"/>
    </i>
    <i>
      <x v="14"/>
    </i>
    <i r="1">
      <x/>
    </i>
    <i r="2">
      <x v="16"/>
    </i>
    <i r="2">
      <x v="21"/>
    </i>
    <i r="2">
      <x v="23"/>
    </i>
    <i r="2">
      <x v="34"/>
    </i>
    <i r="2">
      <x v="42"/>
    </i>
    <i r="1">
      <x v="1"/>
    </i>
    <i r="2">
      <x v="8"/>
    </i>
    <i r="2">
      <x v="17"/>
    </i>
    <i r="2">
      <x v="22"/>
    </i>
    <i r="2">
      <x v="29"/>
    </i>
    <i r="2">
      <x v="32"/>
    </i>
    <i>
      <x v="15"/>
    </i>
    <i r="1">
      <x/>
    </i>
    <i r="2">
      <x v="1"/>
    </i>
    <i r="2">
      <x v="19"/>
    </i>
    <i r="2">
      <x v="23"/>
    </i>
    <i r="2">
      <x v="24"/>
    </i>
    <i r="2">
      <x v="25"/>
    </i>
    <i r="2">
      <x v="37"/>
    </i>
    <i r="2">
      <x v="42"/>
    </i>
    <i r="2">
      <x v="44"/>
    </i>
    <i r="2">
      <x v="45"/>
    </i>
    <i r="1">
      <x v="1"/>
    </i>
    <i r="2">
      <x v="7"/>
    </i>
    <i r="2">
      <x v="14"/>
    </i>
    <i r="2">
      <x v="17"/>
    </i>
    <i r="2">
      <x v="23"/>
    </i>
    <i r="2">
      <x v="25"/>
    </i>
    <i r="2">
      <x v="32"/>
    </i>
    <i>
      <x v="16"/>
    </i>
    <i r="1">
      <x/>
    </i>
    <i r="2">
      <x v="14"/>
    </i>
    <i r="1">
      <x v="1"/>
    </i>
    <i r="2">
      <x v="4"/>
    </i>
    <i r="2">
      <x v="8"/>
    </i>
    <i r="2">
      <x v="11"/>
    </i>
    <i r="2">
      <x v="37"/>
    </i>
    <i r="2">
      <x v="41"/>
    </i>
    <i>
      <x v="17"/>
    </i>
    <i r="1">
      <x/>
    </i>
    <i r="2">
      <x/>
    </i>
    <i r="2">
      <x v="9"/>
    </i>
    <i r="2">
      <x v="12"/>
    </i>
    <i r="2">
      <x v="13"/>
    </i>
    <i r="2">
      <x v="30"/>
    </i>
    <i r="2">
      <x v="38"/>
    </i>
    <i r="2">
      <x v="40"/>
    </i>
    <i r="1">
      <x v="1"/>
    </i>
    <i r="2">
      <x v="16"/>
    </i>
    <i r="2">
      <x v="32"/>
    </i>
    <i r="2">
      <x v="36"/>
    </i>
    <i>
      <x v="18"/>
    </i>
    <i r="1">
      <x/>
    </i>
    <i r="2">
      <x/>
    </i>
    <i r="2">
      <x v="19"/>
    </i>
    <i r="2">
      <x v="21"/>
    </i>
    <i r="2">
      <x v="32"/>
    </i>
    <i r="2">
      <x v="46"/>
    </i>
    <i r="1">
      <x v="1"/>
    </i>
    <i r="2">
      <x v="9"/>
    </i>
    <i r="2">
      <x v="12"/>
    </i>
    <i r="2">
      <x v="20"/>
    </i>
    <i r="2">
      <x v="46"/>
    </i>
    <i>
      <x v="19"/>
    </i>
    <i r="1">
      <x/>
    </i>
    <i r="2">
      <x/>
    </i>
    <i r="2">
      <x v="9"/>
    </i>
    <i r="2">
      <x v="14"/>
    </i>
    <i r="2">
      <x v="22"/>
    </i>
    <i r="1">
      <x v="1"/>
    </i>
    <i r="2">
      <x v="5"/>
    </i>
    <i r="2">
      <x v="15"/>
    </i>
    <i r="2">
      <x v="16"/>
    </i>
    <i r="2">
      <x v="33"/>
    </i>
    <i r="2">
      <x v="44"/>
    </i>
    <i>
      <x v="20"/>
    </i>
    <i r="1">
      <x/>
    </i>
    <i r="2">
      <x v="28"/>
    </i>
    <i r="2">
      <x v="32"/>
    </i>
    <i r="1">
      <x v="1"/>
    </i>
    <i r="2">
      <x v="14"/>
    </i>
    <i r="2">
      <x v="24"/>
    </i>
    <i r="2">
      <x v="31"/>
    </i>
    <i>
      <x v="21"/>
    </i>
    <i r="1">
      <x/>
    </i>
    <i r="2">
      <x v="5"/>
    </i>
    <i r="2">
      <x v="7"/>
    </i>
    <i r="2">
      <x v="9"/>
    </i>
    <i r="2">
      <x v="15"/>
    </i>
    <i r="2">
      <x v="19"/>
    </i>
    <i r="2">
      <x v="37"/>
    </i>
    <i r="2">
      <x v="39"/>
    </i>
    <i r="2">
      <x v="41"/>
    </i>
    <i r="1">
      <x v="1"/>
    </i>
    <i r="2">
      <x v="35"/>
    </i>
    <i>
      <x v="22"/>
    </i>
    <i r="1">
      <x/>
    </i>
    <i r="2">
      <x v="27"/>
    </i>
    <i r="2">
      <x v="35"/>
    </i>
    <i r="2">
      <x v="38"/>
    </i>
    <i r="2">
      <x v="44"/>
    </i>
    <i r="1">
      <x v="1"/>
    </i>
    <i r="2">
      <x/>
    </i>
    <i r="2">
      <x v="8"/>
    </i>
    <i r="2">
      <x v="12"/>
    </i>
    <i r="2">
      <x v="28"/>
    </i>
    <i r="2">
      <x v="37"/>
    </i>
    <i>
      <x v="23"/>
    </i>
    <i r="1">
      <x/>
    </i>
    <i r="2">
      <x v="1"/>
    </i>
    <i r="2">
      <x v="42"/>
    </i>
    <i r="1">
      <x v="1"/>
    </i>
    <i r="2">
      <x v="5"/>
    </i>
    <i r="2">
      <x v="6"/>
    </i>
    <i r="2">
      <x v="13"/>
    </i>
    <i r="2">
      <x v="15"/>
    </i>
    <i r="2">
      <x v="36"/>
    </i>
    <i>
      <x v="24"/>
    </i>
    <i r="1">
      <x/>
    </i>
    <i r="2">
      <x/>
    </i>
    <i r="2">
      <x v="17"/>
    </i>
    <i r="2">
      <x v="22"/>
    </i>
    <i r="2">
      <x v="23"/>
    </i>
    <i r="2">
      <x v="29"/>
    </i>
    <i r="1">
      <x v="1"/>
    </i>
    <i r="2">
      <x/>
    </i>
    <i r="2">
      <x v="5"/>
    </i>
    <i r="2">
      <x v="11"/>
    </i>
    <i r="2">
      <x v="24"/>
    </i>
    <i r="2">
      <x v="28"/>
    </i>
    <i r="2">
      <x v="35"/>
    </i>
    <i>
      <x v="25"/>
    </i>
    <i r="1">
      <x/>
    </i>
    <i r="2">
      <x v="14"/>
    </i>
    <i r="2">
      <x v="20"/>
    </i>
    <i r="2">
      <x v="23"/>
    </i>
    <i r="2">
      <x v="42"/>
    </i>
    <i r="1">
      <x v="1"/>
    </i>
    <i r="2">
      <x/>
    </i>
    <i r="2">
      <x v="11"/>
    </i>
    <i r="2">
      <x v="19"/>
    </i>
    <i r="2">
      <x v="24"/>
    </i>
    <i r="2">
      <x v="35"/>
    </i>
    <i r="2">
      <x v="43"/>
    </i>
    <i>
      <x v="26"/>
    </i>
    <i r="1">
      <x/>
    </i>
    <i r="2">
      <x v="7"/>
    </i>
    <i r="2">
      <x v="35"/>
    </i>
    <i r="1">
      <x v="1"/>
    </i>
    <i r="2">
      <x v="11"/>
    </i>
    <i r="2">
      <x v="18"/>
    </i>
    <i r="2">
      <x v="32"/>
    </i>
    <i r="2">
      <x v="41"/>
    </i>
    <i r="2">
      <x v="46"/>
    </i>
    <i>
      <x v="27"/>
    </i>
    <i r="1">
      <x/>
    </i>
    <i r="2">
      <x v="3"/>
    </i>
    <i r="2">
      <x v="25"/>
    </i>
    <i r="2">
      <x v="33"/>
    </i>
    <i r="2">
      <x v="36"/>
    </i>
    <i r="2">
      <x v="40"/>
    </i>
    <i r="2">
      <x v="44"/>
    </i>
    <i r="1">
      <x v="1"/>
    </i>
    <i r="2">
      <x v="1"/>
    </i>
    <i r="2">
      <x v="12"/>
    </i>
    <i r="2">
      <x v="20"/>
    </i>
    <i r="2">
      <x v="30"/>
    </i>
    <i>
      <x v="28"/>
    </i>
    <i r="1">
      <x/>
    </i>
    <i r="2">
      <x v="3"/>
    </i>
    <i r="2">
      <x v="9"/>
    </i>
    <i r="2">
      <x v="29"/>
    </i>
    <i r="2">
      <x v="35"/>
    </i>
    <i r="2">
      <x v="42"/>
    </i>
    <i r="2">
      <x v="46"/>
    </i>
    <i r="1">
      <x v="1"/>
    </i>
    <i r="2">
      <x v="14"/>
    </i>
    <i r="2">
      <x v="20"/>
    </i>
    <i r="2">
      <x v="36"/>
    </i>
    <i r="2">
      <x v="46"/>
    </i>
    <i>
      <x v="29"/>
    </i>
    <i r="1">
      <x/>
    </i>
    <i r="2">
      <x v="6"/>
    </i>
    <i r="2">
      <x v="9"/>
    </i>
    <i r="2">
      <x v="10"/>
    </i>
    <i r="2">
      <x v="18"/>
    </i>
    <i r="2">
      <x v="26"/>
    </i>
    <i r="2">
      <x v="28"/>
    </i>
    <i r="2">
      <x v="29"/>
    </i>
    <i r="2">
      <x v="30"/>
    </i>
    <i r="2">
      <x v="36"/>
    </i>
    <i r="1">
      <x v="1"/>
    </i>
    <i r="2">
      <x v="18"/>
    </i>
    <i r="2">
      <x v="19"/>
    </i>
    <i>
      <x v="30"/>
    </i>
    <i r="1">
      <x/>
    </i>
    <i r="2">
      <x v="11"/>
    </i>
    <i r="2">
      <x v="43"/>
    </i>
    <i r="1">
      <x v="1"/>
    </i>
    <i r="2">
      <x v="17"/>
    </i>
    <i r="2">
      <x v="21"/>
    </i>
    <i r="2">
      <x v="24"/>
    </i>
    <i r="2">
      <x v="28"/>
    </i>
    <i r="2">
      <x v="32"/>
    </i>
    <i r="2">
      <x v="33"/>
    </i>
    <i>
      <x v="31"/>
    </i>
    <i r="1">
      <x/>
    </i>
    <i r="2">
      <x v="7"/>
    </i>
    <i r="2">
      <x v="10"/>
    </i>
    <i r="2">
      <x v="16"/>
    </i>
    <i r="2">
      <x v="23"/>
    </i>
    <i r="2">
      <x v="29"/>
    </i>
    <i r="2">
      <x v="33"/>
    </i>
    <i r="2">
      <x v="44"/>
    </i>
    <i r="1">
      <x v="1"/>
    </i>
    <i r="2">
      <x/>
    </i>
    <i r="2">
      <x v="3"/>
    </i>
    <i r="2">
      <x v="42"/>
    </i>
    <i>
      <x v="32"/>
    </i>
    <i r="1">
      <x/>
    </i>
    <i r="2">
      <x v="10"/>
    </i>
    <i r="2">
      <x v="22"/>
    </i>
    <i r="2">
      <x v="23"/>
    </i>
    <i r="2">
      <x v="46"/>
    </i>
    <i r="1">
      <x v="1"/>
    </i>
    <i r="2">
      <x v="10"/>
    </i>
    <i r="2">
      <x v="19"/>
    </i>
    <i r="2">
      <x v="27"/>
    </i>
    <i r="2">
      <x v="32"/>
    </i>
    <i r="2">
      <x v="35"/>
    </i>
    <i r="2">
      <x v="36"/>
    </i>
    <i r="2">
      <x v="37"/>
    </i>
    <i r="2">
      <x v="42"/>
    </i>
    <i>
      <x v="33"/>
    </i>
    <i r="1">
      <x/>
    </i>
    <i r="2">
      <x v="8"/>
    </i>
    <i r="2">
      <x v="17"/>
    </i>
    <i r="2">
      <x v="24"/>
    </i>
    <i r="2">
      <x v="28"/>
    </i>
    <i r="2">
      <x v="35"/>
    </i>
    <i r="2">
      <x v="44"/>
    </i>
    <i r="1">
      <x v="1"/>
    </i>
    <i r="2">
      <x v="13"/>
    </i>
    <i r="2">
      <x v="28"/>
    </i>
    <i r="2">
      <x v="34"/>
    </i>
    <i r="2">
      <x v="41"/>
    </i>
    <i r="2">
      <x v="42"/>
    </i>
    <i>
      <x v="34"/>
    </i>
    <i r="1">
      <x/>
    </i>
    <i r="2">
      <x v="3"/>
    </i>
    <i r="2">
      <x v="11"/>
    </i>
    <i r="2">
      <x v="27"/>
    </i>
    <i r="2">
      <x v="37"/>
    </i>
    <i r="2">
      <x v="39"/>
    </i>
    <i r="2">
      <x v="41"/>
    </i>
    <i r="1">
      <x v="1"/>
    </i>
    <i r="2">
      <x v="3"/>
    </i>
    <i r="2">
      <x v="5"/>
    </i>
    <i r="2">
      <x v="10"/>
    </i>
    <i r="2">
      <x v="11"/>
    </i>
    <i r="2">
      <x v="27"/>
    </i>
    <i r="2">
      <x v="33"/>
    </i>
    <i r="2">
      <x v="38"/>
    </i>
    <i r="2">
      <x v="45"/>
    </i>
    <i>
      <x v="35"/>
    </i>
    <i r="1">
      <x/>
    </i>
    <i r="2">
      <x v="5"/>
    </i>
    <i r="2">
      <x v="14"/>
    </i>
    <i r="2">
      <x v="15"/>
    </i>
    <i r="2">
      <x v="18"/>
    </i>
    <i r="2">
      <x v="39"/>
    </i>
    <i r="1">
      <x v="1"/>
    </i>
    <i r="2">
      <x v="6"/>
    </i>
    <i r="2">
      <x v="7"/>
    </i>
    <i r="2">
      <x v="15"/>
    </i>
    <i r="2">
      <x v="17"/>
    </i>
    <i r="2">
      <x v="19"/>
    </i>
    <i r="2">
      <x v="40"/>
    </i>
    <i r="2">
      <x v="42"/>
    </i>
    <i>
      <x v="36"/>
    </i>
    <i r="1">
      <x/>
    </i>
    <i r="2">
      <x v="7"/>
    </i>
    <i r="2">
      <x v="9"/>
    </i>
    <i r="2">
      <x v="22"/>
    </i>
    <i r="2">
      <x v="24"/>
    </i>
    <i r="2">
      <x v="32"/>
    </i>
    <i r="2">
      <x v="34"/>
    </i>
    <i r="2">
      <x v="38"/>
    </i>
    <i r="2">
      <x v="40"/>
    </i>
    <i r="1">
      <x v="1"/>
    </i>
    <i r="2">
      <x v="6"/>
    </i>
    <i r="2">
      <x v="11"/>
    </i>
    <i r="2">
      <x v="17"/>
    </i>
    <i r="2">
      <x v="23"/>
    </i>
    <i>
      <x v="37"/>
    </i>
    <i r="1">
      <x/>
    </i>
    <i r="2">
      <x v="6"/>
    </i>
    <i r="2">
      <x v="16"/>
    </i>
    <i r="2">
      <x v="26"/>
    </i>
    <i r="2">
      <x v="31"/>
    </i>
    <i r="2">
      <x v="44"/>
    </i>
    <i r="2">
      <x v="45"/>
    </i>
    <i r="2">
      <x v="46"/>
    </i>
    <i r="1">
      <x v="1"/>
    </i>
    <i r="2">
      <x v="18"/>
    </i>
    <i r="2">
      <x v="28"/>
    </i>
    <i r="2">
      <x v="35"/>
    </i>
    <i r="2">
      <x v="37"/>
    </i>
    <i r="2">
      <x v="46"/>
    </i>
    <i>
      <x v="38"/>
    </i>
    <i r="1">
      <x/>
    </i>
    <i r="2">
      <x/>
    </i>
    <i r="2">
      <x v="24"/>
    </i>
    <i r="2">
      <x v="25"/>
    </i>
    <i r="2">
      <x v="35"/>
    </i>
    <i r="2">
      <x v="40"/>
    </i>
    <i r="1">
      <x v="1"/>
    </i>
    <i r="2">
      <x v="5"/>
    </i>
    <i>
      <x v="39"/>
    </i>
    <i r="1">
      <x/>
    </i>
    <i r="2">
      <x v="4"/>
    </i>
    <i r="2">
      <x v="9"/>
    </i>
    <i r="2">
      <x v="10"/>
    </i>
    <i r="2">
      <x v="11"/>
    </i>
    <i r="2">
      <x v="14"/>
    </i>
    <i r="2">
      <x v="15"/>
    </i>
    <i r="2">
      <x v="40"/>
    </i>
    <i r="1">
      <x v="1"/>
    </i>
    <i r="2">
      <x v="42"/>
    </i>
    <i>
      <x v="40"/>
    </i>
    <i r="1">
      <x/>
    </i>
    <i r="2">
      <x v="9"/>
    </i>
    <i r="2">
      <x v="11"/>
    </i>
    <i r="2">
      <x v="14"/>
    </i>
    <i r="2">
      <x v="25"/>
    </i>
    <i r="2">
      <x v="34"/>
    </i>
    <i r="1">
      <x v="1"/>
    </i>
    <i r="2">
      <x v="4"/>
    </i>
    <i r="2">
      <x v="8"/>
    </i>
    <i r="2">
      <x v="18"/>
    </i>
    <i r="2">
      <x v="41"/>
    </i>
    <i r="2">
      <x v="43"/>
    </i>
    <i>
      <x v="41"/>
    </i>
    <i r="1">
      <x/>
    </i>
    <i r="2">
      <x v="3"/>
    </i>
    <i r="2">
      <x v="8"/>
    </i>
    <i r="2">
      <x v="18"/>
    </i>
    <i r="2">
      <x v="26"/>
    </i>
    <i r="2">
      <x v="40"/>
    </i>
    <i r="2">
      <x v="41"/>
    </i>
    <i r="1">
      <x v="1"/>
    </i>
    <i r="2">
      <x v="17"/>
    </i>
    <i r="2">
      <x v="19"/>
    </i>
    <i r="2">
      <x v="20"/>
    </i>
    <i r="2">
      <x v="22"/>
    </i>
    <i r="2">
      <x v="23"/>
    </i>
    <i r="2">
      <x v="26"/>
    </i>
    <i r="2">
      <x v="28"/>
    </i>
    <i r="2">
      <x v="33"/>
    </i>
    <i>
      <x v="42"/>
    </i>
    <i r="1">
      <x/>
    </i>
    <i r="2">
      <x v="6"/>
    </i>
    <i r="2">
      <x v="35"/>
    </i>
    <i r="2">
      <x v="38"/>
    </i>
    <i r="1">
      <x v="1"/>
    </i>
    <i r="2">
      <x v="3"/>
    </i>
    <i r="2">
      <x v="33"/>
    </i>
    <i>
      <x v="43"/>
    </i>
    <i r="1">
      <x/>
    </i>
    <i r="2">
      <x v="18"/>
    </i>
    <i r="2">
      <x v="25"/>
    </i>
    <i r="2">
      <x v="28"/>
    </i>
    <i r="2">
      <x v="34"/>
    </i>
    <i r="1">
      <x v="1"/>
    </i>
    <i r="2">
      <x v="1"/>
    </i>
    <i r="2">
      <x v="11"/>
    </i>
    <i r="2">
      <x v="13"/>
    </i>
    <i r="2">
      <x v="14"/>
    </i>
    <i r="2">
      <x v="22"/>
    </i>
    <i r="2">
      <x v="28"/>
    </i>
    <i>
      <x v="44"/>
    </i>
    <i r="1">
      <x/>
    </i>
    <i r="2">
      <x/>
    </i>
    <i r="2">
      <x v="2"/>
    </i>
    <i r="2">
      <x v="4"/>
    </i>
    <i r="2">
      <x v="8"/>
    </i>
    <i r="2">
      <x v="17"/>
    </i>
    <i r="2">
      <x v="45"/>
    </i>
    <i r="1">
      <x v="1"/>
    </i>
    <i r="2">
      <x v="2"/>
    </i>
    <i r="2">
      <x v="11"/>
    </i>
    <i r="2">
      <x v="20"/>
    </i>
    <i r="2">
      <x v="21"/>
    </i>
    <i r="2">
      <x v="25"/>
    </i>
    <i r="2">
      <x v="27"/>
    </i>
    <i r="2">
      <x v="30"/>
    </i>
    <i r="2">
      <x v="36"/>
    </i>
    <i>
      <x v="45"/>
    </i>
    <i r="1">
      <x/>
    </i>
    <i r="2">
      <x v="23"/>
    </i>
    <i r="2">
      <x v="24"/>
    </i>
    <i r="2">
      <x v="28"/>
    </i>
    <i r="2">
      <x v="34"/>
    </i>
    <i r="1">
      <x v="1"/>
    </i>
    <i r="2">
      <x v="3"/>
    </i>
    <i r="2">
      <x v="13"/>
    </i>
    <i r="2">
      <x v="20"/>
    </i>
    <i r="2">
      <x v="25"/>
    </i>
    <i r="2">
      <x v="32"/>
    </i>
    <i r="2">
      <x v="34"/>
    </i>
    <i r="2">
      <x v="36"/>
    </i>
    <i>
      <x v="46"/>
    </i>
    <i r="1">
      <x/>
    </i>
    <i r="2">
      <x v="3"/>
    </i>
    <i r="2">
      <x v="27"/>
    </i>
    <i r="2">
      <x v="31"/>
    </i>
    <i r="2">
      <x v="35"/>
    </i>
    <i r="2">
      <x v="45"/>
    </i>
    <i r="1">
      <x v="1"/>
    </i>
    <i r="2">
      <x v="2"/>
    </i>
    <i r="2">
      <x v="36"/>
    </i>
    <i r="2">
      <x v="46"/>
    </i>
    <i>
      <x v="47"/>
    </i>
    <i r="1">
      <x/>
    </i>
    <i r="2">
      <x v="5"/>
    </i>
    <i r="2">
      <x v="10"/>
    </i>
    <i r="2">
      <x v="11"/>
    </i>
    <i r="2">
      <x v="16"/>
    </i>
    <i r="2">
      <x v="23"/>
    </i>
    <i r="2">
      <x v="38"/>
    </i>
    <i r="1">
      <x v="1"/>
    </i>
    <i r="2">
      <x v="9"/>
    </i>
    <i r="2">
      <x v="22"/>
    </i>
    <i r="2">
      <x v="41"/>
    </i>
    <i>
      <x v="48"/>
    </i>
    <i r="1">
      <x/>
    </i>
    <i r="2">
      <x v="5"/>
    </i>
    <i r="2">
      <x v="24"/>
    </i>
    <i r="2">
      <x v="34"/>
    </i>
    <i r="1">
      <x v="1"/>
    </i>
    <i r="2">
      <x v="13"/>
    </i>
    <i r="2">
      <x v="14"/>
    </i>
    <i r="2">
      <x v="25"/>
    </i>
    <i r="2">
      <x v="28"/>
    </i>
    <i r="2">
      <x v="35"/>
    </i>
    <i r="2">
      <x v="42"/>
    </i>
    <i>
      <x v="49"/>
    </i>
    <i r="1">
      <x/>
    </i>
    <i r="2">
      <x v="36"/>
    </i>
    <i r="2">
      <x v="46"/>
    </i>
    <i r="1">
      <x v="1"/>
    </i>
    <i r="2">
      <x v="1"/>
    </i>
    <i r="2">
      <x v="7"/>
    </i>
    <i r="2">
      <x v="36"/>
    </i>
    <i r="2">
      <x v="37"/>
    </i>
  </rowItems>
  <colItems count="1">
    <i/>
  </colItems>
  <dataFields count="1">
    <dataField name="Count of Customer_ID" fld="0" subtotal="count" baseField="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9AAD9-826E-428A-83BC-B0DF06998839}" name="PivotTable45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7" firstHeaderRow="1" firstDataRow="1" firstDataCol="1"/>
  <pivotFields count="8">
    <pivotField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</pivotFields>
  <rowFields count="2">
    <field x="7"/>
    <field x="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Sum of Ag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2751C0-8A34-4AAE-8291-4B2213B32397}" name="Table1" displayName="Table1" ref="A1:H501" totalsRowShown="0" headerRowDxfId="8" headerRowBorderDxfId="7" tableBorderDxfId="6">
  <autoFilter ref="A1:H501" xr:uid="{752751C0-8A34-4AAE-8291-4B2213B32397}"/>
  <tableColumns count="8">
    <tableColumn id="1" xr3:uid="{6D111205-78E5-4A40-8BB6-35616AEC0E21}" name="Customer_ID"/>
    <tableColumn id="2" xr3:uid="{6160CA55-AE83-4272-B3CC-59204C2E8E8C}" name="Name"/>
    <tableColumn id="3" xr3:uid="{3BC62C3F-8C4D-4380-8CE2-7470C6FE5F5D}" name="Age"/>
    <tableColumn id="4" xr3:uid="{DC079CA7-B144-490A-9004-341B10C74176}" name="Gender"/>
    <tableColumn id="5" xr3:uid="{FF75BAE9-6723-4CB8-9527-98D5968C3B71}" name="City"/>
    <tableColumn id="6" xr3:uid="{517C4316-45B0-4739-96FF-0164E489B444}" name="State"/>
    <tableColumn id="7" xr3:uid="{1B7A2177-D802-465D-8C87-BF01BCC5E28A}" name="Country"/>
    <tableColumn id="8" xr3:uid="{44BF78E3-EA3C-4F25-A32F-C3B1C5D6B614}" name="Loyalty_Level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22653E-099D-4ECD-A1D9-B460A23F21E0}" name="Table13" displayName="Table13" ref="A3:H503" totalsRowShown="0" headerRowDxfId="5" headerRowBorderDxfId="4" tableBorderDxfId="3">
  <autoFilter ref="A3:H503" xr:uid="{5922653E-099D-4ECD-A1D9-B460A23F21E0}"/>
  <tableColumns count="8">
    <tableColumn id="1" xr3:uid="{1C55E00A-718F-48B8-A1C5-FE2B32517DC9}" name="Customer_ID"/>
    <tableColumn id="2" xr3:uid="{D06CE640-863F-413E-9AB4-5BA36D3D6D9A}" name="Name"/>
    <tableColumn id="3" xr3:uid="{17AC3FED-3777-434A-A028-C2291B2709BF}" name="Age"/>
    <tableColumn id="4" xr3:uid="{886E2033-185F-425D-A888-430FE233B8B9}" name="Gender"/>
    <tableColumn id="5" xr3:uid="{E91E8289-D1E8-4AE9-97E8-8A5E70BFDD76}" name="City"/>
    <tableColumn id="6" xr3:uid="{10BD1E06-FD39-4EBE-B6E5-10979F05331D}" name="State"/>
    <tableColumn id="7" xr3:uid="{ECE9DA6E-F674-40DC-94BC-3CFEF0035EA1}" name="Country"/>
    <tableColumn id="8" xr3:uid="{34CA2D4C-2E52-43EE-9384-CE42F32CD438}" name="Loyalty_Level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54BF3D-23AB-4541-BD07-3CA236F5A87E}" name="Table136" displayName="Table136" ref="A1:H502" totalsRowCount="1" headerRowDxfId="2" headerRowBorderDxfId="1" tableBorderDxfId="0">
  <autoFilter ref="A1:H501" xr:uid="{5054BF3D-23AB-4541-BD07-3CA236F5A87E}"/>
  <tableColumns count="8">
    <tableColumn id="1" xr3:uid="{F516CD1F-1B50-4A09-A5F1-FF4696C291CD}" name="Customer_ID"/>
    <tableColumn id="2" xr3:uid="{7F66B93B-7052-4E9B-80A1-13909B70CAB4}" name="Name"/>
    <tableColumn id="3" xr3:uid="{3202967C-4C6C-422F-B2E1-22EF992A85D9}" name="Age"/>
    <tableColumn id="4" xr3:uid="{A82735B1-1828-4695-99D5-4F461453EF30}" name="Gender"/>
    <tableColumn id="5" xr3:uid="{966BA007-544E-4EC3-A030-763829E2452C}" name="City"/>
    <tableColumn id="6" xr3:uid="{6EC05B60-6F59-43EF-8F3C-1005BF5E623C}" name="State"/>
    <tableColumn id="7" xr3:uid="{34E17F94-BA6D-41F6-BBBB-19BA46BCCB5A}" name="Country"/>
    <tableColumn id="8" xr3:uid="{BBEB46A2-8672-4851-BCC9-F550DFF1E46F}" name="Loyalty_Leve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E2A3A4-1A5B-4F82-9E61-E2F8EC526A6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Mn9oVcNc-vfNyzMV1DjL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DF66-C0EC-4D62-B953-E6A16B73E7B5}">
  <dimension ref="A1:O501"/>
  <sheetViews>
    <sheetView topLeftCell="A28" workbookViewId="0">
      <selection sqref="A1:H501"/>
    </sheetView>
  </sheetViews>
  <sheetFormatPr defaultRowHeight="15" x14ac:dyDescent="0.25"/>
  <cols>
    <col min="1" max="1" width="14.5703125" customWidth="1"/>
    <col min="2" max="2" width="22" bestFit="1" customWidth="1"/>
    <col min="3" max="3" width="6.5703125" customWidth="1"/>
    <col min="4" max="4" width="9.85546875" customWidth="1"/>
    <col min="5" max="5" width="22.42578125" bestFit="1" customWidth="1"/>
    <col min="6" max="6" width="15.28515625" bestFit="1" customWidth="1"/>
    <col min="7" max="7" width="23.28515625" bestFit="1" customWidth="1"/>
    <col min="8" max="8" width="15.140625" customWidth="1"/>
    <col min="9" max="9" width="1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5" x14ac:dyDescent="0.25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15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  <c r="J3" s="14" t="s">
        <v>1548</v>
      </c>
      <c r="K3" s="14"/>
      <c r="L3" s="14"/>
      <c r="M3" s="14"/>
      <c r="N3" s="14"/>
      <c r="O3" s="14"/>
    </row>
    <row r="4" spans="1:15" x14ac:dyDescent="0.25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15" x14ac:dyDescent="0.25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15" x14ac:dyDescent="0.25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15" x14ac:dyDescent="0.25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15" x14ac:dyDescent="0.25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15" x14ac:dyDescent="0.25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15" x14ac:dyDescent="0.25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15" x14ac:dyDescent="0.25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15" x14ac:dyDescent="0.25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15" x14ac:dyDescent="0.25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15" x14ac:dyDescent="0.25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15" x14ac:dyDescent="0.25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15" x14ac:dyDescent="0.25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25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25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25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25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25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25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25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25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25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25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25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25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25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25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25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25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25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25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25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25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25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25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25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25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25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25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25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25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25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25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25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25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25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25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25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25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25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25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25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25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25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25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25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25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25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25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25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25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25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25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25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25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25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25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25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25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25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25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25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25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25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25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25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25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25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25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25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25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25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25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25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25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25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25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25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25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25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25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25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25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25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25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25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25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25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25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25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25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25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25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25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25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25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25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25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25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25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25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25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25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25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25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25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25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25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25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25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25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25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25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25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25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25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25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25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25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25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25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25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25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25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25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25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25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25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25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25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25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25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25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25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25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25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25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25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25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25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25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25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25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25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25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25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25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25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25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25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25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25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25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25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25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25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25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25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25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25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25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25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25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25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25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25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25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25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25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25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25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25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25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25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25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25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25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25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25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25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25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25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25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25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25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25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25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25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25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25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25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25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25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25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25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25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25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25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25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25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25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25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25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25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25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25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25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25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25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25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25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25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25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25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25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25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25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25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25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25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25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25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25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25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25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25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25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25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25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25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25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25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25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25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25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25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25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25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25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25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25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25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25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25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25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25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25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25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25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25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25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25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25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25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25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25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25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25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25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25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25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25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25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25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25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25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25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25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25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25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25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25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25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25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25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25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25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25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25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25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25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25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25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25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25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25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25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25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25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25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25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25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25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25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25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25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25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25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25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25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25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25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25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25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25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25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25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25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25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25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25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25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25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25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25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25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25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25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25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25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25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25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25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25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25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25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25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25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25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25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25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25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25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25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25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25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25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25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25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25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25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25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25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25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25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25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25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25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25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25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25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25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25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25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25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25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25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25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25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25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25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25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25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25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25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25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25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25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25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25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25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25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25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25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25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25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25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25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25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25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25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25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25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25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25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25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25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25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25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25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25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25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25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25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25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25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25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25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25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25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25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25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25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25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25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25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25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25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25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25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25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25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25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25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25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25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25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25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25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25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25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25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25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25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25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25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25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25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25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25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25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25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25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25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25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25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25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25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25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25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25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25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25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25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25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25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25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25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25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25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25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25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25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25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25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25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25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25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25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25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25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25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25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25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25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25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25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25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25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25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25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25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25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25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25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25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25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25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25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25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25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25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25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25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25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25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25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25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mergeCells count="1">
    <mergeCell ref="J3:O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A28A-EF44-4514-A0FC-7C29463D4110}">
  <dimension ref="A1:Z503"/>
  <sheetViews>
    <sheetView topLeftCell="G1" workbookViewId="0">
      <selection activeCell="J3" sqref="J3:Q503"/>
    </sheetView>
  </sheetViews>
  <sheetFormatPr defaultRowHeight="15" x14ac:dyDescent="0.25"/>
  <cols>
    <col min="1" max="1" width="17" bestFit="1" customWidth="1"/>
    <col min="2" max="2" width="22" bestFit="1" customWidth="1"/>
    <col min="3" max="3" width="9" bestFit="1" customWidth="1"/>
    <col min="4" max="4" width="12.28515625" bestFit="1" customWidth="1"/>
    <col min="5" max="5" width="22.42578125" bestFit="1" customWidth="1"/>
    <col min="6" max="6" width="15.28515625" bestFit="1" customWidth="1"/>
    <col min="7" max="7" width="15.42578125" customWidth="1"/>
    <col min="8" max="8" width="17.7109375" bestFit="1" customWidth="1"/>
    <col min="10" max="10" width="12.42578125" bestFit="1" customWidth="1"/>
    <col min="11" max="11" width="22" bestFit="1" customWidth="1"/>
    <col min="12" max="12" width="4.42578125" bestFit="1" customWidth="1"/>
    <col min="13" max="13" width="7.5703125" bestFit="1" customWidth="1"/>
    <col min="14" max="14" width="22.42578125" bestFit="1" customWidth="1"/>
    <col min="15" max="15" width="15.28515625" bestFit="1" customWidth="1"/>
    <col min="16" max="16" width="23.28515625" bestFit="1" customWidth="1"/>
    <col min="17" max="17" width="13.140625" bestFit="1" customWidth="1"/>
    <col min="19" max="19" width="13.7109375" bestFit="1" customWidth="1"/>
    <col min="20" max="20" width="24.7109375" bestFit="1" customWidth="1"/>
    <col min="21" max="21" width="4.5703125" bestFit="1" customWidth="1"/>
    <col min="22" max="22" width="8.140625" bestFit="1" customWidth="1"/>
    <col min="23" max="23" width="26.42578125" bestFit="1" customWidth="1"/>
    <col min="24" max="24" width="17" bestFit="1" customWidth="1"/>
    <col min="25" max="25" width="12.28515625" customWidth="1"/>
    <col min="26" max="26" width="14.5703125" bestFit="1" customWidth="1"/>
  </cols>
  <sheetData>
    <row r="1" spans="1:26" ht="18.75" x14ac:dyDescent="0.3">
      <c r="A1" s="2">
        <v>2</v>
      </c>
      <c r="B1" s="16" t="s">
        <v>1555</v>
      </c>
      <c r="C1" s="16"/>
      <c r="D1" s="16"/>
      <c r="E1" s="16"/>
      <c r="F1" s="3" t="s">
        <v>1549</v>
      </c>
      <c r="G1" s="15" t="s">
        <v>1554</v>
      </c>
      <c r="H1" s="15"/>
    </row>
    <row r="2" spans="1:26" ht="15.75" x14ac:dyDescent="0.25">
      <c r="J2" s="17" t="s">
        <v>1556</v>
      </c>
      <c r="K2" s="17"/>
      <c r="L2" s="17"/>
      <c r="M2" s="17"/>
      <c r="N2" s="17"/>
      <c r="O2" s="17"/>
      <c r="P2" s="17"/>
      <c r="Q2" s="17"/>
      <c r="S2" s="18" t="s">
        <v>1557</v>
      </c>
      <c r="T2" s="18"/>
      <c r="U2" s="18"/>
      <c r="V2" s="18"/>
      <c r="W2" s="18"/>
      <c r="X2" s="18"/>
      <c r="Y2" s="18"/>
      <c r="Z2" s="18"/>
    </row>
    <row r="3" spans="1:2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4" t="str" cm="1">
        <f t="array" ref="J3:Q503">TRIM(Table13[#All])</f>
        <v>Customer_ID</v>
      </c>
      <c r="K3" s="4" t="str">
        <v>Name</v>
      </c>
      <c r="L3" s="4" t="str">
        <v>Age</v>
      </c>
      <c r="M3" s="4" t="str">
        <v>Gender</v>
      </c>
      <c r="N3" s="4" t="str">
        <v>City</v>
      </c>
      <c r="O3" s="4" t="str">
        <v>State</v>
      </c>
      <c r="P3" s="4" t="str">
        <v>Country</v>
      </c>
      <c r="Q3" s="4" t="str">
        <v>Loyalty_Level</v>
      </c>
      <c r="S3" s="4" t="str" cm="1">
        <f t="array" ref="S3:Z503">UPPER(_xlfn.ANCHORARRAY(J3))</f>
        <v>CUSTOMER_ID</v>
      </c>
      <c r="T3" s="4" t="str">
        <v>NAME</v>
      </c>
      <c r="U3" s="4" t="str">
        <v>AGE</v>
      </c>
      <c r="V3" s="4" t="str">
        <v>GENDER</v>
      </c>
      <c r="W3" s="4" t="str">
        <v>CITY</v>
      </c>
      <c r="X3" s="4" t="str">
        <v>STATE</v>
      </c>
      <c r="Y3" s="4" t="str">
        <v>COUNTRY</v>
      </c>
      <c r="Z3" s="4" t="str">
        <v>LOYALTY_LEVEL</v>
      </c>
    </row>
    <row r="4" spans="1:26" x14ac:dyDescent="0.25">
      <c r="A4" t="s">
        <v>8</v>
      </c>
      <c r="B4" t="s">
        <v>9</v>
      </c>
      <c r="C4">
        <v>55</v>
      </c>
      <c r="D4" t="s">
        <v>10</v>
      </c>
      <c r="E4" t="s">
        <v>11</v>
      </c>
      <c r="F4" t="s">
        <v>12</v>
      </c>
      <c r="G4" t="s">
        <v>13</v>
      </c>
      <c r="J4" s="4" t="str">
        <v>CUST1000</v>
      </c>
      <c r="K4" s="4" t="str">
        <v>sheena bonilla</v>
      </c>
      <c r="L4" s="4" t="str">
        <v>55</v>
      </c>
      <c r="M4" s="4" t="str">
        <v>Male</v>
      </c>
      <c r="N4" s="4" t="str">
        <v>Donaldton</v>
      </c>
      <c r="O4" s="4" t="str">
        <v>North Carolina</v>
      </c>
      <c r="P4" s="4" t="str">
        <v>USA</v>
      </c>
      <c r="Q4" s="4" t="str">
        <v/>
      </c>
      <c r="S4" s="4" t="str">
        <v>CUST1000</v>
      </c>
      <c r="T4" s="4" t="str">
        <v>SHEENA BONILLA</v>
      </c>
      <c r="U4" s="4" t="str">
        <v>55</v>
      </c>
      <c r="V4" s="4" t="str">
        <v>MALE</v>
      </c>
      <c r="W4" s="4" t="str">
        <v>DONALDTON</v>
      </c>
      <c r="X4" s="4" t="str">
        <v>NORTH CAROLINA</v>
      </c>
      <c r="Y4" s="4" t="str">
        <v>USA</v>
      </c>
      <c r="Z4" s="4" t="str">
        <v/>
      </c>
    </row>
    <row r="5" spans="1:26" x14ac:dyDescent="0.25">
      <c r="A5" t="s">
        <v>14</v>
      </c>
      <c r="B5" t="s">
        <v>15</v>
      </c>
      <c r="C5">
        <v>26</v>
      </c>
      <c r="D5" t="s">
        <v>16</v>
      </c>
      <c r="E5" t="s">
        <v>17</v>
      </c>
      <c r="F5" t="s">
        <v>18</v>
      </c>
      <c r="G5" t="s">
        <v>13</v>
      </c>
      <c r="H5" t="s">
        <v>19</v>
      </c>
      <c r="J5" s="4" t="str">
        <v>CUST1001</v>
      </c>
      <c r="K5" s="4" t="str">
        <v>Eugene Nelson</v>
      </c>
      <c r="L5" s="4" t="str">
        <v>26</v>
      </c>
      <c r="M5" s="4" t="str">
        <v>Female</v>
      </c>
      <c r="N5" s="4" t="str">
        <v>Phillipsmouth</v>
      </c>
      <c r="O5" s="4" t="str">
        <v>North Dakota</v>
      </c>
      <c r="P5" s="4" t="str">
        <v>USA</v>
      </c>
      <c r="Q5" s="4" t="str">
        <v>Platinum</v>
      </c>
      <c r="S5" s="4" t="str">
        <v>CUST1001</v>
      </c>
      <c r="T5" s="4" t="str">
        <v>EUGENE NELSON</v>
      </c>
      <c r="U5" s="4" t="str">
        <v>26</v>
      </c>
      <c r="V5" s="4" t="str">
        <v>FEMALE</v>
      </c>
      <c r="W5" s="4" t="str">
        <v>PHILLIPSMOUTH</v>
      </c>
      <c r="X5" s="4" t="str">
        <v>NORTH DAKOTA</v>
      </c>
      <c r="Y5" s="4" t="str">
        <v>USA</v>
      </c>
      <c r="Z5" s="4" t="str">
        <v>PLATINUM</v>
      </c>
    </row>
    <row r="6" spans="1:26" x14ac:dyDescent="0.25">
      <c r="A6" t="s">
        <v>20</v>
      </c>
      <c r="B6" t="s">
        <v>21</v>
      </c>
      <c r="C6">
        <v>29</v>
      </c>
      <c r="D6" t="s">
        <v>16</v>
      </c>
      <c r="E6" t="s">
        <v>22</v>
      </c>
      <c r="F6" t="s">
        <v>23</v>
      </c>
      <c r="G6" t="s">
        <v>13</v>
      </c>
      <c r="H6" t="s">
        <v>19</v>
      </c>
      <c r="J6" s="4" t="str">
        <v>CUST1002</v>
      </c>
      <c r="K6" s="4" t="str">
        <v>dr. Benjamin Price</v>
      </c>
      <c r="L6" s="4" t="str">
        <v>29</v>
      </c>
      <c r="M6" s="4" t="str">
        <v>Female</v>
      </c>
      <c r="N6" s="4" t="str">
        <v>Kylebury</v>
      </c>
      <c r="O6" s="4" t="str">
        <v>Alabama</v>
      </c>
      <c r="P6" s="4" t="str">
        <v>USA</v>
      </c>
      <c r="Q6" s="4" t="str">
        <v>Platinum</v>
      </c>
      <c r="S6" s="4" t="str">
        <v>CUST1002</v>
      </c>
      <c r="T6" s="4" t="str">
        <v>DR. BENJAMIN PRICE</v>
      </c>
      <c r="U6" s="4" t="str">
        <v>29</v>
      </c>
      <c r="V6" s="4" t="str">
        <v>FEMALE</v>
      </c>
      <c r="W6" s="4" t="str">
        <v>KYLEBURY</v>
      </c>
      <c r="X6" s="4" t="str">
        <v>ALABAMA</v>
      </c>
      <c r="Y6" s="4" t="str">
        <v>USA</v>
      </c>
      <c r="Z6" s="4" t="str">
        <v>PLATINUM</v>
      </c>
    </row>
    <row r="7" spans="1:26" x14ac:dyDescent="0.25">
      <c r="A7" t="s">
        <v>24</v>
      </c>
      <c r="B7" t="s">
        <v>25</v>
      </c>
      <c r="C7">
        <v>59</v>
      </c>
      <c r="D7" t="s">
        <v>16</v>
      </c>
      <c r="E7" t="s">
        <v>26</v>
      </c>
      <c r="F7" t="s">
        <v>27</v>
      </c>
      <c r="G7" t="s">
        <v>13</v>
      </c>
      <c r="H7" t="s">
        <v>28</v>
      </c>
      <c r="J7" s="4" t="str">
        <v>CUST1003</v>
      </c>
      <c r="K7" s="4" t="str">
        <v>jeremy harris</v>
      </c>
      <c r="L7" s="4" t="str">
        <v>59</v>
      </c>
      <c r="M7" s="4" t="str">
        <v>Female</v>
      </c>
      <c r="N7" s="4" t="str">
        <v>Thomastown</v>
      </c>
      <c r="O7" s="4" t="str">
        <v>Ohio</v>
      </c>
      <c r="P7" s="4" t="str">
        <v>USA</v>
      </c>
      <c r="Q7" s="4" t="str">
        <v>Bronze</v>
      </c>
      <c r="S7" s="4" t="str">
        <v>CUST1003</v>
      </c>
      <c r="T7" s="4" t="str">
        <v>JEREMY HARRIS</v>
      </c>
      <c r="U7" s="4" t="str">
        <v>59</v>
      </c>
      <c r="V7" s="4" t="str">
        <v>FEMALE</v>
      </c>
      <c r="W7" s="4" t="str">
        <v>THOMASTOWN</v>
      </c>
      <c r="X7" s="4" t="str">
        <v>OHIO</v>
      </c>
      <c r="Y7" s="4" t="str">
        <v>USA</v>
      </c>
      <c r="Z7" s="4" t="str">
        <v>BRONZE</v>
      </c>
    </row>
    <row r="8" spans="1:26" x14ac:dyDescent="0.25">
      <c r="A8" t="s">
        <v>29</v>
      </c>
      <c r="B8" t="s">
        <v>30</v>
      </c>
      <c r="C8">
        <v>64</v>
      </c>
      <c r="D8" t="s">
        <v>16</v>
      </c>
      <c r="E8" t="s">
        <v>31</v>
      </c>
      <c r="F8" t="s">
        <v>32</v>
      </c>
      <c r="G8" t="s">
        <v>13</v>
      </c>
      <c r="H8" t="s">
        <v>33</v>
      </c>
      <c r="J8" s="4" t="str">
        <v>CUST1004</v>
      </c>
      <c r="K8" s="4" t="str">
        <v>Caroline Collins</v>
      </c>
      <c r="L8" s="4" t="str">
        <v>64</v>
      </c>
      <c r="M8" s="4" t="str">
        <v>Female</v>
      </c>
      <c r="N8" s="4" t="str">
        <v>Nicholasshire</v>
      </c>
      <c r="O8" s="4" t="str">
        <v>California</v>
      </c>
      <c r="P8" s="4" t="str">
        <v>USA</v>
      </c>
      <c r="Q8" s="4" t="str">
        <v>Silver</v>
      </c>
      <c r="S8" s="4" t="str">
        <v>CUST1004</v>
      </c>
      <c r="T8" s="4" t="str">
        <v>CAROLINE COLLINS</v>
      </c>
      <c r="U8" s="4" t="str">
        <v>64</v>
      </c>
      <c r="V8" s="4" t="str">
        <v>FEMALE</v>
      </c>
      <c r="W8" s="4" t="str">
        <v>NICHOLASSHIRE</v>
      </c>
      <c r="X8" s="4" t="str">
        <v>CALIFORNIA</v>
      </c>
      <c r="Y8" s="4" t="str">
        <v>USA</v>
      </c>
      <c r="Z8" s="4" t="str">
        <v>SILVER</v>
      </c>
    </row>
    <row r="9" spans="1:26" x14ac:dyDescent="0.25">
      <c r="A9" t="s">
        <v>34</v>
      </c>
      <c r="B9" t="s">
        <v>35</v>
      </c>
      <c r="C9">
        <v>24</v>
      </c>
      <c r="D9" t="s">
        <v>10</v>
      </c>
      <c r="E9" t="s">
        <v>36</v>
      </c>
      <c r="F9" t="s">
        <v>37</v>
      </c>
      <c r="G9" t="s">
        <v>13</v>
      </c>
      <c r="H9" t="s">
        <v>28</v>
      </c>
      <c r="J9" s="4" t="str">
        <v>CUST1005</v>
      </c>
      <c r="K9" s="4" t="str">
        <v>Christine Vaughn</v>
      </c>
      <c r="L9" s="4" t="str">
        <v>24</v>
      </c>
      <c r="M9" s="4" t="str">
        <v>Male</v>
      </c>
      <c r="N9" s="4" t="str">
        <v>East Amandamouth</v>
      </c>
      <c r="O9" s="4" t="str">
        <v>Oregon</v>
      </c>
      <c r="P9" s="4" t="str">
        <v>USA</v>
      </c>
      <c r="Q9" s="4" t="str">
        <v>Bronze</v>
      </c>
      <c r="S9" s="4" t="str">
        <v>CUST1005</v>
      </c>
      <c r="T9" s="4" t="str">
        <v>CHRISTINE VAUGHN</v>
      </c>
      <c r="U9" s="4" t="str">
        <v>24</v>
      </c>
      <c r="V9" s="4" t="str">
        <v>MALE</v>
      </c>
      <c r="W9" s="4" t="str">
        <v>EAST AMANDAMOUTH</v>
      </c>
      <c r="X9" s="4" t="str">
        <v>OREGON</v>
      </c>
      <c r="Y9" s="4" t="str">
        <v>USA</v>
      </c>
      <c r="Z9" s="4" t="str">
        <v>BRONZE</v>
      </c>
    </row>
    <row r="10" spans="1:26" x14ac:dyDescent="0.25">
      <c r="A10" t="s">
        <v>38</v>
      </c>
      <c r="B10" t="s">
        <v>39</v>
      </c>
      <c r="C10">
        <v>29</v>
      </c>
      <c r="D10" t="s">
        <v>16</v>
      </c>
      <c r="E10" t="s">
        <v>40</v>
      </c>
      <c r="F10" t="s">
        <v>41</v>
      </c>
      <c r="G10" t="s">
        <v>13</v>
      </c>
      <c r="H10" t="s">
        <v>19</v>
      </c>
      <c r="J10" s="4" t="str">
        <v>CUST1006</v>
      </c>
      <c r="K10" s="4" t="str">
        <v>Amber Jackson</v>
      </c>
      <c r="L10" s="4" t="str">
        <v>29</v>
      </c>
      <c r="M10" s="4" t="str">
        <v>Female</v>
      </c>
      <c r="N10" s="4" t="str">
        <v>Deborahborough</v>
      </c>
      <c r="O10" s="4" t="str">
        <v>South Dakota</v>
      </c>
      <c r="P10" s="4" t="str">
        <v>USA</v>
      </c>
      <c r="Q10" s="4" t="str">
        <v>Platinum</v>
      </c>
      <c r="S10" s="4" t="str">
        <v>CUST1006</v>
      </c>
      <c r="T10" s="4" t="str">
        <v>AMBER JACKSON</v>
      </c>
      <c r="U10" s="4" t="str">
        <v>29</v>
      </c>
      <c r="V10" s="4" t="str">
        <v>FEMALE</v>
      </c>
      <c r="W10" s="4" t="str">
        <v>DEBORAHBOROUGH</v>
      </c>
      <c r="X10" s="4" t="str">
        <v>SOUTH DAKOTA</v>
      </c>
      <c r="Y10" s="4" t="str">
        <v>USA</v>
      </c>
      <c r="Z10" s="4" t="str">
        <v>PLATINUM</v>
      </c>
    </row>
    <row r="11" spans="1:26" x14ac:dyDescent="0.25">
      <c r="A11" t="s">
        <v>42</v>
      </c>
      <c r="B11" t="s">
        <v>43</v>
      </c>
      <c r="C11">
        <v>29</v>
      </c>
      <c r="D11" t="s">
        <v>16</v>
      </c>
      <c r="E11" t="s">
        <v>44</v>
      </c>
      <c r="F11" t="s">
        <v>45</v>
      </c>
      <c r="G11" t="s">
        <v>13</v>
      </c>
      <c r="H11" t="s">
        <v>28</v>
      </c>
      <c r="J11" s="4" t="str">
        <v>CUST1007</v>
      </c>
      <c r="K11" s="4" t="str">
        <v>Daniel Boyd</v>
      </c>
      <c r="L11" s="4" t="str">
        <v>29</v>
      </c>
      <c r="M11" s="4" t="str">
        <v>Female</v>
      </c>
      <c r="N11" s="4" t="str">
        <v>West Pamelafurt</v>
      </c>
      <c r="O11" s="4" t="str">
        <v>West Virginia</v>
      </c>
      <c r="P11" s="4" t="str">
        <v>USA</v>
      </c>
      <c r="Q11" s="4" t="str">
        <v>Bronze</v>
      </c>
      <c r="S11" s="4" t="str">
        <v>CUST1007</v>
      </c>
      <c r="T11" s="4" t="str">
        <v>DANIEL BOYD</v>
      </c>
      <c r="U11" s="4" t="str">
        <v>29</v>
      </c>
      <c r="V11" s="4" t="str">
        <v>FEMALE</v>
      </c>
      <c r="W11" s="4" t="str">
        <v>WEST PAMELAFURT</v>
      </c>
      <c r="X11" s="4" t="str">
        <v>WEST VIRGINIA</v>
      </c>
      <c r="Y11" s="4" t="str">
        <v>USA</v>
      </c>
      <c r="Z11" s="4" t="str">
        <v>BRONZE</v>
      </c>
    </row>
    <row r="12" spans="1:26" x14ac:dyDescent="0.25">
      <c r="A12" t="s">
        <v>46</v>
      </c>
      <c r="B12" t="s">
        <v>47</v>
      </c>
      <c r="C12">
        <v>53</v>
      </c>
      <c r="D12" t="s">
        <v>16</v>
      </c>
      <c r="E12" t="s">
        <v>48</v>
      </c>
      <c r="F12" t="s">
        <v>49</v>
      </c>
      <c r="G12" t="s">
        <v>13</v>
      </c>
      <c r="H12" t="s">
        <v>50</v>
      </c>
      <c r="J12" s="4" t="str">
        <v>CUST1008</v>
      </c>
      <c r="K12" s="4" t="str">
        <v>Melissa Howard</v>
      </c>
      <c r="L12" s="4" t="str">
        <v>53</v>
      </c>
      <c r="M12" s="4" t="str">
        <v>Female</v>
      </c>
      <c r="N12" s="4" t="str">
        <v>Maynardton</v>
      </c>
      <c r="O12" s="4" t="str">
        <v>New Hampshire</v>
      </c>
      <c r="P12" s="4" t="str">
        <v>USA</v>
      </c>
      <c r="Q12" s="4" t="str">
        <v>Gold</v>
      </c>
      <c r="S12" s="4" t="str">
        <v>CUST1008</v>
      </c>
      <c r="T12" s="4" t="str">
        <v>MELISSA HOWARD</v>
      </c>
      <c r="U12" s="4" t="str">
        <v>53</v>
      </c>
      <c r="V12" s="4" t="str">
        <v>FEMALE</v>
      </c>
      <c r="W12" s="4" t="str">
        <v>MAYNARDTON</v>
      </c>
      <c r="X12" s="4" t="str">
        <v>NEW HAMPSHIRE</v>
      </c>
      <c r="Y12" s="4" t="str">
        <v>USA</v>
      </c>
      <c r="Z12" s="4" t="str">
        <v>GOLD</v>
      </c>
    </row>
    <row r="13" spans="1:26" x14ac:dyDescent="0.25">
      <c r="A13" t="s">
        <v>51</v>
      </c>
      <c r="B13" t="s">
        <v>52</v>
      </c>
      <c r="C13">
        <v>64</v>
      </c>
      <c r="D13" t="s">
        <v>10</v>
      </c>
      <c r="E13" t="s">
        <v>53</v>
      </c>
      <c r="F13" t="s">
        <v>54</v>
      </c>
      <c r="G13" t="s">
        <v>13</v>
      </c>
      <c r="H13" t="s">
        <v>19</v>
      </c>
      <c r="J13" s="4" t="str">
        <v>CUST1009</v>
      </c>
      <c r="K13" s="4" t="str">
        <v>Ms. Maria Leach</v>
      </c>
      <c r="L13" s="4" t="str">
        <v>64</v>
      </c>
      <c r="M13" s="4" t="str">
        <v>Male</v>
      </c>
      <c r="N13" s="4" t="str">
        <v>Melissashire</v>
      </c>
      <c r="O13" s="4" t="str">
        <v>Pennsylvania</v>
      </c>
      <c r="P13" s="4" t="str">
        <v>USA</v>
      </c>
      <c r="Q13" s="4" t="str">
        <v>Platinum</v>
      </c>
      <c r="S13" s="4" t="str">
        <v>CUST1009</v>
      </c>
      <c r="T13" s="4" t="str">
        <v>MS. MARIA LEACH</v>
      </c>
      <c r="U13" s="4" t="str">
        <v>64</v>
      </c>
      <c r="V13" s="4" t="str">
        <v>MALE</v>
      </c>
      <c r="W13" s="4" t="str">
        <v>MELISSASHIRE</v>
      </c>
      <c r="X13" s="4" t="str">
        <v>PENNSYLVANIA</v>
      </c>
      <c r="Y13" s="4" t="str">
        <v>USA</v>
      </c>
      <c r="Z13" s="4" t="str">
        <v>PLATINUM</v>
      </c>
    </row>
    <row r="14" spans="1:26" x14ac:dyDescent="0.25">
      <c r="A14" t="s">
        <v>55</v>
      </c>
      <c r="B14" t="s">
        <v>56</v>
      </c>
      <c r="C14">
        <v>53</v>
      </c>
      <c r="D14" t="s">
        <v>10</v>
      </c>
      <c r="E14" t="s">
        <v>57</v>
      </c>
      <c r="F14" t="s">
        <v>54</v>
      </c>
      <c r="G14" t="s">
        <v>13</v>
      </c>
      <c r="H14" t="s">
        <v>28</v>
      </c>
      <c r="J14" s="4" t="str">
        <v>CUST1010</v>
      </c>
      <c r="K14" s="4" t="str">
        <v>Dominic Page</v>
      </c>
      <c r="L14" s="4" t="str">
        <v>53</v>
      </c>
      <c r="M14" s="4" t="str">
        <v>Male</v>
      </c>
      <c r="N14" s="4" t="str">
        <v>Port Michaelburgh</v>
      </c>
      <c r="O14" s="4" t="str">
        <v>Pennsylvania</v>
      </c>
      <c r="P14" s="4" t="str">
        <v>USA</v>
      </c>
      <c r="Q14" s="4" t="str">
        <v>Bronze</v>
      </c>
      <c r="S14" s="4" t="str">
        <v>CUST1010</v>
      </c>
      <c r="T14" s="4" t="str">
        <v>DOMINIC PAGE</v>
      </c>
      <c r="U14" s="4" t="str">
        <v>53</v>
      </c>
      <c r="V14" s="4" t="str">
        <v>MALE</v>
      </c>
      <c r="W14" s="4" t="str">
        <v>PORT MICHAELBURGH</v>
      </c>
      <c r="X14" s="4" t="str">
        <v>PENNSYLVANIA</v>
      </c>
      <c r="Y14" s="4" t="str">
        <v>USA</v>
      </c>
      <c r="Z14" s="4" t="str">
        <v>BRONZE</v>
      </c>
    </row>
    <row r="15" spans="1:26" x14ac:dyDescent="0.25">
      <c r="A15" t="s">
        <v>58</v>
      </c>
      <c r="B15" t="s">
        <v>59</v>
      </c>
      <c r="C15">
        <v>28</v>
      </c>
      <c r="D15" t="s">
        <v>16</v>
      </c>
      <c r="E15" t="s">
        <v>60</v>
      </c>
      <c r="F15" t="s">
        <v>61</v>
      </c>
      <c r="G15" t="s">
        <v>13</v>
      </c>
      <c r="H15" t="s">
        <v>50</v>
      </c>
      <c r="J15" s="4" t="str">
        <v>CUST1011</v>
      </c>
      <c r="K15" s="4" t="str">
        <v>Brian Lopez</v>
      </c>
      <c r="L15" s="4" t="str">
        <v>28</v>
      </c>
      <c r="M15" s="4" t="str">
        <v>Female</v>
      </c>
      <c r="N15" s="4" t="str">
        <v>East Krista</v>
      </c>
      <c r="O15" s="4" t="str">
        <v>New York</v>
      </c>
      <c r="P15" s="4" t="str">
        <v>USA</v>
      </c>
      <c r="Q15" s="4" t="str">
        <v>Gold</v>
      </c>
      <c r="S15" s="4" t="str">
        <v>CUST1011</v>
      </c>
      <c r="T15" s="4" t="str">
        <v>BRIAN LOPEZ</v>
      </c>
      <c r="U15" s="4" t="str">
        <v>28</v>
      </c>
      <c r="V15" s="4" t="str">
        <v>FEMALE</v>
      </c>
      <c r="W15" s="4" t="str">
        <v>EAST KRISTA</v>
      </c>
      <c r="X15" s="4" t="str">
        <v>NEW YORK</v>
      </c>
      <c r="Y15" s="4" t="str">
        <v>USA</v>
      </c>
      <c r="Z15" s="4" t="str">
        <v>GOLD</v>
      </c>
    </row>
    <row r="16" spans="1:26" x14ac:dyDescent="0.25">
      <c r="A16" t="s">
        <v>62</v>
      </c>
      <c r="B16" t="s">
        <v>63</v>
      </c>
      <c r="C16">
        <v>55</v>
      </c>
      <c r="D16" t="s">
        <v>16</v>
      </c>
      <c r="E16" t="s">
        <v>64</v>
      </c>
      <c r="F16" t="s">
        <v>65</v>
      </c>
      <c r="G16" t="s">
        <v>13</v>
      </c>
      <c r="H16" t="s">
        <v>19</v>
      </c>
      <c r="J16" s="4" t="str">
        <v>CUST1012</v>
      </c>
      <c r="K16" s="4" t="str">
        <v>Kenneth Lambert</v>
      </c>
      <c r="L16" s="4" t="str">
        <v>55</v>
      </c>
      <c r="M16" s="4" t="str">
        <v>Female</v>
      </c>
      <c r="N16" s="4" t="str">
        <v>North Kathryn</v>
      </c>
      <c r="O16" s="4" t="str">
        <v>Kansas</v>
      </c>
      <c r="P16" s="4" t="str">
        <v>USA</v>
      </c>
      <c r="Q16" s="4" t="str">
        <v>Platinum</v>
      </c>
      <c r="S16" s="4" t="str">
        <v>CUST1012</v>
      </c>
      <c r="T16" s="4" t="str">
        <v>KENNETH LAMBERT</v>
      </c>
      <c r="U16" s="4" t="str">
        <v>55</v>
      </c>
      <c r="V16" s="4" t="str">
        <v>FEMALE</v>
      </c>
      <c r="W16" s="4" t="str">
        <v>NORTH KATHRYN</v>
      </c>
      <c r="X16" s="4" t="str">
        <v>KANSAS</v>
      </c>
      <c r="Y16" s="4" t="str">
        <v>USA</v>
      </c>
      <c r="Z16" s="4" t="str">
        <v>PLATINUM</v>
      </c>
    </row>
    <row r="17" spans="1:26" x14ac:dyDescent="0.25">
      <c r="A17" t="s">
        <v>66</v>
      </c>
      <c r="B17" t="s">
        <v>67</v>
      </c>
      <c r="C17">
        <v>32</v>
      </c>
      <c r="D17" t="s">
        <v>16</v>
      </c>
      <c r="E17" t="s">
        <v>68</v>
      </c>
      <c r="F17" t="s">
        <v>69</v>
      </c>
      <c r="G17" t="s">
        <v>13</v>
      </c>
      <c r="H17" t="s">
        <v>33</v>
      </c>
      <c r="J17" s="4" t="str">
        <v>CUST1013</v>
      </c>
      <c r="K17" s="4" t="str">
        <v>Nathan Hernandez</v>
      </c>
      <c r="L17" s="4" t="str">
        <v>32</v>
      </c>
      <c r="M17" s="4" t="str">
        <v>Female</v>
      </c>
      <c r="N17" s="4" t="str">
        <v>New Becky</v>
      </c>
      <c r="O17" s="4" t="str">
        <v>Montana</v>
      </c>
      <c r="P17" s="4" t="str">
        <v>USA</v>
      </c>
      <c r="Q17" s="4" t="str">
        <v>Silver</v>
      </c>
      <c r="S17" s="4" t="str">
        <v>CUST1013</v>
      </c>
      <c r="T17" s="4" t="str">
        <v>NATHAN HERNANDEZ</v>
      </c>
      <c r="U17" s="4" t="str">
        <v>32</v>
      </c>
      <c r="V17" s="4" t="str">
        <v>FEMALE</v>
      </c>
      <c r="W17" s="4" t="str">
        <v>NEW BECKY</v>
      </c>
      <c r="X17" s="4" t="str">
        <v>MONTANA</v>
      </c>
      <c r="Y17" s="4" t="str">
        <v>USA</v>
      </c>
      <c r="Z17" s="4" t="str">
        <v>SILVER</v>
      </c>
    </row>
    <row r="18" spans="1:26" x14ac:dyDescent="0.25">
      <c r="A18" t="s">
        <v>70</v>
      </c>
      <c r="B18" t="s">
        <v>71</v>
      </c>
      <c r="C18">
        <v>53</v>
      </c>
      <c r="D18" t="s">
        <v>16</v>
      </c>
      <c r="E18" t="s">
        <v>72</v>
      </c>
      <c r="F18" t="s">
        <v>73</v>
      </c>
      <c r="G18" t="s">
        <v>13</v>
      </c>
      <c r="H18" t="s">
        <v>33</v>
      </c>
      <c r="J18" s="4" t="str">
        <v>CUST1014</v>
      </c>
      <c r="K18" s="4" t="str">
        <v>Ashley Cohen</v>
      </c>
      <c r="L18" s="4" t="str">
        <v>53</v>
      </c>
      <c r="M18" s="4" t="str">
        <v>Female</v>
      </c>
      <c r="N18" s="4" t="str">
        <v>Lake Kristamouth</v>
      </c>
      <c r="O18" s="4" t="str">
        <v>Nebraska</v>
      </c>
      <c r="P18" s="4" t="str">
        <v>USA</v>
      </c>
      <c r="Q18" s="4" t="str">
        <v>Silver</v>
      </c>
      <c r="S18" s="4" t="str">
        <v>CUST1014</v>
      </c>
      <c r="T18" s="4" t="str">
        <v>ASHLEY COHEN</v>
      </c>
      <c r="U18" s="4" t="str">
        <v>53</v>
      </c>
      <c r="V18" s="4" t="str">
        <v>FEMALE</v>
      </c>
      <c r="W18" s="4" t="str">
        <v>LAKE KRISTAMOUTH</v>
      </c>
      <c r="X18" s="4" t="str">
        <v>NEBRASKA</v>
      </c>
      <c r="Y18" s="4" t="str">
        <v>USA</v>
      </c>
      <c r="Z18" s="4" t="str">
        <v>SILVER</v>
      </c>
    </row>
    <row r="19" spans="1:26" x14ac:dyDescent="0.25">
      <c r="A19" t="s">
        <v>74</v>
      </c>
      <c r="B19" t="s">
        <v>75</v>
      </c>
      <c r="C19">
        <v>49</v>
      </c>
      <c r="D19" t="s">
        <v>16</v>
      </c>
      <c r="E19" t="s">
        <v>76</v>
      </c>
      <c r="F19" t="s">
        <v>77</v>
      </c>
      <c r="G19" t="s">
        <v>13</v>
      </c>
      <c r="H19" t="s">
        <v>19</v>
      </c>
      <c r="J19" s="4" t="str">
        <v>CUST1015</v>
      </c>
      <c r="K19" s="4" t="str">
        <v>Laura Alvarez</v>
      </c>
      <c r="L19" s="4" t="str">
        <v>49</v>
      </c>
      <c r="M19" s="4" t="str">
        <v>Female</v>
      </c>
      <c r="N19" s="4" t="str">
        <v>Lawsonhaven</v>
      </c>
      <c r="O19" s="4" t="str">
        <v>Washington</v>
      </c>
      <c r="P19" s="4" t="str">
        <v>USA</v>
      </c>
      <c r="Q19" s="4" t="str">
        <v>Platinum</v>
      </c>
      <c r="S19" s="4" t="str">
        <v>CUST1015</v>
      </c>
      <c r="T19" s="4" t="str">
        <v>LAURA ALVAREZ</v>
      </c>
      <c r="U19" s="4" t="str">
        <v>49</v>
      </c>
      <c r="V19" s="4" t="str">
        <v>FEMALE</v>
      </c>
      <c r="W19" s="4" t="str">
        <v>LAWSONHAVEN</v>
      </c>
      <c r="X19" s="4" t="str">
        <v>WASHINGTON</v>
      </c>
      <c r="Y19" s="4" t="str">
        <v>USA</v>
      </c>
      <c r="Z19" s="4" t="str">
        <v>PLATINUM</v>
      </c>
    </row>
    <row r="20" spans="1:26" x14ac:dyDescent="0.25">
      <c r="A20" t="s">
        <v>78</v>
      </c>
      <c r="B20" t="s">
        <v>79</v>
      </c>
      <c r="C20">
        <v>24</v>
      </c>
      <c r="D20" t="s">
        <v>16</v>
      </c>
      <c r="E20" t="s">
        <v>80</v>
      </c>
      <c r="F20" t="s">
        <v>54</v>
      </c>
      <c r="G20" t="s">
        <v>13</v>
      </c>
      <c r="H20" t="s">
        <v>28</v>
      </c>
      <c r="J20" s="4" t="str">
        <v>CUST1016</v>
      </c>
      <c r="K20" s="4" t="str">
        <v>John Scott</v>
      </c>
      <c r="L20" s="4" t="str">
        <v>24</v>
      </c>
      <c r="M20" s="4" t="str">
        <v>Female</v>
      </c>
      <c r="N20" s="4" t="str">
        <v>South Christopher</v>
      </c>
      <c r="O20" s="4" t="str">
        <v>Pennsylvania</v>
      </c>
      <c r="P20" s="4" t="str">
        <v>USA</v>
      </c>
      <c r="Q20" s="4" t="str">
        <v>Bronze</v>
      </c>
      <c r="S20" s="4" t="str">
        <v>CUST1016</v>
      </c>
      <c r="T20" s="4" t="str">
        <v>JOHN SCOTT</v>
      </c>
      <c r="U20" s="4" t="str">
        <v>24</v>
      </c>
      <c r="V20" s="4" t="str">
        <v>FEMALE</v>
      </c>
      <c r="W20" s="4" t="str">
        <v>SOUTH CHRISTOPHER</v>
      </c>
      <c r="X20" s="4" t="str">
        <v>PENNSYLVANIA</v>
      </c>
      <c r="Y20" s="4" t="str">
        <v>USA</v>
      </c>
      <c r="Z20" s="4" t="str">
        <v>BRONZE</v>
      </c>
    </row>
    <row r="21" spans="1:26" x14ac:dyDescent="0.25">
      <c r="A21" t="s">
        <v>81</v>
      </c>
      <c r="B21" t="s">
        <v>82</v>
      </c>
      <c r="C21">
        <v>60</v>
      </c>
      <c r="D21" t="s">
        <v>16</v>
      </c>
      <c r="E21" t="s">
        <v>83</v>
      </c>
      <c r="F21" t="s">
        <v>84</v>
      </c>
      <c r="G21" t="s">
        <v>13</v>
      </c>
      <c r="H21" t="s">
        <v>19</v>
      </c>
      <c r="J21" s="4" t="str">
        <v>CUST1017</v>
      </c>
      <c r="K21" s="4" t="str">
        <v>Adam Cruz</v>
      </c>
      <c r="L21" s="4" t="str">
        <v>60</v>
      </c>
      <c r="M21" s="4" t="str">
        <v>Female</v>
      </c>
      <c r="N21" s="4" t="str">
        <v>Brandonville</v>
      </c>
      <c r="O21" s="4" t="str">
        <v>Georgia</v>
      </c>
      <c r="P21" s="4" t="str">
        <v>USA</v>
      </c>
      <c r="Q21" s="4" t="str">
        <v>Platinum</v>
      </c>
      <c r="S21" s="4" t="str">
        <v>CUST1017</v>
      </c>
      <c r="T21" s="4" t="str">
        <v>ADAM CRUZ</v>
      </c>
      <c r="U21" s="4" t="str">
        <v>60</v>
      </c>
      <c r="V21" s="4" t="str">
        <v>FEMALE</v>
      </c>
      <c r="W21" s="4" t="str">
        <v>BRANDONVILLE</v>
      </c>
      <c r="X21" s="4" t="str">
        <v>GEORGIA</v>
      </c>
      <c r="Y21" s="4" t="str">
        <v>USA</v>
      </c>
      <c r="Z21" s="4" t="str">
        <v>PLATINUM</v>
      </c>
    </row>
    <row r="22" spans="1:26" x14ac:dyDescent="0.25">
      <c r="A22" t="s">
        <v>85</v>
      </c>
      <c r="B22" t="s">
        <v>86</v>
      </c>
      <c r="C22">
        <v>43</v>
      </c>
      <c r="D22" t="s">
        <v>10</v>
      </c>
      <c r="E22" t="s">
        <v>87</v>
      </c>
      <c r="F22" t="s">
        <v>65</v>
      </c>
      <c r="G22" t="s">
        <v>13</v>
      </c>
      <c r="J22" s="4" t="str">
        <v>CUST1018</v>
      </c>
      <c r="K22" s="4" t="str">
        <v>Rhonda Moss</v>
      </c>
      <c r="L22" s="4" t="str">
        <v>43</v>
      </c>
      <c r="M22" s="4" t="str">
        <v>Male</v>
      </c>
      <c r="N22" s="4" t="str">
        <v>South William</v>
      </c>
      <c r="O22" s="4" t="str">
        <v>Kansas</v>
      </c>
      <c r="P22" s="4" t="str">
        <v>USA</v>
      </c>
      <c r="Q22" s="4" t="str">
        <v/>
      </c>
      <c r="S22" s="4" t="str">
        <v>CUST1018</v>
      </c>
      <c r="T22" s="4" t="str">
        <v>RHONDA MOSS</v>
      </c>
      <c r="U22" s="4" t="str">
        <v>43</v>
      </c>
      <c r="V22" s="4" t="str">
        <v>MALE</v>
      </c>
      <c r="W22" s="4" t="str">
        <v>SOUTH WILLIAM</v>
      </c>
      <c r="X22" s="4" t="str">
        <v>KANSAS</v>
      </c>
      <c r="Y22" s="4" t="str">
        <v>USA</v>
      </c>
      <c r="Z22" s="4" t="str">
        <v/>
      </c>
    </row>
    <row r="23" spans="1:26" x14ac:dyDescent="0.25">
      <c r="A23" t="s">
        <v>88</v>
      </c>
      <c r="B23" t="s">
        <v>89</v>
      </c>
      <c r="C23">
        <v>46</v>
      </c>
      <c r="D23" t="s">
        <v>16</v>
      </c>
      <c r="E23" t="s">
        <v>90</v>
      </c>
      <c r="F23" t="s">
        <v>91</v>
      </c>
      <c r="G23" t="s">
        <v>13</v>
      </c>
      <c r="H23" t="s">
        <v>19</v>
      </c>
      <c r="J23" s="4" t="str">
        <v>CUST1019</v>
      </c>
      <c r="K23" s="4" t="str">
        <v>Michael Torres</v>
      </c>
      <c r="L23" s="4" t="str">
        <v>46</v>
      </c>
      <c r="M23" s="4" t="str">
        <v>Female</v>
      </c>
      <c r="N23" s="4" t="str">
        <v>Gonzalezfort</v>
      </c>
      <c r="O23" s="4" t="str">
        <v>New Jersey</v>
      </c>
      <c r="P23" s="4" t="str">
        <v>USA</v>
      </c>
      <c r="Q23" s="4" t="str">
        <v>Platinum</v>
      </c>
      <c r="S23" s="4" t="str">
        <v>CUST1019</v>
      </c>
      <c r="T23" s="4" t="str">
        <v>MICHAEL TORRES</v>
      </c>
      <c r="U23" s="4" t="str">
        <v>46</v>
      </c>
      <c r="V23" s="4" t="str">
        <v>FEMALE</v>
      </c>
      <c r="W23" s="4" t="str">
        <v>GONZALEZFORT</v>
      </c>
      <c r="X23" s="4" t="str">
        <v>NEW JERSEY</v>
      </c>
      <c r="Y23" s="4" t="str">
        <v>USA</v>
      </c>
      <c r="Z23" s="4" t="str">
        <v>PLATINUM</v>
      </c>
    </row>
    <row r="24" spans="1:26" x14ac:dyDescent="0.25">
      <c r="A24" t="s">
        <v>92</v>
      </c>
      <c r="B24" t="s">
        <v>93</v>
      </c>
      <c r="C24">
        <v>59</v>
      </c>
      <c r="D24" t="s">
        <v>10</v>
      </c>
      <c r="E24" t="s">
        <v>94</v>
      </c>
      <c r="F24" t="s">
        <v>95</v>
      </c>
      <c r="G24" t="s">
        <v>13</v>
      </c>
      <c r="H24" t="s">
        <v>33</v>
      </c>
      <c r="J24" s="4" t="str">
        <v>CUST1020</v>
      </c>
      <c r="K24" s="4" t="str">
        <v>Bridget Allen</v>
      </c>
      <c r="L24" s="4" t="str">
        <v>59</v>
      </c>
      <c r="M24" s="4" t="str">
        <v>Male</v>
      </c>
      <c r="N24" s="4" t="str">
        <v>Lake Shaneburgh</v>
      </c>
      <c r="O24" s="4" t="str">
        <v>Delaware</v>
      </c>
      <c r="P24" s="4" t="str">
        <v>USA</v>
      </c>
      <c r="Q24" s="4" t="str">
        <v>Silver</v>
      </c>
      <c r="S24" s="4" t="str">
        <v>CUST1020</v>
      </c>
      <c r="T24" s="4" t="str">
        <v>BRIDGET ALLEN</v>
      </c>
      <c r="U24" s="4" t="str">
        <v>59</v>
      </c>
      <c r="V24" s="4" t="str">
        <v>MALE</v>
      </c>
      <c r="W24" s="4" t="str">
        <v>LAKE SHANEBURGH</v>
      </c>
      <c r="X24" s="4" t="str">
        <v>DELAWARE</v>
      </c>
      <c r="Y24" s="4" t="str">
        <v>USA</v>
      </c>
      <c r="Z24" s="4" t="str">
        <v>SILVER</v>
      </c>
    </row>
    <row r="25" spans="1:26" x14ac:dyDescent="0.25">
      <c r="A25" t="s">
        <v>96</v>
      </c>
      <c r="B25" t="s">
        <v>97</v>
      </c>
      <c r="C25">
        <v>36</v>
      </c>
      <c r="D25" t="s">
        <v>16</v>
      </c>
      <c r="E25" t="s">
        <v>98</v>
      </c>
      <c r="F25" t="s">
        <v>99</v>
      </c>
      <c r="G25" t="s">
        <v>13</v>
      </c>
      <c r="H25" t="s">
        <v>50</v>
      </c>
      <c r="J25" s="4" t="str">
        <v>CUST1021</v>
      </c>
      <c r="K25" s="4" t="str">
        <v>Jeff Martinez</v>
      </c>
      <c r="L25" s="4" t="str">
        <v>36</v>
      </c>
      <c r="M25" s="4" t="str">
        <v>Female</v>
      </c>
      <c r="N25" s="4" t="str">
        <v>Smithburgh</v>
      </c>
      <c r="O25" s="4" t="str">
        <v>Oklahoma</v>
      </c>
      <c r="P25" s="4" t="str">
        <v>USA</v>
      </c>
      <c r="Q25" s="4" t="str">
        <v>Gold</v>
      </c>
      <c r="S25" s="4" t="str">
        <v>CUST1021</v>
      </c>
      <c r="T25" s="4" t="str">
        <v>JEFF MARTINEZ</v>
      </c>
      <c r="U25" s="4" t="str">
        <v>36</v>
      </c>
      <c r="V25" s="4" t="str">
        <v>FEMALE</v>
      </c>
      <c r="W25" s="4" t="str">
        <v>SMITHBURGH</v>
      </c>
      <c r="X25" s="4" t="str">
        <v>OKLAHOMA</v>
      </c>
      <c r="Y25" s="4" t="str">
        <v>USA</v>
      </c>
      <c r="Z25" s="4" t="str">
        <v>GOLD</v>
      </c>
    </row>
    <row r="26" spans="1:26" x14ac:dyDescent="0.25">
      <c r="A26" t="s">
        <v>100</v>
      </c>
      <c r="B26" t="s">
        <v>101</v>
      </c>
      <c r="C26">
        <v>33</v>
      </c>
      <c r="D26" t="s">
        <v>16</v>
      </c>
      <c r="E26" t="s">
        <v>102</v>
      </c>
      <c r="F26" t="s">
        <v>103</v>
      </c>
      <c r="G26" t="s">
        <v>13</v>
      </c>
      <c r="H26" t="s">
        <v>33</v>
      </c>
      <c r="J26" s="4" t="str">
        <v>CUST1022</v>
      </c>
      <c r="K26" s="4" t="str">
        <v>paul fox</v>
      </c>
      <c r="L26" s="4" t="str">
        <v>33</v>
      </c>
      <c r="M26" s="4" t="str">
        <v>Female</v>
      </c>
      <c r="N26" s="4" t="str">
        <v>Michaelton</v>
      </c>
      <c r="O26" s="4" t="str">
        <v>Hawaii</v>
      </c>
      <c r="P26" s="4" t="str">
        <v>USA</v>
      </c>
      <c r="Q26" s="4" t="str">
        <v>Silver</v>
      </c>
      <c r="S26" s="4" t="str">
        <v>CUST1022</v>
      </c>
      <c r="T26" s="4" t="str">
        <v>PAUL FOX</v>
      </c>
      <c r="U26" s="4" t="str">
        <v>33</v>
      </c>
      <c r="V26" s="4" t="str">
        <v>FEMALE</v>
      </c>
      <c r="W26" s="4" t="str">
        <v>MICHAELTON</v>
      </c>
      <c r="X26" s="4" t="str">
        <v>HAWAII</v>
      </c>
      <c r="Y26" s="4" t="str">
        <v>USA</v>
      </c>
      <c r="Z26" s="4" t="str">
        <v>SILVER</v>
      </c>
    </row>
    <row r="27" spans="1:26" x14ac:dyDescent="0.25">
      <c r="A27" t="s">
        <v>104</v>
      </c>
      <c r="B27" t="s">
        <v>105</v>
      </c>
      <c r="C27">
        <v>52</v>
      </c>
      <c r="D27" t="s">
        <v>16</v>
      </c>
      <c r="E27" t="s">
        <v>106</v>
      </c>
      <c r="F27" t="s">
        <v>37</v>
      </c>
      <c r="G27" t="s">
        <v>13</v>
      </c>
      <c r="H27" t="s">
        <v>33</v>
      </c>
      <c r="J27" s="4" t="str">
        <v>CUST1023</v>
      </c>
      <c r="K27" s="4" t="str">
        <v>Jonathan Steele</v>
      </c>
      <c r="L27" s="4" t="str">
        <v>52</v>
      </c>
      <c r="M27" s="4" t="str">
        <v>Female</v>
      </c>
      <c r="N27" s="4" t="str">
        <v>Molinabury</v>
      </c>
      <c r="O27" s="4" t="str">
        <v>Oregon</v>
      </c>
      <c r="P27" s="4" t="str">
        <v>USA</v>
      </c>
      <c r="Q27" s="4" t="str">
        <v>Silver</v>
      </c>
      <c r="S27" s="4" t="str">
        <v>CUST1023</v>
      </c>
      <c r="T27" s="4" t="str">
        <v>JONATHAN STEELE</v>
      </c>
      <c r="U27" s="4" t="str">
        <v>52</v>
      </c>
      <c r="V27" s="4" t="str">
        <v>FEMALE</v>
      </c>
      <c r="W27" s="4" t="str">
        <v>MOLINABURY</v>
      </c>
      <c r="X27" s="4" t="str">
        <v>OREGON</v>
      </c>
      <c r="Y27" s="4" t="str">
        <v>USA</v>
      </c>
      <c r="Z27" s="4" t="str">
        <v>SILVER</v>
      </c>
    </row>
    <row r="28" spans="1:26" x14ac:dyDescent="0.25">
      <c r="A28" t="s">
        <v>107</v>
      </c>
      <c r="B28" t="s">
        <v>108</v>
      </c>
      <c r="C28">
        <v>40</v>
      </c>
      <c r="D28" t="s">
        <v>10</v>
      </c>
      <c r="E28" t="s">
        <v>109</v>
      </c>
      <c r="F28" t="s">
        <v>110</v>
      </c>
      <c r="G28" t="s">
        <v>13</v>
      </c>
      <c r="H28" t="s">
        <v>19</v>
      </c>
      <c r="J28" s="4" t="str">
        <v>CUST1024</v>
      </c>
      <c r="K28" s="4" t="str">
        <v>Heather Collins</v>
      </c>
      <c r="L28" s="4" t="str">
        <v>40</v>
      </c>
      <c r="M28" s="4" t="str">
        <v>Male</v>
      </c>
      <c r="N28" s="4" t="str">
        <v>Rogerschester</v>
      </c>
      <c r="O28" s="4" t="str">
        <v>Idaho</v>
      </c>
      <c r="P28" s="4" t="str">
        <v>USA</v>
      </c>
      <c r="Q28" s="4" t="str">
        <v>Platinum</v>
      </c>
      <c r="S28" s="4" t="str">
        <v>CUST1024</v>
      </c>
      <c r="T28" s="4" t="str">
        <v>HEATHER COLLINS</v>
      </c>
      <c r="U28" s="4" t="str">
        <v>40</v>
      </c>
      <c r="V28" s="4" t="str">
        <v>MALE</v>
      </c>
      <c r="W28" s="4" t="str">
        <v>ROGERSCHESTER</v>
      </c>
      <c r="X28" s="4" t="str">
        <v>IDAHO</v>
      </c>
      <c r="Y28" s="4" t="str">
        <v>USA</v>
      </c>
      <c r="Z28" s="4" t="str">
        <v>PLATINUM</v>
      </c>
    </row>
    <row r="29" spans="1:26" x14ac:dyDescent="0.25">
      <c r="A29" t="s">
        <v>111</v>
      </c>
      <c r="B29" t="s">
        <v>112</v>
      </c>
      <c r="C29">
        <v>59</v>
      </c>
      <c r="D29" t="s">
        <v>16</v>
      </c>
      <c r="E29" t="s">
        <v>113</v>
      </c>
      <c r="F29" t="s">
        <v>32</v>
      </c>
      <c r="G29" t="s">
        <v>13</v>
      </c>
      <c r="H29" t="s">
        <v>28</v>
      </c>
      <c r="J29" s="4" t="str">
        <v>CUST1025</v>
      </c>
      <c r="K29" s="4" t="str">
        <v>Diana Taylor</v>
      </c>
      <c r="L29" s="4" t="str">
        <v>59</v>
      </c>
      <c r="M29" s="4" t="str">
        <v>Female</v>
      </c>
      <c r="N29" s="4" t="str">
        <v>Vasqueztown</v>
      </c>
      <c r="O29" s="4" t="str">
        <v>California</v>
      </c>
      <c r="P29" s="4" t="str">
        <v>USA</v>
      </c>
      <c r="Q29" s="4" t="str">
        <v>Bronze</v>
      </c>
      <c r="S29" s="4" t="str">
        <v>CUST1025</v>
      </c>
      <c r="T29" s="4" t="str">
        <v>DIANA TAYLOR</v>
      </c>
      <c r="U29" s="4" t="str">
        <v>59</v>
      </c>
      <c r="V29" s="4" t="str">
        <v>FEMALE</v>
      </c>
      <c r="W29" s="4" t="str">
        <v>VASQUEZTOWN</v>
      </c>
      <c r="X29" s="4" t="str">
        <v>CALIFORNIA</v>
      </c>
      <c r="Y29" s="4" t="str">
        <v>USA</v>
      </c>
      <c r="Z29" s="4" t="str">
        <v>BRONZE</v>
      </c>
    </row>
    <row r="30" spans="1:26" x14ac:dyDescent="0.25">
      <c r="A30" t="s">
        <v>114</v>
      </c>
      <c r="B30" t="s">
        <v>115</v>
      </c>
      <c r="C30">
        <v>18</v>
      </c>
      <c r="D30" t="s">
        <v>16</v>
      </c>
      <c r="E30" t="s">
        <v>116</v>
      </c>
      <c r="F30" t="s">
        <v>117</v>
      </c>
      <c r="G30" t="s">
        <v>13</v>
      </c>
      <c r="H30" t="s">
        <v>50</v>
      </c>
      <c r="J30" s="4" t="str">
        <v>CUST1026</v>
      </c>
      <c r="K30" s="4" t="str">
        <v>Amber Carlson</v>
      </c>
      <c r="L30" s="4" t="str">
        <v>18</v>
      </c>
      <c r="M30" s="4" t="str">
        <v>Female</v>
      </c>
      <c r="N30" s="4" t="str">
        <v>East Michellemouth</v>
      </c>
      <c r="O30" s="4" t="str">
        <v>Missouri</v>
      </c>
      <c r="P30" s="4" t="str">
        <v>USA</v>
      </c>
      <c r="Q30" s="4" t="str">
        <v>Gold</v>
      </c>
      <c r="S30" s="4" t="str">
        <v>CUST1026</v>
      </c>
      <c r="T30" s="4" t="str">
        <v>AMBER CARLSON</v>
      </c>
      <c r="U30" s="4" t="str">
        <v>18</v>
      </c>
      <c r="V30" s="4" t="str">
        <v>FEMALE</v>
      </c>
      <c r="W30" s="4" t="str">
        <v>EAST MICHELLEMOUTH</v>
      </c>
      <c r="X30" s="4" t="str">
        <v>MISSOURI</v>
      </c>
      <c r="Y30" s="4" t="str">
        <v>USA</v>
      </c>
      <c r="Z30" s="4" t="str">
        <v>GOLD</v>
      </c>
    </row>
    <row r="31" spans="1:26" x14ac:dyDescent="0.25">
      <c r="A31" t="s">
        <v>118</v>
      </c>
      <c r="B31" t="s">
        <v>119</v>
      </c>
      <c r="C31">
        <v>31</v>
      </c>
      <c r="D31" t="s">
        <v>10</v>
      </c>
      <c r="E31" t="s">
        <v>120</v>
      </c>
      <c r="F31" t="s">
        <v>121</v>
      </c>
      <c r="G31" t="s">
        <v>13</v>
      </c>
      <c r="J31" s="4" t="str">
        <v>CUST1027</v>
      </c>
      <c r="K31" s="4" t="str">
        <v>Leslie Johnson</v>
      </c>
      <c r="L31" s="4" t="str">
        <v>31</v>
      </c>
      <c r="M31" s="4" t="str">
        <v>Male</v>
      </c>
      <c r="N31" s="4" t="str">
        <v>Mollyshire</v>
      </c>
      <c r="O31" s="4" t="str">
        <v>Utah</v>
      </c>
      <c r="P31" s="4" t="str">
        <v>USA</v>
      </c>
      <c r="Q31" s="4" t="str">
        <v/>
      </c>
      <c r="S31" s="4" t="str">
        <v>CUST1027</v>
      </c>
      <c r="T31" s="4" t="str">
        <v>LESLIE JOHNSON</v>
      </c>
      <c r="U31" s="4" t="str">
        <v>31</v>
      </c>
      <c r="V31" s="4" t="str">
        <v>MALE</v>
      </c>
      <c r="W31" s="4" t="str">
        <v>MOLLYSHIRE</v>
      </c>
      <c r="X31" s="4" t="str">
        <v>UTAH</v>
      </c>
      <c r="Y31" s="4" t="str">
        <v>USA</v>
      </c>
      <c r="Z31" s="4" t="str">
        <v/>
      </c>
    </row>
    <row r="32" spans="1:26" x14ac:dyDescent="0.25">
      <c r="A32" t="s">
        <v>122</v>
      </c>
      <c r="B32" t="s">
        <v>123</v>
      </c>
      <c r="C32">
        <v>27</v>
      </c>
      <c r="D32" t="s">
        <v>16</v>
      </c>
      <c r="E32" t="s">
        <v>124</v>
      </c>
      <c r="F32" t="s">
        <v>91</v>
      </c>
      <c r="G32" t="s">
        <v>13</v>
      </c>
      <c r="H32" t="s">
        <v>19</v>
      </c>
      <c r="J32" s="4" t="str">
        <v>CUST1028</v>
      </c>
      <c r="K32" s="4" t="str">
        <v>Joshua Ryan</v>
      </c>
      <c r="L32" s="4" t="str">
        <v>27</v>
      </c>
      <c r="M32" s="4" t="str">
        <v>Female</v>
      </c>
      <c r="N32" s="4" t="str">
        <v>New David</v>
      </c>
      <c r="O32" s="4" t="str">
        <v>New Jersey</v>
      </c>
      <c r="P32" s="4" t="str">
        <v>USA</v>
      </c>
      <c r="Q32" s="4" t="str">
        <v>Platinum</v>
      </c>
      <c r="S32" s="4" t="str">
        <v>CUST1028</v>
      </c>
      <c r="T32" s="4" t="str">
        <v>JOSHUA RYAN</v>
      </c>
      <c r="U32" s="4" t="str">
        <v>27</v>
      </c>
      <c r="V32" s="4" t="str">
        <v>FEMALE</v>
      </c>
      <c r="W32" s="4" t="str">
        <v>NEW DAVID</v>
      </c>
      <c r="X32" s="4" t="str">
        <v>NEW JERSEY</v>
      </c>
      <c r="Y32" s="4" t="str">
        <v>USA</v>
      </c>
      <c r="Z32" s="4" t="str">
        <v>PLATINUM</v>
      </c>
    </row>
    <row r="33" spans="1:26" x14ac:dyDescent="0.25">
      <c r="A33" t="s">
        <v>125</v>
      </c>
      <c r="B33" t="s">
        <v>126</v>
      </c>
      <c r="C33">
        <v>54</v>
      </c>
      <c r="D33" t="s">
        <v>16</v>
      </c>
      <c r="E33" t="s">
        <v>127</v>
      </c>
      <c r="F33" t="s">
        <v>32</v>
      </c>
      <c r="G33" t="s">
        <v>13</v>
      </c>
      <c r="H33" t="s">
        <v>33</v>
      </c>
      <c r="J33" s="4" t="str">
        <v>CUST1029</v>
      </c>
      <c r="K33" s="4" t="str">
        <v>David Arnold</v>
      </c>
      <c r="L33" s="4" t="str">
        <v>54</v>
      </c>
      <c r="M33" s="4" t="str">
        <v>Female</v>
      </c>
      <c r="N33" s="4" t="str">
        <v>East Jennifer</v>
      </c>
      <c r="O33" s="4" t="str">
        <v>California</v>
      </c>
      <c r="P33" s="4" t="str">
        <v>USA</v>
      </c>
      <c r="Q33" s="4" t="str">
        <v>Silver</v>
      </c>
      <c r="S33" s="4" t="str">
        <v>CUST1029</v>
      </c>
      <c r="T33" s="4" t="str">
        <v>DAVID ARNOLD</v>
      </c>
      <c r="U33" s="4" t="str">
        <v>54</v>
      </c>
      <c r="V33" s="4" t="str">
        <v>FEMALE</v>
      </c>
      <c r="W33" s="4" t="str">
        <v>EAST JENNIFER</v>
      </c>
      <c r="X33" s="4" t="str">
        <v>CALIFORNIA</v>
      </c>
      <c r="Y33" s="4" t="str">
        <v>USA</v>
      </c>
      <c r="Z33" s="4" t="str">
        <v>SILVER</v>
      </c>
    </row>
    <row r="34" spans="1:26" x14ac:dyDescent="0.25">
      <c r="A34" t="s">
        <v>128</v>
      </c>
      <c r="B34" t="s">
        <v>129</v>
      </c>
      <c r="C34">
        <v>64</v>
      </c>
      <c r="D34" t="s">
        <v>16</v>
      </c>
      <c r="E34" t="s">
        <v>130</v>
      </c>
      <c r="F34" t="s">
        <v>54</v>
      </c>
      <c r="G34" t="s">
        <v>13</v>
      </c>
      <c r="H34" t="s">
        <v>28</v>
      </c>
      <c r="J34" s="4" t="str">
        <v>CUST1030</v>
      </c>
      <c r="K34" s="4" t="str">
        <v>Jessica Acevedo</v>
      </c>
      <c r="L34" s="4" t="str">
        <v>64</v>
      </c>
      <c r="M34" s="4" t="str">
        <v>Female</v>
      </c>
      <c r="N34" s="4" t="str">
        <v>Amybury</v>
      </c>
      <c r="O34" s="4" t="str">
        <v>Pennsylvania</v>
      </c>
      <c r="P34" s="4" t="str">
        <v>USA</v>
      </c>
      <c r="Q34" s="4" t="str">
        <v>Bronze</v>
      </c>
      <c r="S34" s="4" t="str">
        <v>CUST1030</v>
      </c>
      <c r="T34" s="4" t="str">
        <v>JESSICA ACEVEDO</v>
      </c>
      <c r="U34" s="4" t="str">
        <v>64</v>
      </c>
      <c r="V34" s="4" t="str">
        <v>FEMALE</v>
      </c>
      <c r="W34" s="4" t="str">
        <v>AMYBURY</v>
      </c>
      <c r="X34" s="4" t="str">
        <v>PENNSYLVANIA</v>
      </c>
      <c r="Y34" s="4" t="str">
        <v>USA</v>
      </c>
      <c r="Z34" s="4" t="str">
        <v>BRONZE</v>
      </c>
    </row>
    <row r="35" spans="1:26" x14ac:dyDescent="0.25">
      <c r="A35" t="s">
        <v>131</v>
      </c>
      <c r="B35" t="s">
        <v>132</v>
      </c>
      <c r="C35">
        <v>41</v>
      </c>
      <c r="D35" t="s">
        <v>10</v>
      </c>
      <c r="E35" t="s">
        <v>133</v>
      </c>
      <c r="F35" t="s">
        <v>37</v>
      </c>
      <c r="G35" t="s">
        <v>13</v>
      </c>
      <c r="H35" t="s">
        <v>33</v>
      </c>
      <c r="J35" s="4" t="str">
        <v>CUST1031</v>
      </c>
      <c r="K35" s="4" t="str">
        <v>Sarah Vance</v>
      </c>
      <c r="L35" s="4" t="str">
        <v>41</v>
      </c>
      <c r="M35" s="4" t="str">
        <v>Male</v>
      </c>
      <c r="N35" s="4" t="str">
        <v>Johnsonville</v>
      </c>
      <c r="O35" s="4" t="str">
        <v>Oregon</v>
      </c>
      <c r="P35" s="4" t="str">
        <v>USA</v>
      </c>
      <c r="Q35" s="4" t="str">
        <v>Silver</v>
      </c>
      <c r="S35" s="4" t="str">
        <v>CUST1031</v>
      </c>
      <c r="T35" s="4" t="str">
        <v>SARAH VANCE</v>
      </c>
      <c r="U35" s="4" t="str">
        <v>41</v>
      </c>
      <c r="V35" s="4" t="str">
        <v>MALE</v>
      </c>
      <c r="W35" s="4" t="str">
        <v>JOHNSONVILLE</v>
      </c>
      <c r="X35" s="4" t="str">
        <v>OREGON</v>
      </c>
      <c r="Y35" s="4" t="str">
        <v>USA</v>
      </c>
      <c r="Z35" s="4" t="str">
        <v>SILVER</v>
      </c>
    </row>
    <row r="36" spans="1:26" x14ac:dyDescent="0.25">
      <c r="A36" t="s">
        <v>134</v>
      </c>
      <c r="B36" t="s">
        <v>135</v>
      </c>
      <c r="C36">
        <v>48</v>
      </c>
      <c r="D36" t="s">
        <v>16</v>
      </c>
      <c r="E36" t="s">
        <v>136</v>
      </c>
      <c r="F36" t="s">
        <v>137</v>
      </c>
      <c r="G36" t="s">
        <v>13</v>
      </c>
      <c r="H36" t="s">
        <v>50</v>
      </c>
      <c r="J36" s="4" t="str">
        <v>CUST1032</v>
      </c>
      <c r="K36" s="4" t="str">
        <v>Mike Jennings</v>
      </c>
      <c r="L36" s="4" t="str">
        <v>48</v>
      </c>
      <c r="M36" s="4" t="str">
        <v>Female</v>
      </c>
      <c r="N36" s="4" t="str">
        <v>Fostermouth</v>
      </c>
      <c r="O36" s="4" t="str">
        <v>Arizona</v>
      </c>
      <c r="P36" s="4" t="str">
        <v>USA</v>
      </c>
      <c r="Q36" s="4" t="str">
        <v>Gold</v>
      </c>
      <c r="S36" s="4" t="str">
        <v>CUST1032</v>
      </c>
      <c r="T36" s="4" t="str">
        <v>MIKE JENNINGS</v>
      </c>
      <c r="U36" s="4" t="str">
        <v>48</v>
      </c>
      <c r="V36" s="4" t="str">
        <v>FEMALE</v>
      </c>
      <c r="W36" s="4" t="str">
        <v>FOSTERMOUTH</v>
      </c>
      <c r="X36" s="4" t="str">
        <v>ARIZONA</v>
      </c>
      <c r="Y36" s="4" t="str">
        <v>USA</v>
      </c>
      <c r="Z36" s="4" t="str">
        <v>GOLD</v>
      </c>
    </row>
    <row r="37" spans="1:26" x14ac:dyDescent="0.25">
      <c r="A37" t="s">
        <v>138</v>
      </c>
      <c r="B37" t="s">
        <v>139</v>
      </c>
      <c r="C37">
        <v>25</v>
      </c>
      <c r="D37" t="s">
        <v>10</v>
      </c>
      <c r="E37" t="s">
        <v>140</v>
      </c>
      <c r="F37" t="s">
        <v>99</v>
      </c>
      <c r="G37" t="s">
        <v>13</v>
      </c>
      <c r="H37" t="s">
        <v>19</v>
      </c>
      <c r="J37" s="4" t="str">
        <v>CUST1033</v>
      </c>
      <c r="K37" s="4" t="str">
        <v>Robert Jones DDS</v>
      </c>
      <c r="L37" s="4" t="str">
        <v>25</v>
      </c>
      <c r="M37" s="4" t="str">
        <v>Male</v>
      </c>
      <c r="N37" s="4" t="str">
        <v>Tristanton</v>
      </c>
      <c r="O37" s="4" t="str">
        <v>Oklahoma</v>
      </c>
      <c r="P37" s="4" t="str">
        <v>USA</v>
      </c>
      <c r="Q37" s="4" t="str">
        <v>Platinum</v>
      </c>
      <c r="S37" s="4" t="str">
        <v>CUST1033</v>
      </c>
      <c r="T37" s="4" t="str">
        <v>ROBERT JONES DDS</v>
      </c>
      <c r="U37" s="4" t="str">
        <v>25</v>
      </c>
      <c r="V37" s="4" t="str">
        <v>MALE</v>
      </c>
      <c r="W37" s="4" t="str">
        <v>TRISTANTON</v>
      </c>
      <c r="X37" s="4" t="str">
        <v>OKLAHOMA</v>
      </c>
      <c r="Y37" s="4" t="str">
        <v>USA</v>
      </c>
      <c r="Z37" s="4" t="str">
        <v>PLATINUM</v>
      </c>
    </row>
    <row r="38" spans="1:26" x14ac:dyDescent="0.25">
      <c r="A38" t="s">
        <v>141</v>
      </c>
      <c r="B38" t="s">
        <v>142</v>
      </c>
      <c r="C38">
        <v>27</v>
      </c>
      <c r="D38" t="s">
        <v>16</v>
      </c>
      <c r="E38" t="s">
        <v>143</v>
      </c>
      <c r="F38" t="s">
        <v>144</v>
      </c>
      <c r="G38" t="s">
        <v>13</v>
      </c>
      <c r="H38" t="s">
        <v>19</v>
      </c>
      <c r="J38" s="4" t="str">
        <v>CUST1034</v>
      </c>
      <c r="K38" s="4" t="str">
        <v>Christopher Olson</v>
      </c>
      <c r="L38" s="4" t="str">
        <v>27</v>
      </c>
      <c r="M38" s="4" t="str">
        <v>Female</v>
      </c>
      <c r="N38" s="4" t="str">
        <v>West Richard</v>
      </c>
      <c r="O38" s="4" t="str">
        <v>Maryland</v>
      </c>
      <c r="P38" s="4" t="str">
        <v>USA</v>
      </c>
      <c r="Q38" s="4" t="str">
        <v>Platinum</v>
      </c>
      <c r="S38" s="4" t="str">
        <v>CUST1034</v>
      </c>
      <c r="T38" s="4" t="str">
        <v>CHRISTOPHER OLSON</v>
      </c>
      <c r="U38" s="4" t="str">
        <v>27</v>
      </c>
      <c r="V38" s="4" t="str">
        <v>FEMALE</v>
      </c>
      <c r="W38" s="4" t="str">
        <v>WEST RICHARD</v>
      </c>
      <c r="X38" s="4" t="str">
        <v>MARYLAND</v>
      </c>
      <c r="Y38" s="4" t="str">
        <v>USA</v>
      </c>
      <c r="Z38" s="4" t="str">
        <v>PLATINUM</v>
      </c>
    </row>
    <row r="39" spans="1:26" x14ac:dyDescent="0.25">
      <c r="A39" t="s">
        <v>145</v>
      </c>
      <c r="B39" t="s">
        <v>146</v>
      </c>
      <c r="C39">
        <v>52</v>
      </c>
      <c r="D39" t="s">
        <v>10</v>
      </c>
      <c r="E39" t="s">
        <v>147</v>
      </c>
      <c r="F39" t="s">
        <v>18</v>
      </c>
      <c r="G39" t="s">
        <v>13</v>
      </c>
      <c r="H39" t="s">
        <v>33</v>
      </c>
      <c r="J39" s="4" t="str">
        <v>CUST1035</v>
      </c>
      <c r="K39" s="4" t="str">
        <v>Rachel Myers</v>
      </c>
      <c r="L39" s="4" t="str">
        <v>52</v>
      </c>
      <c r="M39" s="4" t="str">
        <v>Male</v>
      </c>
      <c r="N39" s="4" t="str">
        <v>Robertberg</v>
      </c>
      <c r="O39" s="4" t="str">
        <v>North Dakota</v>
      </c>
      <c r="P39" s="4" t="str">
        <v>USA</v>
      </c>
      <c r="Q39" s="4" t="str">
        <v>Silver</v>
      </c>
      <c r="S39" s="4" t="str">
        <v>CUST1035</v>
      </c>
      <c r="T39" s="4" t="str">
        <v>RACHEL MYERS</v>
      </c>
      <c r="U39" s="4" t="str">
        <v>52</v>
      </c>
      <c r="V39" s="4" t="str">
        <v>MALE</v>
      </c>
      <c r="W39" s="4" t="str">
        <v>ROBERTBERG</v>
      </c>
      <c r="X39" s="4" t="str">
        <v>NORTH DAKOTA</v>
      </c>
      <c r="Y39" s="4" t="str">
        <v>USA</v>
      </c>
      <c r="Z39" s="4" t="str">
        <v>SILVER</v>
      </c>
    </row>
    <row r="40" spans="1:26" x14ac:dyDescent="0.25">
      <c r="A40" t="s">
        <v>148</v>
      </c>
      <c r="B40" t="s">
        <v>149</v>
      </c>
      <c r="C40">
        <v>20</v>
      </c>
      <c r="D40" t="s">
        <v>16</v>
      </c>
      <c r="E40" t="s">
        <v>150</v>
      </c>
      <c r="F40" t="s">
        <v>84</v>
      </c>
      <c r="G40" t="s">
        <v>13</v>
      </c>
      <c r="H40" t="s">
        <v>50</v>
      </c>
      <c r="J40" s="4" t="str">
        <v>CUST1036</v>
      </c>
      <c r="K40" s="4" t="str">
        <v>Thomas Phillips</v>
      </c>
      <c r="L40" s="4" t="str">
        <v>20</v>
      </c>
      <c r="M40" s="4" t="str">
        <v>Female</v>
      </c>
      <c r="N40" s="4" t="str">
        <v>Luisfurt</v>
      </c>
      <c r="O40" s="4" t="str">
        <v>Georgia</v>
      </c>
      <c r="P40" s="4" t="str">
        <v>USA</v>
      </c>
      <c r="Q40" s="4" t="str">
        <v>Gold</v>
      </c>
      <c r="S40" s="4" t="str">
        <v>CUST1036</v>
      </c>
      <c r="T40" s="4" t="str">
        <v>THOMAS PHILLIPS</v>
      </c>
      <c r="U40" s="4" t="str">
        <v>20</v>
      </c>
      <c r="V40" s="4" t="str">
        <v>FEMALE</v>
      </c>
      <c r="W40" s="4" t="str">
        <v>LUISFURT</v>
      </c>
      <c r="X40" s="4" t="str">
        <v>GEORGIA</v>
      </c>
      <c r="Y40" s="4" t="str">
        <v>USA</v>
      </c>
      <c r="Z40" s="4" t="str">
        <v>GOLD</v>
      </c>
    </row>
    <row r="41" spans="1:26" x14ac:dyDescent="0.25">
      <c r="A41" t="s">
        <v>151</v>
      </c>
      <c r="B41" t="s">
        <v>152</v>
      </c>
      <c r="C41">
        <v>27</v>
      </c>
      <c r="D41" t="s">
        <v>16</v>
      </c>
      <c r="E41" t="s">
        <v>153</v>
      </c>
      <c r="F41" t="s">
        <v>41</v>
      </c>
      <c r="G41" t="s">
        <v>13</v>
      </c>
      <c r="J41" s="4" t="str">
        <v>CUST1037</v>
      </c>
      <c r="K41" s="4" t="str">
        <v>Christopher Carter</v>
      </c>
      <c r="L41" s="4" t="str">
        <v>27</v>
      </c>
      <c r="M41" s="4" t="str">
        <v>Female</v>
      </c>
      <c r="N41" s="4" t="str">
        <v>Brendastad</v>
      </c>
      <c r="O41" s="4" t="str">
        <v>South Dakota</v>
      </c>
      <c r="P41" s="4" t="str">
        <v>USA</v>
      </c>
      <c r="Q41" s="4" t="str">
        <v/>
      </c>
      <c r="S41" s="4" t="str">
        <v>CUST1037</v>
      </c>
      <c r="T41" s="4" t="str">
        <v>CHRISTOPHER CARTER</v>
      </c>
      <c r="U41" s="4" t="str">
        <v>27</v>
      </c>
      <c r="V41" s="4" t="str">
        <v>FEMALE</v>
      </c>
      <c r="W41" s="4" t="str">
        <v>BRENDASTAD</v>
      </c>
      <c r="X41" s="4" t="str">
        <v>SOUTH DAKOTA</v>
      </c>
      <c r="Y41" s="4" t="str">
        <v>USA</v>
      </c>
      <c r="Z41" s="4" t="str">
        <v/>
      </c>
    </row>
    <row r="42" spans="1:26" x14ac:dyDescent="0.25">
      <c r="A42" t="s">
        <v>154</v>
      </c>
      <c r="B42" t="s">
        <v>155</v>
      </c>
      <c r="C42">
        <v>35</v>
      </c>
      <c r="D42" t="s">
        <v>16</v>
      </c>
      <c r="E42" t="s">
        <v>156</v>
      </c>
      <c r="F42" t="s">
        <v>18</v>
      </c>
      <c r="G42" t="s">
        <v>13</v>
      </c>
      <c r="H42" t="s">
        <v>28</v>
      </c>
      <c r="J42" s="4" t="str">
        <v>CUST1038</v>
      </c>
      <c r="K42" s="4" t="str">
        <v>Deanna Simpson</v>
      </c>
      <c r="L42" s="4" t="str">
        <v>35</v>
      </c>
      <c r="M42" s="4" t="str">
        <v>Female</v>
      </c>
      <c r="N42" s="4" t="str">
        <v>Brownport</v>
      </c>
      <c r="O42" s="4" t="str">
        <v>North Dakota</v>
      </c>
      <c r="P42" s="4" t="str">
        <v>USA</v>
      </c>
      <c r="Q42" s="4" t="str">
        <v>Bronze</v>
      </c>
      <c r="S42" s="4" t="str">
        <v>CUST1038</v>
      </c>
      <c r="T42" s="4" t="str">
        <v>DEANNA SIMPSON</v>
      </c>
      <c r="U42" s="4" t="str">
        <v>35</v>
      </c>
      <c r="V42" s="4" t="str">
        <v>FEMALE</v>
      </c>
      <c r="W42" s="4" t="str">
        <v>BROWNPORT</v>
      </c>
      <c r="X42" s="4" t="str">
        <v>NORTH DAKOTA</v>
      </c>
      <c r="Y42" s="4" t="str">
        <v>USA</v>
      </c>
      <c r="Z42" s="4" t="str">
        <v>BRONZE</v>
      </c>
    </row>
    <row r="43" spans="1:26" x14ac:dyDescent="0.25">
      <c r="A43" t="s">
        <v>157</v>
      </c>
      <c r="B43" t="s">
        <v>158</v>
      </c>
      <c r="C43">
        <v>55</v>
      </c>
      <c r="D43" t="s">
        <v>16</v>
      </c>
      <c r="E43" t="s">
        <v>159</v>
      </c>
      <c r="F43" t="s">
        <v>160</v>
      </c>
      <c r="G43" t="s">
        <v>13</v>
      </c>
      <c r="H43" t="s">
        <v>50</v>
      </c>
      <c r="J43" s="4" t="str">
        <v>CUST1039</v>
      </c>
      <c r="K43" s="4" t="str">
        <v>Tonya Reynolds</v>
      </c>
      <c r="L43" s="4" t="str">
        <v>55</v>
      </c>
      <c r="M43" s="4" t="str">
        <v>Female</v>
      </c>
      <c r="N43" s="4" t="str">
        <v>Darleneton</v>
      </c>
      <c r="O43" s="4" t="str">
        <v>Michigan</v>
      </c>
      <c r="P43" s="4" t="str">
        <v>USA</v>
      </c>
      <c r="Q43" s="4" t="str">
        <v>Gold</v>
      </c>
      <c r="S43" s="4" t="str">
        <v>CUST1039</v>
      </c>
      <c r="T43" s="4" t="str">
        <v>TONYA REYNOLDS</v>
      </c>
      <c r="U43" s="4" t="str">
        <v>55</v>
      </c>
      <c r="V43" s="4" t="str">
        <v>FEMALE</v>
      </c>
      <c r="W43" s="4" t="str">
        <v>DARLENETON</v>
      </c>
      <c r="X43" s="4" t="str">
        <v>MICHIGAN</v>
      </c>
      <c r="Y43" s="4" t="str">
        <v>USA</v>
      </c>
      <c r="Z43" s="4" t="str">
        <v>GOLD</v>
      </c>
    </row>
    <row r="44" spans="1:26" x14ac:dyDescent="0.25">
      <c r="A44" t="s">
        <v>161</v>
      </c>
      <c r="B44" t="s">
        <v>162</v>
      </c>
      <c r="C44">
        <v>50</v>
      </c>
      <c r="D44" t="s">
        <v>10</v>
      </c>
      <c r="E44" t="s">
        <v>163</v>
      </c>
      <c r="F44" t="s">
        <v>65</v>
      </c>
      <c r="G44" t="s">
        <v>13</v>
      </c>
      <c r="H44" t="s">
        <v>50</v>
      </c>
      <c r="J44" s="4" t="str">
        <v>CUST1040</v>
      </c>
      <c r="K44" s="4" t="str">
        <v>Eric Vega</v>
      </c>
      <c r="L44" s="4" t="str">
        <v>50</v>
      </c>
      <c r="M44" s="4" t="str">
        <v>Male</v>
      </c>
      <c r="N44" s="4" t="str">
        <v>Williamsonland</v>
      </c>
      <c r="O44" s="4" t="str">
        <v>Kansas</v>
      </c>
      <c r="P44" s="4" t="str">
        <v>USA</v>
      </c>
      <c r="Q44" s="4" t="str">
        <v>Gold</v>
      </c>
      <c r="S44" s="4" t="str">
        <v>CUST1040</v>
      </c>
      <c r="T44" s="4" t="str">
        <v>ERIC VEGA</v>
      </c>
      <c r="U44" s="4" t="str">
        <v>50</v>
      </c>
      <c r="V44" s="4" t="str">
        <v>MALE</v>
      </c>
      <c r="W44" s="4" t="str">
        <v>WILLIAMSONLAND</v>
      </c>
      <c r="X44" s="4" t="str">
        <v>KANSAS</v>
      </c>
      <c r="Y44" s="4" t="str">
        <v>USA</v>
      </c>
      <c r="Z44" s="4" t="str">
        <v>GOLD</v>
      </c>
    </row>
    <row r="45" spans="1:26" x14ac:dyDescent="0.25">
      <c r="A45" t="s">
        <v>164</v>
      </c>
      <c r="B45" t="s">
        <v>165</v>
      </c>
      <c r="C45">
        <v>21</v>
      </c>
      <c r="D45" t="s">
        <v>10</v>
      </c>
      <c r="E45" t="s">
        <v>166</v>
      </c>
      <c r="F45" t="s">
        <v>167</v>
      </c>
      <c r="G45" t="s">
        <v>13</v>
      </c>
      <c r="H45" t="s">
        <v>19</v>
      </c>
      <c r="J45" s="4" t="str">
        <v>CUST1041</v>
      </c>
      <c r="K45" s="4" t="str">
        <v>James Gibbs</v>
      </c>
      <c r="L45" s="4" t="str">
        <v>21</v>
      </c>
      <c r="M45" s="4" t="str">
        <v>Male</v>
      </c>
      <c r="N45" s="4" t="str">
        <v>Mooneyshire</v>
      </c>
      <c r="O45" s="4" t="str">
        <v>Alaska</v>
      </c>
      <c r="P45" s="4" t="str">
        <v>USA</v>
      </c>
      <c r="Q45" s="4" t="str">
        <v>Platinum</v>
      </c>
      <c r="S45" s="4" t="str">
        <v>CUST1041</v>
      </c>
      <c r="T45" s="4" t="str">
        <v>JAMES GIBBS</v>
      </c>
      <c r="U45" s="4" t="str">
        <v>21</v>
      </c>
      <c r="V45" s="4" t="str">
        <v>MALE</v>
      </c>
      <c r="W45" s="4" t="str">
        <v>MOONEYSHIRE</v>
      </c>
      <c r="X45" s="4" t="str">
        <v>ALASKA</v>
      </c>
      <c r="Y45" s="4" t="str">
        <v>USA</v>
      </c>
      <c r="Z45" s="4" t="str">
        <v>PLATINUM</v>
      </c>
    </row>
    <row r="46" spans="1:26" x14ac:dyDescent="0.25">
      <c r="A46" t="s">
        <v>168</v>
      </c>
      <c r="B46" t="s">
        <v>169</v>
      </c>
      <c r="C46">
        <v>19</v>
      </c>
      <c r="D46" t="s">
        <v>10</v>
      </c>
      <c r="E46" t="s">
        <v>170</v>
      </c>
      <c r="F46" t="s">
        <v>171</v>
      </c>
      <c r="G46" t="s">
        <v>13</v>
      </c>
      <c r="H46" t="s">
        <v>19</v>
      </c>
      <c r="J46" s="4" t="str">
        <v>CUST1042</v>
      </c>
      <c r="K46" s="4" t="str">
        <v>William Martin</v>
      </c>
      <c r="L46" s="4" t="str">
        <v>19</v>
      </c>
      <c r="M46" s="4" t="str">
        <v>Male</v>
      </c>
      <c r="N46" s="4" t="str">
        <v>Ryanburgh</v>
      </c>
      <c r="O46" s="4" t="str">
        <v>Connecticut</v>
      </c>
      <c r="P46" s="4" t="str">
        <v>USA</v>
      </c>
      <c r="Q46" s="4" t="str">
        <v>Platinum</v>
      </c>
      <c r="S46" s="4" t="str">
        <v>CUST1042</v>
      </c>
      <c r="T46" s="4" t="str">
        <v>WILLIAM MARTIN</v>
      </c>
      <c r="U46" s="4" t="str">
        <v>19</v>
      </c>
      <c r="V46" s="4" t="str">
        <v>MALE</v>
      </c>
      <c r="W46" s="4" t="str">
        <v>RYANBURGH</v>
      </c>
      <c r="X46" s="4" t="str">
        <v>CONNECTICUT</v>
      </c>
      <c r="Y46" s="4" t="str">
        <v>USA</v>
      </c>
      <c r="Z46" s="4" t="str">
        <v>PLATINUM</v>
      </c>
    </row>
    <row r="47" spans="1:26" x14ac:dyDescent="0.25">
      <c r="A47" t="s">
        <v>172</v>
      </c>
      <c r="B47" t="s">
        <v>173</v>
      </c>
      <c r="C47">
        <v>45</v>
      </c>
      <c r="D47" t="s">
        <v>10</v>
      </c>
      <c r="E47" t="s">
        <v>174</v>
      </c>
      <c r="F47" t="s">
        <v>175</v>
      </c>
      <c r="G47" t="s">
        <v>13</v>
      </c>
      <c r="H47" t="s">
        <v>50</v>
      </c>
      <c r="J47" s="4" t="str">
        <v>CUST1043</v>
      </c>
      <c r="K47" s="4" t="str">
        <v>Joseph Snow</v>
      </c>
      <c r="L47" s="4" t="str">
        <v>45</v>
      </c>
      <c r="M47" s="4" t="str">
        <v>Male</v>
      </c>
      <c r="N47" s="4" t="str">
        <v>South Michaelfort</v>
      </c>
      <c r="O47" s="4" t="str">
        <v>Vermont</v>
      </c>
      <c r="P47" s="4" t="str">
        <v>USA</v>
      </c>
      <c r="Q47" s="4" t="str">
        <v>Gold</v>
      </c>
      <c r="S47" s="4" t="str">
        <v>CUST1043</v>
      </c>
      <c r="T47" s="4" t="str">
        <v>JOSEPH SNOW</v>
      </c>
      <c r="U47" s="4" t="str">
        <v>45</v>
      </c>
      <c r="V47" s="4" t="str">
        <v>MALE</v>
      </c>
      <c r="W47" s="4" t="str">
        <v>SOUTH MICHAELFORT</v>
      </c>
      <c r="X47" s="4" t="str">
        <v>VERMONT</v>
      </c>
      <c r="Y47" s="4" t="str">
        <v>USA</v>
      </c>
      <c r="Z47" s="4" t="str">
        <v>GOLD</v>
      </c>
    </row>
    <row r="48" spans="1:26" x14ac:dyDescent="0.25">
      <c r="A48" t="s">
        <v>176</v>
      </c>
      <c r="B48" t="s">
        <v>177</v>
      </c>
      <c r="C48">
        <v>34</v>
      </c>
      <c r="D48" t="s">
        <v>10</v>
      </c>
      <c r="E48" t="s">
        <v>178</v>
      </c>
      <c r="F48" t="s">
        <v>103</v>
      </c>
      <c r="G48" t="s">
        <v>13</v>
      </c>
      <c r="H48" t="s">
        <v>28</v>
      </c>
      <c r="J48" s="4" t="str">
        <v>CUST1044</v>
      </c>
      <c r="K48" s="4" t="str">
        <v>Denise Williams</v>
      </c>
      <c r="L48" s="4" t="str">
        <v>34</v>
      </c>
      <c r="M48" s="4" t="str">
        <v>Male</v>
      </c>
      <c r="N48" s="4" t="str">
        <v>Christianstad</v>
      </c>
      <c r="O48" s="4" t="str">
        <v>Hawaii</v>
      </c>
      <c r="P48" s="4" t="str">
        <v>USA</v>
      </c>
      <c r="Q48" s="4" t="str">
        <v>Bronze</v>
      </c>
      <c r="S48" s="4" t="str">
        <v>CUST1044</v>
      </c>
      <c r="T48" s="4" t="str">
        <v>DENISE WILLIAMS</v>
      </c>
      <c r="U48" s="4" t="str">
        <v>34</v>
      </c>
      <c r="V48" s="4" t="str">
        <v>MALE</v>
      </c>
      <c r="W48" s="4" t="str">
        <v>CHRISTIANSTAD</v>
      </c>
      <c r="X48" s="4" t="str">
        <v>HAWAII</v>
      </c>
      <c r="Y48" s="4" t="str">
        <v>USA</v>
      </c>
      <c r="Z48" s="4" t="str">
        <v>BRONZE</v>
      </c>
    </row>
    <row r="49" spans="1:26" x14ac:dyDescent="0.25">
      <c r="A49" t="s">
        <v>179</v>
      </c>
      <c r="B49" t="s">
        <v>180</v>
      </c>
      <c r="C49">
        <v>54</v>
      </c>
      <c r="D49" t="s">
        <v>10</v>
      </c>
      <c r="E49" t="s">
        <v>181</v>
      </c>
      <c r="F49" t="s">
        <v>137</v>
      </c>
      <c r="G49" t="s">
        <v>13</v>
      </c>
      <c r="H49" t="s">
        <v>50</v>
      </c>
      <c r="J49" s="4" t="str">
        <v>CUST1045</v>
      </c>
      <c r="K49" s="4" t="str">
        <v>Jordan Jackson DDS</v>
      </c>
      <c r="L49" s="4" t="str">
        <v>54</v>
      </c>
      <c r="M49" s="4" t="str">
        <v>Male</v>
      </c>
      <c r="N49" s="4" t="str">
        <v>North Johnview</v>
      </c>
      <c r="O49" s="4" t="str">
        <v>Arizona</v>
      </c>
      <c r="P49" s="4" t="str">
        <v>USA</v>
      </c>
      <c r="Q49" s="4" t="str">
        <v>Gold</v>
      </c>
      <c r="S49" s="4" t="str">
        <v>CUST1045</v>
      </c>
      <c r="T49" s="4" t="str">
        <v>JORDAN JACKSON DDS</v>
      </c>
      <c r="U49" s="4" t="str">
        <v>54</v>
      </c>
      <c r="V49" s="4" t="str">
        <v>MALE</v>
      </c>
      <c r="W49" s="4" t="str">
        <v>NORTH JOHNVIEW</v>
      </c>
      <c r="X49" s="4" t="str">
        <v>ARIZONA</v>
      </c>
      <c r="Y49" s="4" t="str">
        <v>USA</v>
      </c>
      <c r="Z49" s="4" t="str">
        <v>GOLD</v>
      </c>
    </row>
    <row r="50" spans="1:26" x14ac:dyDescent="0.25">
      <c r="A50" t="s">
        <v>182</v>
      </c>
      <c r="B50" t="s">
        <v>183</v>
      </c>
      <c r="C50">
        <v>55</v>
      </c>
      <c r="D50" t="s">
        <v>16</v>
      </c>
      <c r="E50" t="s">
        <v>184</v>
      </c>
      <c r="F50" t="s">
        <v>27</v>
      </c>
      <c r="G50" t="s">
        <v>13</v>
      </c>
      <c r="H50" t="s">
        <v>19</v>
      </c>
      <c r="J50" s="4" t="str">
        <v>CUST1046</v>
      </c>
      <c r="K50" s="4" t="str">
        <v>Michelle Garcia DDS</v>
      </c>
      <c r="L50" s="4" t="str">
        <v>55</v>
      </c>
      <c r="M50" s="4" t="str">
        <v>Female</v>
      </c>
      <c r="N50" s="4" t="str">
        <v>Perezbury</v>
      </c>
      <c r="O50" s="4" t="str">
        <v>Ohio</v>
      </c>
      <c r="P50" s="4" t="str">
        <v>USA</v>
      </c>
      <c r="Q50" s="4" t="str">
        <v>Platinum</v>
      </c>
      <c r="S50" s="4" t="str">
        <v>CUST1046</v>
      </c>
      <c r="T50" s="4" t="str">
        <v>MICHELLE GARCIA DDS</v>
      </c>
      <c r="U50" s="4" t="str">
        <v>55</v>
      </c>
      <c r="V50" s="4" t="str">
        <v>FEMALE</v>
      </c>
      <c r="W50" s="4" t="str">
        <v>PEREZBURY</v>
      </c>
      <c r="X50" s="4" t="str">
        <v>OHIO</v>
      </c>
      <c r="Y50" s="4" t="str">
        <v>USA</v>
      </c>
      <c r="Z50" s="4" t="str">
        <v>PLATINUM</v>
      </c>
    </row>
    <row r="51" spans="1:26" x14ac:dyDescent="0.25">
      <c r="A51" t="s">
        <v>185</v>
      </c>
      <c r="B51" t="s">
        <v>186</v>
      </c>
      <c r="C51">
        <v>54</v>
      </c>
      <c r="D51" t="s">
        <v>16</v>
      </c>
      <c r="E51" t="s">
        <v>187</v>
      </c>
      <c r="F51" t="s">
        <v>188</v>
      </c>
      <c r="G51" t="s">
        <v>13</v>
      </c>
      <c r="H51" t="s">
        <v>33</v>
      </c>
      <c r="J51" s="4" t="str">
        <v>CUST1047</v>
      </c>
      <c r="K51" s="4" t="str">
        <v>Gina Knight</v>
      </c>
      <c r="L51" s="4" t="str">
        <v>54</v>
      </c>
      <c r="M51" s="4" t="str">
        <v>Female</v>
      </c>
      <c r="N51" s="4" t="str">
        <v>Lake Roberthaven</v>
      </c>
      <c r="O51" s="4" t="str">
        <v>Nevada</v>
      </c>
      <c r="P51" s="4" t="str">
        <v>USA</v>
      </c>
      <c r="Q51" s="4" t="str">
        <v>Silver</v>
      </c>
      <c r="S51" s="4" t="str">
        <v>CUST1047</v>
      </c>
      <c r="T51" s="4" t="str">
        <v>GINA KNIGHT</v>
      </c>
      <c r="U51" s="4" t="str">
        <v>54</v>
      </c>
      <c r="V51" s="4" t="str">
        <v>FEMALE</v>
      </c>
      <c r="W51" s="4" t="str">
        <v>LAKE ROBERTHAVEN</v>
      </c>
      <c r="X51" s="4" t="str">
        <v>NEVADA</v>
      </c>
      <c r="Y51" s="4" t="str">
        <v>USA</v>
      </c>
      <c r="Z51" s="4" t="str">
        <v>SILVER</v>
      </c>
    </row>
    <row r="52" spans="1:26" x14ac:dyDescent="0.25">
      <c r="A52" t="s">
        <v>189</v>
      </c>
      <c r="B52" t="s">
        <v>190</v>
      </c>
      <c r="C52">
        <v>54</v>
      </c>
      <c r="D52" t="s">
        <v>10</v>
      </c>
      <c r="E52" t="s">
        <v>191</v>
      </c>
      <c r="F52" t="s">
        <v>12</v>
      </c>
      <c r="G52" t="s">
        <v>13</v>
      </c>
      <c r="H52" t="s">
        <v>19</v>
      </c>
      <c r="J52" s="4" t="str">
        <v>CUST1048</v>
      </c>
      <c r="K52" s="4" t="str">
        <v>April Mullins</v>
      </c>
      <c r="L52" s="4" t="str">
        <v>54</v>
      </c>
      <c r="M52" s="4" t="str">
        <v>Male</v>
      </c>
      <c r="N52" s="4" t="str">
        <v>Dawsonbury</v>
      </c>
      <c r="O52" s="4" t="str">
        <v>North Carolina</v>
      </c>
      <c r="P52" s="4" t="str">
        <v>USA</v>
      </c>
      <c r="Q52" s="4" t="str">
        <v>Platinum</v>
      </c>
      <c r="S52" s="4" t="str">
        <v>CUST1048</v>
      </c>
      <c r="T52" s="4" t="str">
        <v>APRIL MULLINS</v>
      </c>
      <c r="U52" s="4" t="str">
        <v>54</v>
      </c>
      <c r="V52" s="4" t="str">
        <v>MALE</v>
      </c>
      <c r="W52" s="4" t="str">
        <v>DAWSONBURY</v>
      </c>
      <c r="X52" s="4" t="str">
        <v>NORTH CAROLINA</v>
      </c>
      <c r="Y52" s="4" t="str">
        <v>USA</v>
      </c>
      <c r="Z52" s="4" t="str">
        <v>PLATINUM</v>
      </c>
    </row>
    <row r="53" spans="1:26" x14ac:dyDescent="0.25">
      <c r="A53" t="s">
        <v>192</v>
      </c>
      <c r="B53" t="s">
        <v>193</v>
      </c>
      <c r="C53">
        <v>45</v>
      </c>
      <c r="D53" t="s">
        <v>16</v>
      </c>
      <c r="E53" t="s">
        <v>194</v>
      </c>
      <c r="F53" t="s">
        <v>27</v>
      </c>
      <c r="G53" t="s">
        <v>13</v>
      </c>
      <c r="H53" t="s">
        <v>50</v>
      </c>
      <c r="J53" s="4" t="str">
        <v>CUST1049</v>
      </c>
      <c r="K53" s="4" t="str">
        <v>Timothy Weaver</v>
      </c>
      <c r="L53" s="4" t="str">
        <v>45</v>
      </c>
      <c r="M53" s="4" t="str">
        <v>Female</v>
      </c>
      <c r="N53" s="4" t="str">
        <v>New Amy</v>
      </c>
      <c r="O53" s="4" t="str">
        <v>Ohio</v>
      </c>
      <c r="P53" s="4" t="str">
        <v>USA</v>
      </c>
      <c r="Q53" s="4" t="str">
        <v>Gold</v>
      </c>
      <c r="S53" s="4" t="str">
        <v>CUST1049</v>
      </c>
      <c r="T53" s="4" t="str">
        <v>TIMOTHY WEAVER</v>
      </c>
      <c r="U53" s="4" t="str">
        <v>45</v>
      </c>
      <c r="V53" s="4" t="str">
        <v>FEMALE</v>
      </c>
      <c r="W53" s="4" t="str">
        <v>NEW AMY</v>
      </c>
      <c r="X53" s="4" t="str">
        <v>OHIO</v>
      </c>
      <c r="Y53" s="4" t="str">
        <v>USA</v>
      </c>
      <c r="Z53" s="4" t="str">
        <v>GOLD</v>
      </c>
    </row>
    <row r="54" spans="1:26" x14ac:dyDescent="0.25">
      <c r="A54" t="s">
        <v>195</v>
      </c>
      <c r="B54" t="s">
        <v>196</v>
      </c>
      <c r="C54">
        <v>61</v>
      </c>
      <c r="D54" t="s">
        <v>16</v>
      </c>
      <c r="E54" t="s">
        <v>197</v>
      </c>
      <c r="F54" t="s">
        <v>198</v>
      </c>
      <c r="G54" t="s">
        <v>13</v>
      </c>
      <c r="H54" t="s">
        <v>50</v>
      </c>
      <c r="J54" s="4" t="str">
        <v>CUST1050</v>
      </c>
      <c r="K54" s="4" t="str">
        <v>Matthew Hunter Jr.</v>
      </c>
      <c r="L54" s="4" t="str">
        <v>61</v>
      </c>
      <c r="M54" s="4" t="str">
        <v>Female</v>
      </c>
      <c r="N54" s="4" t="str">
        <v>Gregoryview</v>
      </c>
      <c r="O54" s="4" t="str">
        <v>Illinois</v>
      </c>
      <c r="P54" s="4" t="str">
        <v>USA</v>
      </c>
      <c r="Q54" s="4" t="str">
        <v>Gold</v>
      </c>
      <c r="S54" s="4" t="str">
        <v>CUST1050</v>
      </c>
      <c r="T54" s="4" t="str">
        <v>MATTHEW HUNTER JR.</v>
      </c>
      <c r="U54" s="4" t="str">
        <v>61</v>
      </c>
      <c r="V54" s="4" t="str">
        <v>FEMALE</v>
      </c>
      <c r="W54" s="4" t="str">
        <v>GREGORYVIEW</v>
      </c>
      <c r="X54" s="4" t="str">
        <v>ILLINOIS</v>
      </c>
      <c r="Y54" s="4" t="str">
        <v>USA</v>
      </c>
      <c r="Z54" s="4" t="str">
        <v>GOLD</v>
      </c>
    </row>
    <row r="55" spans="1:26" x14ac:dyDescent="0.25">
      <c r="A55" t="s">
        <v>199</v>
      </c>
      <c r="B55" t="s">
        <v>200</v>
      </c>
      <c r="C55">
        <v>23</v>
      </c>
      <c r="D55" t="s">
        <v>16</v>
      </c>
      <c r="E55" t="s">
        <v>201</v>
      </c>
      <c r="F55" t="s">
        <v>45</v>
      </c>
      <c r="G55" t="s">
        <v>13</v>
      </c>
      <c r="H55" t="s">
        <v>50</v>
      </c>
      <c r="J55" s="4" t="str">
        <v>CUST1051</v>
      </c>
      <c r="K55" s="4" t="str">
        <v>Sarah Rodgers</v>
      </c>
      <c r="L55" s="4" t="str">
        <v>23</v>
      </c>
      <c r="M55" s="4" t="str">
        <v>Female</v>
      </c>
      <c r="N55" s="4" t="str">
        <v>New Julia</v>
      </c>
      <c r="O55" s="4" t="str">
        <v>West Virginia</v>
      </c>
      <c r="P55" s="4" t="str">
        <v>USA</v>
      </c>
      <c r="Q55" s="4" t="str">
        <v>Gold</v>
      </c>
      <c r="S55" s="4" t="str">
        <v>CUST1051</v>
      </c>
      <c r="T55" s="4" t="str">
        <v>SARAH RODGERS</v>
      </c>
      <c r="U55" s="4" t="str">
        <v>23</v>
      </c>
      <c r="V55" s="4" t="str">
        <v>FEMALE</v>
      </c>
      <c r="W55" s="4" t="str">
        <v>NEW JULIA</v>
      </c>
      <c r="X55" s="4" t="str">
        <v>WEST VIRGINIA</v>
      </c>
      <c r="Y55" s="4" t="str">
        <v>USA</v>
      </c>
      <c r="Z55" s="4" t="str">
        <v>GOLD</v>
      </c>
    </row>
    <row r="56" spans="1:26" x14ac:dyDescent="0.25">
      <c r="A56" t="s">
        <v>202</v>
      </c>
      <c r="B56" t="s">
        <v>203</v>
      </c>
      <c r="C56">
        <v>55</v>
      </c>
      <c r="D56" t="s">
        <v>10</v>
      </c>
      <c r="E56" t="s">
        <v>204</v>
      </c>
      <c r="F56" t="s">
        <v>205</v>
      </c>
      <c r="G56" t="s">
        <v>13</v>
      </c>
      <c r="H56" t="s">
        <v>28</v>
      </c>
      <c r="J56" s="4" t="str">
        <v>CUST1052</v>
      </c>
      <c r="K56" s="4" t="str">
        <v>Debra Liu</v>
      </c>
      <c r="L56" s="4" t="str">
        <v>55</v>
      </c>
      <c r="M56" s="4" t="str">
        <v>Male</v>
      </c>
      <c r="N56" s="4" t="str">
        <v>South Timtown</v>
      </c>
      <c r="O56" s="4" t="str">
        <v>Minnesota</v>
      </c>
      <c r="P56" s="4" t="str">
        <v>USA</v>
      </c>
      <c r="Q56" s="4" t="str">
        <v>Bronze</v>
      </c>
      <c r="S56" s="4" t="str">
        <v>CUST1052</v>
      </c>
      <c r="T56" s="4" t="str">
        <v>DEBRA LIU</v>
      </c>
      <c r="U56" s="4" t="str">
        <v>55</v>
      </c>
      <c r="V56" s="4" t="str">
        <v>MALE</v>
      </c>
      <c r="W56" s="4" t="str">
        <v>SOUTH TIMTOWN</v>
      </c>
      <c r="X56" s="4" t="str">
        <v>MINNESOTA</v>
      </c>
      <c r="Y56" s="4" t="str">
        <v>USA</v>
      </c>
      <c r="Z56" s="4" t="str">
        <v>BRONZE</v>
      </c>
    </row>
    <row r="57" spans="1:26" x14ac:dyDescent="0.25">
      <c r="A57" t="s">
        <v>206</v>
      </c>
      <c r="B57" t="s">
        <v>207</v>
      </c>
      <c r="C57">
        <v>37</v>
      </c>
      <c r="D57" t="s">
        <v>16</v>
      </c>
      <c r="E57" t="s">
        <v>208</v>
      </c>
      <c r="F57" t="s">
        <v>160</v>
      </c>
      <c r="G57" t="s">
        <v>13</v>
      </c>
      <c r="H57" t="s">
        <v>50</v>
      </c>
      <c r="J57" s="4" t="str">
        <v>CUST1053</v>
      </c>
      <c r="K57" s="4" t="str">
        <v>Sharon Brown</v>
      </c>
      <c r="L57" s="4" t="str">
        <v>37</v>
      </c>
      <c r="M57" s="4" t="str">
        <v>Female</v>
      </c>
      <c r="N57" s="4" t="str">
        <v>East Andrea</v>
      </c>
      <c r="O57" s="4" t="str">
        <v>Michigan</v>
      </c>
      <c r="P57" s="4" t="str">
        <v>USA</v>
      </c>
      <c r="Q57" s="4" t="str">
        <v>Gold</v>
      </c>
      <c r="S57" s="4" t="str">
        <v>CUST1053</v>
      </c>
      <c r="T57" s="4" t="str">
        <v>SHARON BROWN</v>
      </c>
      <c r="U57" s="4" t="str">
        <v>37</v>
      </c>
      <c r="V57" s="4" t="str">
        <v>FEMALE</v>
      </c>
      <c r="W57" s="4" t="str">
        <v>EAST ANDREA</v>
      </c>
      <c r="X57" s="4" t="str">
        <v>MICHIGAN</v>
      </c>
      <c r="Y57" s="4" t="str">
        <v>USA</v>
      </c>
      <c r="Z57" s="4" t="str">
        <v>GOLD</v>
      </c>
    </row>
    <row r="58" spans="1:26" x14ac:dyDescent="0.25">
      <c r="A58" t="s">
        <v>209</v>
      </c>
      <c r="B58" t="s">
        <v>210</v>
      </c>
      <c r="C58">
        <v>24</v>
      </c>
      <c r="D58" t="s">
        <v>10</v>
      </c>
      <c r="E58" t="s">
        <v>211</v>
      </c>
      <c r="F58" t="s">
        <v>99</v>
      </c>
      <c r="G58" t="s">
        <v>13</v>
      </c>
      <c r="H58" t="s">
        <v>19</v>
      </c>
      <c r="J58" s="4" t="str">
        <v>CUST1054</v>
      </c>
      <c r="K58" s="4" t="str">
        <v>Katherine Dorsey</v>
      </c>
      <c r="L58" s="4" t="str">
        <v>24</v>
      </c>
      <c r="M58" s="4" t="str">
        <v>Male</v>
      </c>
      <c r="N58" s="4" t="str">
        <v>Christopherland</v>
      </c>
      <c r="O58" s="4" t="str">
        <v>Oklahoma</v>
      </c>
      <c r="P58" s="4" t="str">
        <v>USA</v>
      </c>
      <c r="Q58" s="4" t="str">
        <v>Platinum</v>
      </c>
      <c r="S58" s="4" t="str">
        <v>CUST1054</v>
      </c>
      <c r="T58" s="4" t="str">
        <v>KATHERINE DORSEY</v>
      </c>
      <c r="U58" s="4" t="str">
        <v>24</v>
      </c>
      <c r="V58" s="4" t="str">
        <v>MALE</v>
      </c>
      <c r="W58" s="4" t="str">
        <v>CHRISTOPHERLAND</v>
      </c>
      <c r="X58" s="4" t="str">
        <v>OKLAHOMA</v>
      </c>
      <c r="Y58" s="4" t="str">
        <v>USA</v>
      </c>
      <c r="Z58" s="4" t="str">
        <v>PLATINUM</v>
      </c>
    </row>
    <row r="59" spans="1:26" x14ac:dyDescent="0.25">
      <c r="A59" t="s">
        <v>212</v>
      </c>
      <c r="B59" t="s">
        <v>213</v>
      </c>
      <c r="C59">
        <v>56</v>
      </c>
      <c r="D59" t="s">
        <v>16</v>
      </c>
      <c r="E59" t="s">
        <v>214</v>
      </c>
      <c r="F59" t="s">
        <v>205</v>
      </c>
      <c r="G59" t="s">
        <v>13</v>
      </c>
      <c r="H59" t="s">
        <v>28</v>
      </c>
      <c r="J59" s="4" t="str">
        <v>CUST1055</v>
      </c>
      <c r="K59" s="4" t="str">
        <v>Wayne Mcpherson</v>
      </c>
      <c r="L59" s="4" t="str">
        <v>56</v>
      </c>
      <c r="M59" s="4" t="str">
        <v>Female</v>
      </c>
      <c r="N59" s="4" t="str">
        <v>Edwardsfort</v>
      </c>
      <c r="O59" s="4" t="str">
        <v>Minnesota</v>
      </c>
      <c r="P59" s="4" t="str">
        <v>USA</v>
      </c>
      <c r="Q59" s="4" t="str">
        <v>Bronze</v>
      </c>
      <c r="S59" s="4" t="str">
        <v>CUST1055</v>
      </c>
      <c r="T59" s="4" t="str">
        <v>WAYNE MCPHERSON</v>
      </c>
      <c r="U59" s="4" t="str">
        <v>56</v>
      </c>
      <c r="V59" s="4" t="str">
        <v>FEMALE</v>
      </c>
      <c r="W59" s="4" t="str">
        <v>EDWARDSFORT</v>
      </c>
      <c r="X59" s="4" t="str">
        <v>MINNESOTA</v>
      </c>
      <c r="Y59" s="4" t="str">
        <v>USA</v>
      </c>
      <c r="Z59" s="4" t="str">
        <v>BRONZE</v>
      </c>
    </row>
    <row r="60" spans="1:26" x14ac:dyDescent="0.25">
      <c r="A60" t="s">
        <v>215</v>
      </c>
      <c r="B60" t="s">
        <v>216</v>
      </c>
      <c r="C60">
        <v>49</v>
      </c>
      <c r="D60" t="s">
        <v>16</v>
      </c>
      <c r="E60" t="s">
        <v>217</v>
      </c>
      <c r="F60" t="s">
        <v>54</v>
      </c>
      <c r="G60" t="s">
        <v>13</v>
      </c>
      <c r="H60" t="s">
        <v>50</v>
      </c>
      <c r="J60" s="4" t="str">
        <v>CUST1056</v>
      </c>
      <c r="K60" s="4" t="str">
        <v>Christopher Sutton</v>
      </c>
      <c r="L60" s="4" t="str">
        <v>49</v>
      </c>
      <c r="M60" s="4" t="str">
        <v>Female</v>
      </c>
      <c r="N60" s="4" t="str">
        <v>Deborahberg</v>
      </c>
      <c r="O60" s="4" t="str">
        <v>Pennsylvania</v>
      </c>
      <c r="P60" s="4" t="str">
        <v>USA</v>
      </c>
      <c r="Q60" s="4" t="str">
        <v>Gold</v>
      </c>
      <c r="S60" s="4" t="str">
        <v>CUST1056</v>
      </c>
      <c r="T60" s="4" t="str">
        <v>CHRISTOPHER SUTTON</v>
      </c>
      <c r="U60" s="4" t="str">
        <v>49</v>
      </c>
      <c r="V60" s="4" t="str">
        <v>FEMALE</v>
      </c>
      <c r="W60" s="4" t="str">
        <v>DEBORAHBERG</v>
      </c>
      <c r="X60" s="4" t="str">
        <v>PENNSYLVANIA</v>
      </c>
      <c r="Y60" s="4" t="str">
        <v>USA</v>
      </c>
      <c r="Z60" s="4" t="str">
        <v>GOLD</v>
      </c>
    </row>
    <row r="61" spans="1:26" x14ac:dyDescent="0.25">
      <c r="A61" t="s">
        <v>218</v>
      </c>
      <c r="B61" t="s">
        <v>219</v>
      </c>
      <c r="C61">
        <v>43</v>
      </c>
      <c r="D61" t="s">
        <v>16</v>
      </c>
      <c r="E61" t="s">
        <v>220</v>
      </c>
      <c r="F61" t="s">
        <v>221</v>
      </c>
      <c r="G61" t="s">
        <v>13</v>
      </c>
      <c r="H61" t="s">
        <v>19</v>
      </c>
      <c r="J61" s="4" t="str">
        <v>CUST1057</v>
      </c>
      <c r="K61" s="4" t="str">
        <v>Jay Patel</v>
      </c>
      <c r="L61" s="4" t="str">
        <v>43</v>
      </c>
      <c r="M61" s="4" t="str">
        <v>Female</v>
      </c>
      <c r="N61" s="4" t="str">
        <v>Morrisbury</v>
      </c>
      <c r="O61" s="4" t="str">
        <v>Rhode Island</v>
      </c>
      <c r="P61" s="4" t="str">
        <v>USA</v>
      </c>
      <c r="Q61" s="4" t="str">
        <v>Platinum</v>
      </c>
      <c r="S61" s="4" t="str">
        <v>CUST1057</v>
      </c>
      <c r="T61" s="4" t="str">
        <v>JAY PATEL</v>
      </c>
      <c r="U61" s="4" t="str">
        <v>43</v>
      </c>
      <c r="V61" s="4" t="str">
        <v>FEMALE</v>
      </c>
      <c r="W61" s="4" t="str">
        <v>MORRISBURY</v>
      </c>
      <c r="X61" s="4" t="str">
        <v>RHODE ISLAND</v>
      </c>
      <c r="Y61" s="4" t="str">
        <v>USA</v>
      </c>
      <c r="Z61" s="4" t="str">
        <v>PLATINUM</v>
      </c>
    </row>
    <row r="62" spans="1:26" x14ac:dyDescent="0.25">
      <c r="A62" t="s">
        <v>222</v>
      </c>
      <c r="B62" t="s">
        <v>223</v>
      </c>
      <c r="C62">
        <v>51</v>
      </c>
      <c r="D62" t="s">
        <v>10</v>
      </c>
      <c r="E62" t="s">
        <v>224</v>
      </c>
      <c r="F62" t="s">
        <v>144</v>
      </c>
      <c r="G62" t="s">
        <v>13</v>
      </c>
      <c r="H62" t="s">
        <v>19</v>
      </c>
      <c r="J62" s="4" t="str">
        <v>CUST1058</v>
      </c>
      <c r="K62" s="4" t="str">
        <v>Cheryl Copeland</v>
      </c>
      <c r="L62" s="4" t="str">
        <v>51</v>
      </c>
      <c r="M62" s="4" t="str">
        <v>Male</v>
      </c>
      <c r="N62" s="4" t="str">
        <v>Snowmouth</v>
      </c>
      <c r="O62" s="4" t="str">
        <v>Maryland</v>
      </c>
      <c r="P62" s="4" t="str">
        <v>USA</v>
      </c>
      <c r="Q62" s="4" t="str">
        <v>Platinum</v>
      </c>
      <c r="S62" s="4" t="str">
        <v>CUST1058</v>
      </c>
      <c r="T62" s="4" t="str">
        <v>CHERYL COPELAND</v>
      </c>
      <c r="U62" s="4" t="str">
        <v>51</v>
      </c>
      <c r="V62" s="4" t="str">
        <v>MALE</v>
      </c>
      <c r="W62" s="4" t="str">
        <v>SNOWMOUTH</v>
      </c>
      <c r="X62" s="4" t="str">
        <v>MARYLAND</v>
      </c>
      <c r="Y62" s="4" t="str">
        <v>USA</v>
      </c>
      <c r="Z62" s="4" t="str">
        <v>PLATINUM</v>
      </c>
    </row>
    <row r="63" spans="1:26" x14ac:dyDescent="0.25">
      <c r="A63" t="s">
        <v>225</v>
      </c>
      <c r="B63" t="s">
        <v>226</v>
      </c>
      <c r="C63">
        <v>53</v>
      </c>
      <c r="D63" t="s">
        <v>10</v>
      </c>
      <c r="E63" t="s">
        <v>227</v>
      </c>
      <c r="F63" t="s">
        <v>69</v>
      </c>
      <c r="G63" t="s">
        <v>13</v>
      </c>
      <c r="H63" t="s">
        <v>19</v>
      </c>
      <c r="J63" s="4" t="str">
        <v>CUST1059</v>
      </c>
      <c r="K63" s="4" t="str">
        <v>Alyssa Vargas</v>
      </c>
      <c r="L63" s="4" t="str">
        <v>53</v>
      </c>
      <c r="M63" s="4" t="str">
        <v>Male</v>
      </c>
      <c r="N63" s="4" t="str">
        <v>New Kathrynland</v>
      </c>
      <c r="O63" s="4" t="str">
        <v>Montana</v>
      </c>
      <c r="P63" s="4" t="str">
        <v>USA</v>
      </c>
      <c r="Q63" s="4" t="str">
        <v>Platinum</v>
      </c>
      <c r="S63" s="4" t="str">
        <v>CUST1059</v>
      </c>
      <c r="T63" s="4" t="str">
        <v>ALYSSA VARGAS</v>
      </c>
      <c r="U63" s="4" t="str">
        <v>53</v>
      </c>
      <c r="V63" s="4" t="str">
        <v>MALE</v>
      </c>
      <c r="W63" s="4" t="str">
        <v>NEW KATHRYNLAND</v>
      </c>
      <c r="X63" s="4" t="str">
        <v>MONTANA</v>
      </c>
      <c r="Y63" s="4" t="str">
        <v>USA</v>
      </c>
      <c r="Z63" s="4" t="str">
        <v>PLATINUM</v>
      </c>
    </row>
    <row r="64" spans="1:26" x14ac:dyDescent="0.25">
      <c r="A64" t="s">
        <v>228</v>
      </c>
      <c r="B64" t="s">
        <v>229</v>
      </c>
      <c r="C64">
        <v>22</v>
      </c>
      <c r="D64" t="s">
        <v>16</v>
      </c>
      <c r="E64" t="s">
        <v>230</v>
      </c>
      <c r="F64" t="s">
        <v>167</v>
      </c>
      <c r="G64" t="s">
        <v>13</v>
      </c>
      <c r="H64" t="s">
        <v>33</v>
      </c>
      <c r="J64" s="4" t="str">
        <v>CUST1060</v>
      </c>
      <c r="K64" s="4" t="str">
        <v>Dr. David Smith</v>
      </c>
      <c r="L64" s="4" t="str">
        <v>22</v>
      </c>
      <c r="M64" s="4" t="str">
        <v>Female</v>
      </c>
      <c r="N64" s="4" t="str">
        <v>Schmidtchester</v>
      </c>
      <c r="O64" s="4" t="str">
        <v>Alaska</v>
      </c>
      <c r="P64" s="4" t="str">
        <v>USA</v>
      </c>
      <c r="Q64" s="4" t="str">
        <v>Silver</v>
      </c>
      <c r="S64" s="4" t="str">
        <v>CUST1060</v>
      </c>
      <c r="T64" s="4" t="str">
        <v>DR. DAVID SMITH</v>
      </c>
      <c r="U64" s="4" t="str">
        <v>22</v>
      </c>
      <c r="V64" s="4" t="str">
        <v>FEMALE</v>
      </c>
      <c r="W64" s="4" t="str">
        <v>SCHMIDTCHESTER</v>
      </c>
      <c r="X64" s="4" t="str">
        <v>ALASKA</v>
      </c>
      <c r="Y64" s="4" t="str">
        <v>USA</v>
      </c>
      <c r="Z64" s="4" t="str">
        <v>SILVER</v>
      </c>
    </row>
    <row r="65" spans="1:26" x14ac:dyDescent="0.25">
      <c r="A65" t="s">
        <v>231</v>
      </c>
      <c r="B65" t="s">
        <v>232</v>
      </c>
      <c r="C65">
        <v>23</v>
      </c>
      <c r="D65" t="s">
        <v>10</v>
      </c>
      <c r="E65" t="s">
        <v>233</v>
      </c>
      <c r="F65" t="s">
        <v>117</v>
      </c>
      <c r="G65" t="s">
        <v>13</v>
      </c>
      <c r="H65" t="s">
        <v>33</v>
      </c>
      <c r="J65" s="4" t="str">
        <v>CUST1061</v>
      </c>
      <c r="K65" s="4" t="str">
        <v>Kristin Stein</v>
      </c>
      <c r="L65" s="4" t="str">
        <v>23</v>
      </c>
      <c r="M65" s="4" t="str">
        <v>Male</v>
      </c>
      <c r="N65" s="4" t="str">
        <v>Jennifermouth</v>
      </c>
      <c r="O65" s="4" t="str">
        <v>Missouri</v>
      </c>
      <c r="P65" s="4" t="str">
        <v>USA</v>
      </c>
      <c r="Q65" s="4" t="str">
        <v>Silver</v>
      </c>
      <c r="S65" s="4" t="str">
        <v>CUST1061</v>
      </c>
      <c r="T65" s="4" t="str">
        <v>KRISTIN STEIN</v>
      </c>
      <c r="U65" s="4" t="str">
        <v>23</v>
      </c>
      <c r="V65" s="4" t="str">
        <v>MALE</v>
      </c>
      <c r="W65" s="4" t="str">
        <v>JENNIFERMOUTH</v>
      </c>
      <c r="X65" s="4" t="str">
        <v>MISSOURI</v>
      </c>
      <c r="Y65" s="4" t="str">
        <v>USA</v>
      </c>
      <c r="Z65" s="4" t="str">
        <v>SILVER</v>
      </c>
    </row>
    <row r="66" spans="1:26" x14ac:dyDescent="0.25">
      <c r="A66" t="s">
        <v>234</v>
      </c>
      <c r="B66" t="s">
        <v>235</v>
      </c>
      <c r="C66">
        <v>50</v>
      </c>
      <c r="D66" t="s">
        <v>10</v>
      </c>
      <c r="E66" t="s">
        <v>236</v>
      </c>
      <c r="F66" t="s">
        <v>237</v>
      </c>
      <c r="G66" t="s">
        <v>13</v>
      </c>
      <c r="H66" t="s">
        <v>28</v>
      </c>
      <c r="J66" s="4" t="str">
        <v>CUST1062</v>
      </c>
      <c r="K66" s="4" t="str">
        <v>James Bean</v>
      </c>
      <c r="L66" s="4" t="str">
        <v>50</v>
      </c>
      <c r="M66" s="4" t="str">
        <v>Male</v>
      </c>
      <c r="N66" s="4" t="str">
        <v>Stevensonton</v>
      </c>
      <c r="O66" s="4" t="str">
        <v>New Mexico</v>
      </c>
      <c r="P66" s="4" t="str">
        <v>USA</v>
      </c>
      <c r="Q66" s="4" t="str">
        <v>Bronze</v>
      </c>
      <c r="S66" s="4" t="str">
        <v>CUST1062</v>
      </c>
      <c r="T66" s="4" t="str">
        <v>JAMES BEAN</v>
      </c>
      <c r="U66" s="4" t="str">
        <v>50</v>
      </c>
      <c r="V66" s="4" t="str">
        <v>MALE</v>
      </c>
      <c r="W66" s="4" t="str">
        <v>STEVENSONTON</v>
      </c>
      <c r="X66" s="4" t="str">
        <v>NEW MEXICO</v>
      </c>
      <c r="Y66" s="4" t="str">
        <v>USA</v>
      </c>
      <c r="Z66" s="4" t="str">
        <v>BRONZE</v>
      </c>
    </row>
    <row r="67" spans="1:26" x14ac:dyDescent="0.25">
      <c r="A67" t="s">
        <v>238</v>
      </c>
      <c r="B67" t="s">
        <v>239</v>
      </c>
      <c r="C67">
        <v>51</v>
      </c>
      <c r="D67" t="s">
        <v>10</v>
      </c>
      <c r="E67" t="s">
        <v>240</v>
      </c>
      <c r="F67" t="s">
        <v>241</v>
      </c>
      <c r="G67" t="s">
        <v>13</v>
      </c>
      <c r="H67" t="s">
        <v>19</v>
      </c>
      <c r="J67" s="4" t="str">
        <v>CUST1063</v>
      </c>
      <c r="K67" s="4" t="str">
        <v>Michael Daniel</v>
      </c>
      <c r="L67" s="4" t="str">
        <v>51</v>
      </c>
      <c r="M67" s="4" t="str">
        <v>Male</v>
      </c>
      <c r="N67" s="4" t="str">
        <v>New Jesse</v>
      </c>
      <c r="O67" s="4" t="str">
        <v>Tennessee</v>
      </c>
      <c r="P67" s="4" t="str">
        <v>USA</v>
      </c>
      <c r="Q67" s="4" t="str">
        <v>Platinum</v>
      </c>
      <c r="S67" s="4" t="str">
        <v>CUST1063</v>
      </c>
      <c r="T67" s="4" t="str">
        <v>MICHAEL DANIEL</v>
      </c>
      <c r="U67" s="4" t="str">
        <v>51</v>
      </c>
      <c r="V67" s="4" t="str">
        <v>MALE</v>
      </c>
      <c r="W67" s="4" t="str">
        <v>NEW JESSE</v>
      </c>
      <c r="X67" s="4" t="str">
        <v>TENNESSEE</v>
      </c>
      <c r="Y67" s="4" t="str">
        <v>USA</v>
      </c>
      <c r="Z67" s="4" t="str">
        <v>PLATINUM</v>
      </c>
    </row>
    <row r="68" spans="1:26" x14ac:dyDescent="0.25">
      <c r="A68" t="s">
        <v>242</v>
      </c>
      <c r="B68" t="s">
        <v>243</v>
      </c>
      <c r="C68">
        <v>33</v>
      </c>
      <c r="D68" t="s">
        <v>10</v>
      </c>
      <c r="E68" t="s">
        <v>244</v>
      </c>
      <c r="F68" t="s">
        <v>137</v>
      </c>
      <c r="G68" t="s">
        <v>13</v>
      </c>
      <c r="H68" t="s">
        <v>50</v>
      </c>
      <c r="J68" s="4" t="str">
        <v>CUST1064</v>
      </c>
      <c r="K68" s="4" t="str">
        <v>Mr. Mason Butler</v>
      </c>
      <c r="L68" s="4" t="str">
        <v>33</v>
      </c>
      <c r="M68" s="4" t="str">
        <v>Male</v>
      </c>
      <c r="N68" s="4" t="str">
        <v>Port Kathrynhaven</v>
      </c>
      <c r="O68" s="4" t="str">
        <v>Arizona</v>
      </c>
      <c r="P68" s="4" t="str">
        <v>USA</v>
      </c>
      <c r="Q68" s="4" t="str">
        <v>Gold</v>
      </c>
      <c r="S68" s="4" t="str">
        <v>CUST1064</v>
      </c>
      <c r="T68" s="4" t="str">
        <v>MR. MASON BUTLER</v>
      </c>
      <c r="U68" s="4" t="str">
        <v>33</v>
      </c>
      <c r="V68" s="4" t="str">
        <v>MALE</v>
      </c>
      <c r="W68" s="4" t="str">
        <v>PORT KATHRYNHAVEN</v>
      </c>
      <c r="X68" s="4" t="str">
        <v>ARIZONA</v>
      </c>
      <c r="Y68" s="4" t="str">
        <v>USA</v>
      </c>
      <c r="Z68" s="4" t="str">
        <v>GOLD</v>
      </c>
    </row>
    <row r="69" spans="1:26" x14ac:dyDescent="0.25">
      <c r="A69" t="s">
        <v>245</v>
      </c>
      <c r="B69" t="s">
        <v>246</v>
      </c>
      <c r="C69">
        <v>21</v>
      </c>
      <c r="D69" t="s">
        <v>16</v>
      </c>
      <c r="E69" t="s">
        <v>247</v>
      </c>
      <c r="F69" t="s">
        <v>188</v>
      </c>
      <c r="G69" t="s">
        <v>13</v>
      </c>
      <c r="H69" t="s">
        <v>33</v>
      </c>
      <c r="J69" s="4" t="str">
        <v>CUST1065</v>
      </c>
      <c r="K69" s="4" t="str">
        <v>Michael Thomas</v>
      </c>
      <c r="L69" s="4" t="str">
        <v>21</v>
      </c>
      <c r="M69" s="4" t="str">
        <v>Female</v>
      </c>
      <c r="N69" s="4" t="str">
        <v>Woodmouth</v>
      </c>
      <c r="O69" s="4" t="str">
        <v>Nevada</v>
      </c>
      <c r="P69" s="4" t="str">
        <v>USA</v>
      </c>
      <c r="Q69" s="4" t="str">
        <v>Silver</v>
      </c>
      <c r="S69" s="4" t="str">
        <v>CUST1065</v>
      </c>
      <c r="T69" s="4" t="str">
        <v>MICHAEL THOMAS</v>
      </c>
      <c r="U69" s="4" t="str">
        <v>21</v>
      </c>
      <c r="V69" s="4" t="str">
        <v>FEMALE</v>
      </c>
      <c r="W69" s="4" t="str">
        <v>WOODMOUTH</v>
      </c>
      <c r="X69" s="4" t="str">
        <v>NEVADA</v>
      </c>
      <c r="Y69" s="4" t="str">
        <v>USA</v>
      </c>
      <c r="Z69" s="4" t="str">
        <v>SILVER</v>
      </c>
    </row>
    <row r="70" spans="1:26" x14ac:dyDescent="0.25">
      <c r="A70" t="s">
        <v>248</v>
      </c>
      <c r="B70" t="s">
        <v>249</v>
      </c>
      <c r="C70">
        <v>27</v>
      </c>
      <c r="D70" t="s">
        <v>16</v>
      </c>
      <c r="E70" t="s">
        <v>250</v>
      </c>
      <c r="F70" t="s">
        <v>49</v>
      </c>
      <c r="G70" t="s">
        <v>13</v>
      </c>
      <c r="H70" t="s">
        <v>33</v>
      </c>
      <c r="J70" s="4" t="str">
        <v>CUST1066</v>
      </c>
      <c r="K70" s="4" t="str">
        <v>Cody Diaz</v>
      </c>
      <c r="L70" s="4" t="str">
        <v>27</v>
      </c>
      <c r="M70" s="4" t="str">
        <v>Female</v>
      </c>
      <c r="N70" s="4" t="str">
        <v>South Aaronside</v>
      </c>
      <c r="O70" s="4" t="str">
        <v>New Hampshire</v>
      </c>
      <c r="P70" s="4" t="str">
        <v>USA</v>
      </c>
      <c r="Q70" s="4" t="str">
        <v>Silver</v>
      </c>
      <c r="S70" s="4" t="str">
        <v>CUST1066</v>
      </c>
      <c r="T70" s="4" t="str">
        <v>CODY DIAZ</v>
      </c>
      <c r="U70" s="4" t="str">
        <v>27</v>
      </c>
      <c r="V70" s="4" t="str">
        <v>FEMALE</v>
      </c>
      <c r="W70" s="4" t="str">
        <v>SOUTH AARONSIDE</v>
      </c>
      <c r="X70" s="4" t="str">
        <v>NEW HAMPSHIRE</v>
      </c>
      <c r="Y70" s="4" t="str">
        <v>USA</v>
      </c>
      <c r="Z70" s="4" t="str">
        <v>SILVER</v>
      </c>
    </row>
    <row r="71" spans="1:26" x14ac:dyDescent="0.25">
      <c r="A71" t="s">
        <v>251</v>
      </c>
      <c r="B71" t="s">
        <v>252</v>
      </c>
      <c r="C71">
        <v>58</v>
      </c>
      <c r="D71" t="s">
        <v>10</v>
      </c>
      <c r="E71" t="s">
        <v>253</v>
      </c>
      <c r="F71" t="s">
        <v>254</v>
      </c>
      <c r="G71" t="s">
        <v>13</v>
      </c>
      <c r="H71" t="s">
        <v>33</v>
      </c>
      <c r="J71" s="4" t="str">
        <v>CUST1067</v>
      </c>
      <c r="K71" s="4" t="str">
        <v>Amber Mcclain</v>
      </c>
      <c r="L71" s="4" t="str">
        <v>58</v>
      </c>
      <c r="M71" s="4" t="str">
        <v>Male</v>
      </c>
      <c r="N71" s="4" t="str">
        <v>Brendaburgh</v>
      </c>
      <c r="O71" s="4" t="str">
        <v>Florida</v>
      </c>
      <c r="P71" s="4" t="str">
        <v>USA</v>
      </c>
      <c r="Q71" s="4" t="str">
        <v>Silver</v>
      </c>
      <c r="S71" s="4" t="str">
        <v>CUST1067</v>
      </c>
      <c r="T71" s="4" t="str">
        <v>AMBER MCCLAIN</v>
      </c>
      <c r="U71" s="4" t="str">
        <v>58</v>
      </c>
      <c r="V71" s="4" t="str">
        <v>MALE</v>
      </c>
      <c r="W71" s="4" t="str">
        <v>BRENDABURGH</v>
      </c>
      <c r="X71" s="4" t="str">
        <v>FLORIDA</v>
      </c>
      <c r="Y71" s="4" t="str">
        <v>USA</v>
      </c>
      <c r="Z71" s="4" t="str">
        <v>SILVER</v>
      </c>
    </row>
    <row r="72" spans="1:26" x14ac:dyDescent="0.25">
      <c r="A72" t="s">
        <v>255</v>
      </c>
      <c r="B72" t="s">
        <v>256</v>
      </c>
      <c r="C72">
        <v>24</v>
      </c>
      <c r="D72" t="s">
        <v>16</v>
      </c>
      <c r="E72" t="s">
        <v>257</v>
      </c>
      <c r="F72" t="s">
        <v>258</v>
      </c>
      <c r="G72" t="s">
        <v>13</v>
      </c>
      <c r="H72" t="s">
        <v>33</v>
      </c>
      <c r="J72" s="4" t="str">
        <v>CUST1068</v>
      </c>
      <c r="K72" s="4" t="str">
        <v>Mr. Mark Beasley</v>
      </c>
      <c r="L72" s="4" t="str">
        <v>24</v>
      </c>
      <c r="M72" s="4" t="str">
        <v>Female</v>
      </c>
      <c r="N72" s="4" t="str">
        <v>West Johnchester</v>
      </c>
      <c r="O72" s="4" t="str">
        <v>Indiana</v>
      </c>
      <c r="P72" s="4" t="str">
        <v>USA</v>
      </c>
      <c r="Q72" s="4" t="str">
        <v>Silver</v>
      </c>
      <c r="S72" s="4" t="str">
        <v>CUST1068</v>
      </c>
      <c r="T72" s="4" t="str">
        <v>MR. MARK BEASLEY</v>
      </c>
      <c r="U72" s="4" t="str">
        <v>24</v>
      </c>
      <c r="V72" s="4" t="str">
        <v>FEMALE</v>
      </c>
      <c r="W72" s="4" t="str">
        <v>WEST JOHNCHESTER</v>
      </c>
      <c r="X72" s="4" t="str">
        <v>INDIANA</v>
      </c>
      <c r="Y72" s="4" t="str">
        <v>USA</v>
      </c>
      <c r="Z72" s="4" t="str">
        <v>SILVER</v>
      </c>
    </row>
    <row r="73" spans="1:26" x14ac:dyDescent="0.25">
      <c r="A73" t="s">
        <v>259</v>
      </c>
      <c r="B73" t="s">
        <v>260</v>
      </c>
      <c r="C73">
        <v>24</v>
      </c>
      <c r="D73" t="s">
        <v>16</v>
      </c>
      <c r="E73" t="s">
        <v>261</v>
      </c>
      <c r="F73" t="s">
        <v>91</v>
      </c>
      <c r="G73" t="s">
        <v>13</v>
      </c>
      <c r="H73" t="s">
        <v>19</v>
      </c>
      <c r="J73" s="4" t="str">
        <v>CUST1069</v>
      </c>
      <c r="K73" s="4" t="str">
        <v>Roy Cole</v>
      </c>
      <c r="L73" s="4" t="str">
        <v>24</v>
      </c>
      <c r="M73" s="4" t="str">
        <v>Female</v>
      </c>
      <c r="N73" s="4" t="str">
        <v>North Cynthiatown</v>
      </c>
      <c r="O73" s="4" t="str">
        <v>New Jersey</v>
      </c>
      <c r="P73" s="4" t="str">
        <v>USA</v>
      </c>
      <c r="Q73" s="4" t="str">
        <v>Platinum</v>
      </c>
      <c r="S73" s="4" t="str">
        <v>CUST1069</v>
      </c>
      <c r="T73" s="4" t="str">
        <v>ROY COLE</v>
      </c>
      <c r="U73" s="4" t="str">
        <v>24</v>
      </c>
      <c r="V73" s="4" t="str">
        <v>FEMALE</v>
      </c>
      <c r="W73" s="4" t="str">
        <v>NORTH CYNTHIATOWN</v>
      </c>
      <c r="X73" s="4" t="str">
        <v>NEW JERSEY</v>
      </c>
      <c r="Y73" s="4" t="str">
        <v>USA</v>
      </c>
      <c r="Z73" s="4" t="str">
        <v>PLATINUM</v>
      </c>
    </row>
    <row r="74" spans="1:26" x14ac:dyDescent="0.25">
      <c r="A74" t="s">
        <v>262</v>
      </c>
      <c r="B74" t="s">
        <v>263</v>
      </c>
      <c r="C74">
        <v>29</v>
      </c>
      <c r="D74" t="s">
        <v>16</v>
      </c>
      <c r="E74" t="s">
        <v>264</v>
      </c>
      <c r="F74" t="s">
        <v>237</v>
      </c>
      <c r="G74" t="s">
        <v>13</v>
      </c>
      <c r="H74" t="s">
        <v>50</v>
      </c>
      <c r="J74" s="4" t="str">
        <v>CUST1070</v>
      </c>
      <c r="K74" s="4" t="str">
        <v>Eric Singh</v>
      </c>
      <c r="L74" s="4" t="str">
        <v>29</v>
      </c>
      <c r="M74" s="4" t="str">
        <v>Female</v>
      </c>
      <c r="N74" s="4" t="str">
        <v>Port Lisa</v>
      </c>
      <c r="O74" s="4" t="str">
        <v>New Mexico</v>
      </c>
      <c r="P74" s="4" t="str">
        <v>USA</v>
      </c>
      <c r="Q74" s="4" t="str">
        <v>Gold</v>
      </c>
      <c r="S74" s="4" t="str">
        <v>CUST1070</v>
      </c>
      <c r="T74" s="4" t="str">
        <v>ERIC SINGH</v>
      </c>
      <c r="U74" s="4" t="str">
        <v>29</v>
      </c>
      <c r="V74" s="4" t="str">
        <v>FEMALE</v>
      </c>
      <c r="W74" s="4" t="str">
        <v>PORT LISA</v>
      </c>
      <c r="X74" s="4" t="str">
        <v>NEW MEXICO</v>
      </c>
      <c r="Y74" s="4" t="str">
        <v>USA</v>
      </c>
      <c r="Z74" s="4" t="str">
        <v>GOLD</v>
      </c>
    </row>
    <row r="75" spans="1:26" x14ac:dyDescent="0.25">
      <c r="A75" t="s">
        <v>265</v>
      </c>
      <c r="B75" t="s">
        <v>266</v>
      </c>
      <c r="C75">
        <v>61</v>
      </c>
      <c r="D75" t="s">
        <v>16</v>
      </c>
      <c r="E75" t="s">
        <v>267</v>
      </c>
      <c r="F75" t="s">
        <v>237</v>
      </c>
      <c r="G75" t="s">
        <v>13</v>
      </c>
      <c r="H75" t="s">
        <v>50</v>
      </c>
      <c r="J75" s="4" t="str">
        <v>CUST1071</v>
      </c>
      <c r="K75" s="4" t="str">
        <v>Andrea Perez</v>
      </c>
      <c r="L75" s="4" t="str">
        <v>61</v>
      </c>
      <c r="M75" s="4" t="str">
        <v>Female</v>
      </c>
      <c r="N75" s="4" t="str">
        <v>South Shaun</v>
      </c>
      <c r="O75" s="4" t="str">
        <v>New Mexico</v>
      </c>
      <c r="P75" s="4" t="str">
        <v>USA</v>
      </c>
      <c r="Q75" s="4" t="str">
        <v>Gold</v>
      </c>
      <c r="S75" s="4" t="str">
        <v>CUST1071</v>
      </c>
      <c r="T75" s="4" t="str">
        <v>ANDREA PEREZ</v>
      </c>
      <c r="U75" s="4" t="str">
        <v>61</v>
      </c>
      <c r="V75" s="4" t="str">
        <v>FEMALE</v>
      </c>
      <c r="W75" s="4" t="str">
        <v>SOUTH SHAUN</v>
      </c>
      <c r="X75" s="4" t="str">
        <v>NEW MEXICO</v>
      </c>
      <c r="Y75" s="4" t="str">
        <v>USA</v>
      </c>
      <c r="Z75" s="4" t="str">
        <v>GOLD</v>
      </c>
    </row>
    <row r="76" spans="1:26" x14ac:dyDescent="0.25">
      <c r="A76" t="s">
        <v>268</v>
      </c>
      <c r="B76" t="s">
        <v>269</v>
      </c>
      <c r="C76">
        <v>39</v>
      </c>
      <c r="D76" t="s">
        <v>16</v>
      </c>
      <c r="E76" t="s">
        <v>270</v>
      </c>
      <c r="F76" t="s">
        <v>271</v>
      </c>
      <c r="G76" t="s">
        <v>13</v>
      </c>
      <c r="H76" t="s">
        <v>50</v>
      </c>
      <c r="J76" s="4" t="str">
        <v>CUST1072</v>
      </c>
      <c r="K76" s="4" t="str">
        <v>Tonya Burch</v>
      </c>
      <c r="L76" s="4" t="str">
        <v>39</v>
      </c>
      <c r="M76" s="4" t="str">
        <v>Female</v>
      </c>
      <c r="N76" s="4" t="str">
        <v>Olsonhaven</v>
      </c>
      <c r="O76" s="4" t="str">
        <v>Iowa</v>
      </c>
      <c r="P76" s="4" t="str">
        <v>USA</v>
      </c>
      <c r="Q76" s="4" t="str">
        <v>Gold</v>
      </c>
      <c r="S76" s="4" t="str">
        <v>CUST1072</v>
      </c>
      <c r="T76" s="4" t="str">
        <v>TONYA BURCH</v>
      </c>
      <c r="U76" s="4" t="str">
        <v>39</v>
      </c>
      <c r="V76" s="4" t="str">
        <v>FEMALE</v>
      </c>
      <c r="W76" s="4" t="str">
        <v>OLSONHAVEN</v>
      </c>
      <c r="X76" s="4" t="str">
        <v>IOWA</v>
      </c>
      <c r="Y76" s="4" t="str">
        <v>USA</v>
      </c>
      <c r="Z76" s="4" t="str">
        <v>GOLD</v>
      </c>
    </row>
    <row r="77" spans="1:26" x14ac:dyDescent="0.25">
      <c r="A77" t="s">
        <v>272</v>
      </c>
      <c r="B77" t="s">
        <v>273</v>
      </c>
      <c r="C77">
        <v>56</v>
      </c>
      <c r="D77" t="s">
        <v>16</v>
      </c>
      <c r="E77" t="s">
        <v>274</v>
      </c>
      <c r="F77" t="s">
        <v>45</v>
      </c>
      <c r="G77" t="s">
        <v>13</v>
      </c>
      <c r="H77" t="s">
        <v>33</v>
      </c>
      <c r="J77" s="4" t="str">
        <v>CUST1073</v>
      </c>
      <c r="K77" s="4" t="str">
        <v>Christopher Brown</v>
      </c>
      <c r="L77" s="4" t="str">
        <v>56</v>
      </c>
      <c r="M77" s="4" t="str">
        <v>Female</v>
      </c>
      <c r="N77" s="4" t="str">
        <v>Sandrastad</v>
      </c>
      <c r="O77" s="4" t="str">
        <v>West Virginia</v>
      </c>
      <c r="P77" s="4" t="str">
        <v>USA</v>
      </c>
      <c r="Q77" s="4" t="str">
        <v>Silver</v>
      </c>
      <c r="S77" s="4" t="str">
        <v>CUST1073</v>
      </c>
      <c r="T77" s="4" t="str">
        <v>CHRISTOPHER BROWN</v>
      </c>
      <c r="U77" s="4" t="str">
        <v>56</v>
      </c>
      <c r="V77" s="4" t="str">
        <v>FEMALE</v>
      </c>
      <c r="W77" s="4" t="str">
        <v>SANDRASTAD</v>
      </c>
      <c r="X77" s="4" t="str">
        <v>WEST VIRGINIA</v>
      </c>
      <c r="Y77" s="4" t="str">
        <v>USA</v>
      </c>
      <c r="Z77" s="4" t="str">
        <v>SILVER</v>
      </c>
    </row>
    <row r="78" spans="1:26" x14ac:dyDescent="0.25">
      <c r="A78" t="s">
        <v>275</v>
      </c>
      <c r="B78" t="s">
        <v>276</v>
      </c>
      <c r="C78">
        <v>58</v>
      </c>
      <c r="D78" t="s">
        <v>10</v>
      </c>
      <c r="E78" t="s">
        <v>277</v>
      </c>
      <c r="F78" t="s">
        <v>278</v>
      </c>
      <c r="G78" t="s">
        <v>13</v>
      </c>
      <c r="H78" t="s">
        <v>28</v>
      </c>
      <c r="J78" s="4" t="str">
        <v>CUST1074</v>
      </c>
      <c r="K78" s="4" t="str">
        <v>John Mayer</v>
      </c>
      <c r="L78" s="4" t="str">
        <v>58</v>
      </c>
      <c r="M78" s="4" t="str">
        <v>Male</v>
      </c>
      <c r="N78" s="4" t="str">
        <v>Longport</v>
      </c>
      <c r="O78" s="4" t="str">
        <v>Colorado</v>
      </c>
      <c r="P78" s="4" t="str">
        <v>USA</v>
      </c>
      <c r="Q78" s="4" t="str">
        <v>Bronze</v>
      </c>
      <c r="S78" s="4" t="str">
        <v>CUST1074</v>
      </c>
      <c r="T78" s="4" t="str">
        <v>JOHN MAYER</v>
      </c>
      <c r="U78" s="4" t="str">
        <v>58</v>
      </c>
      <c r="V78" s="4" t="str">
        <v>MALE</v>
      </c>
      <c r="W78" s="4" t="str">
        <v>LONGPORT</v>
      </c>
      <c r="X78" s="4" t="str">
        <v>COLORADO</v>
      </c>
      <c r="Y78" s="4" t="str">
        <v>USA</v>
      </c>
      <c r="Z78" s="4" t="str">
        <v>BRONZE</v>
      </c>
    </row>
    <row r="79" spans="1:26" x14ac:dyDescent="0.25">
      <c r="A79" t="s">
        <v>279</v>
      </c>
      <c r="B79" t="s">
        <v>280</v>
      </c>
      <c r="C79">
        <v>61</v>
      </c>
      <c r="D79" t="s">
        <v>16</v>
      </c>
      <c r="E79" t="s">
        <v>281</v>
      </c>
      <c r="F79" t="s">
        <v>32</v>
      </c>
      <c r="G79" t="s">
        <v>13</v>
      </c>
      <c r="H79" t="s">
        <v>50</v>
      </c>
      <c r="J79" s="4" t="str">
        <v>CUST1075</v>
      </c>
      <c r="K79" s="4" t="str">
        <v>Rhonda Morales</v>
      </c>
      <c r="L79" s="4" t="str">
        <v>61</v>
      </c>
      <c r="M79" s="4" t="str">
        <v>Female</v>
      </c>
      <c r="N79" s="4" t="str">
        <v>Lake Barryfurt</v>
      </c>
      <c r="O79" s="4" t="str">
        <v>California</v>
      </c>
      <c r="P79" s="4" t="str">
        <v>USA</v>
      </c>
      <c r="Q79" s="4" t="str">
        <v>Gold</v>
      </c>
      <c r="S79" s="4" t="str">
        <v>CUST1075</v>
      </c>
      <c r="T79" s="4" t="str">
        <v>RHONDA MORALES</v>
      </c>
      <c r="U79" s="4" t="str">
        <v>61</v>
      </c>
      <c r="V79" s="4" t="str">
        <v>FEMALE</v>
      </c>
      <c r="W79" s="4" t="str">
        <v>LAKE BARRYFURT</v>
      </c>
      <c r="X79" s="4" t="str">
        <v>CALIFORNIA</v>
      </c>
      <c r="Y79" s="4" t="str">
        <v>USA</v>
      </c>
      <c r="Z79" s="4" t="str">
        <v>GOLD</v>
      </c>
    </row>
    <row r="80" spans="1:26" x14ac:dyDescent="0.25">
      <c r="A80" t="s">
        <v>282</v>
      </c>
      <c r="B80" t="s">
        <v>283</v>
      </c>
      <c r="C80">
        <v>37</v>
      </c>
      <c r="D80" t="s">
        <v>10</v>
      </c>
      <c r="E80" t="s">
        <v>284</v>
      </c>
      <c r="F80" t="s">
        <v>99</v>
      </c>
      <c r="G80" t="s">
        <v>13</v>
      </c>
      <c r="H80" t="s">
        <v>50</v>
      </c>
      <c r="J80" s="4" t="str">
        <v>CUST1076</v>
      </c>
      <c r="K80" s="4" t="str">
        <v>Nathan Campbell</v>
      </c>
      <c r="L80" s="4" t="str">
        <v>37</v>
      </c>
      <c r="M80" s="4" t="str">
        <v>Male</v>
      </c>
      <c r="N80" s="4" t="str">
        <v>Rodrigueztown</v>
      </c>
      <c r="O80" s="4" t="str">
        <v>Oklahoma</v>
      </c>
      <c r="P80" s="4" t="str">
        <v>USA</v>
      </c>
      <c r="Q80" s="4" t="str">
        <v>Gold</v>
      </c>
      <c r="S80" s="4" t="str">
        <v>CUST1076</v>
      </c>
      <c r="T80" s="4" t="str">
        <v>NATHAN CAMPBELL</v>
      </c>
      <c r="U80" s="4" t="str">
        <v>37</v>
      </c>
      <c r="V80" s="4" t="str">
        <v>MALE</v>
      </c>
      <c r="W80" s="4" t="str">
        <v>RODRIGUEZTOWN</v>
      </c>
      <c r="X80" s="4" t="str">
        <v>OKLAHOMA</v>
      </c>
      <c r="Y80" s="4" t="str">
        <v>USA</v>
      </c>
      <c r="Z80" s="4" t="str">
        <v>GOLD</v>
      </c>
    </row>
    <row r="81" spans="1:26" x14ac:dyDescent="0.25">
      <c r="A81" t="s">
        <v>285</v>
      </c>
      <c r="B81" t="s">
        <v>286</v>
      </c>
      <c r="C81">
        <v>29</v>
      </c>
      <c r="D81" t="s">
        <v>10</v>
      </c>
      <c r="E81" t="s">
        <v>287</v>
      </c>
      <c r="F81" t="s">
        <v>175</v>
      </c>
      <c r="G81" t="s">
        <v>13</v>
      </c>
      <c r="H81" t="s">
        <v>50</v>
      </c>
      <c r="J81" s="4" t="str">
        <v>CUST1077</v>
      </c>
      <c r="K81" s="4" t="str">
        <v>Katherine Young</v>
      </c>
      <c r="L81" s="4" t="str">
        <v>29</v>
      </c>
      <c r="M81" s="4" t="str">
        <v>Male</v>
      </c>
      <c r="N81" s="4" t="str">
        <v>North Valeriemouth</v>
      </c>
      <c r="O81" s="4" t="str">
        <v>Vermont</v>
      </c>
      <c r="P81" s="4" t="str">
        <v>USA</v>
      </c>
      <c r="Q81" s="4" t="str">
        <v>Gold</v>
      </c>
      <c r="S81" s="4" t="str">
        <v>CUST1077</v>
      </c>
      <c r="T81" s="4" t="str">
        <v>KATHERINE YOUNG</v>
      </c>
      <c r="U81" s="4" t="str">
        <v>29</v>
      </c>
      <c r="V81" s="4" t="str">
        <v>MALE</v>
      </c>
      <c r="W81" s="4" t="str">
        <v>NORTH VALERIEMOUTH</v>
      </c>
      <c r="X81" s="4" t="str">
        <v>VERMONT</v>
      </c>
      <c r="Y81" s="4" t="str">
        <v>USA</v>
      </c>
      <c r="Z81" s="4" t="str">
        <v>GOLD</v>
      </c>
    </row>
    <row r="82" spans="1:26" x14ac:dyDescent="0.25">
      <c r="A82" t="s">
        <v>288</v>
      </c>
      <c r="B82" t="s">
        <v>289</v>
      </c>
      <c r="C82">
        <v>21</v>
      </c>
      <c r="D82" t="s">
        <v>10</v>
      </c>
      <c r="E82" t="s">
        <v>290</v>
      </c>
      <c r="F82" t="s">
        <v>291</v>
      </c>
      <c r="G82" t="s">
        <v>13</v>
      </c>
      <c r="H82" t="s">
        <v>50</v>
      </c>
      <c r="J82" s="4" t="str">
        <v>CUST1078</v>
      </c>
      <c r="K82" s="4" t="str">
        <v>Cody Blake</v>
      </c>
      <c r="L82" s="4" t="str">
        <v>21</v>
      </c>
      <c r="M82" s="4" t="str">
        <v>Male</v>
      </c>
      <c r="N82" s="4" t="str">
        <v>North Scottport</v>
      </c>
      <c r="O82" s="4" t="str">
        <v>Virginia</v>
      </c>
      <c r="P82" s="4" t="str">
        <v>USA</v>
      </c>
      <c r="Q82" s="4" t="str">
        <v>Gold</v>
      </c>
      <c r="S82" s="4" t="str">
        <v>CUST1078</v>
      </c>
      <c r="T82" s="4" t="str">
        <v>CODY BLAKE</v>
      </c>
      <c r="U82" s="4" t="str">
        <v>21</v>
      </c>
      <c r="V82" s="4" t="str">
        <v>MALE</v>
      </c>
      <c r="W82" s="4" t="str">
        <v>NORTH SCOTTPORT</v>
      </c>
      <c r="X82" s="4" t="str">
        <v>VIRGINIA</v>
      </c>
      <c r="Y82" s="4" t="str">
        <v>USA</v>
      </c>
      <c r="Z82" s="4" t="str">
        <v>GOLD</v>
      </c>
    </row>
    <row r="83" spans="1:26" x14ac:dyDescent="0.25">
      <c r="A83" t="s">
        <v>292</v>
      </c>
      <c r="B83" t="s">
        <v>293</v>
      </c>
      <c r="C83">
        <v>22</v>
      </c>
      <c r="D83" t="s">
        <v>16</v>
      </c>
      <c r="E83" t="s">
        <v>294</v>
      </c>
      <c r="F83" t="s">
        <v>295</v>
      </c>
      <c r="G83" t="s">
        <v>13</v>
      </c>
      <c r="H83" t="s">
        <v>19</v>
      </c>
      <c r="J83" s="4" t="str">
        <v>CUST1079</v>
      </c>
      <c r="K83" s="4" t="str">
        <v>Molly Gardner</v>
      </c>
      <c r="L83" s="4" t="str">
        <v>22</v>
      </c>
      <c r="M83" s="4" t="str">
        <v>Female</v>
      </c>
      <c r="N83" s="4" t="str">
        <v>Nicoleborough</v>
      </c>
      <c r="O83" s="4" t="str">
        <v>Arkansas</v>
      </c>
      <c r="P83" s="4" t="str">
        <v>USA</v>
      </c>
      <c r="Q83" s="4" t="str">
        <v>Platinum</v>
      </c>
      <c r="S83" s="4" t="str">
        <v>CUST1079</v>
      </c>
      <c r="T83" s="4" t="str">
        <v>MOLLY GARDNER</v>
      </c>
      <c r="U83" s="4" t="str">
        <v>22</v>
      </c>
      <c r="V83" s="4" t="str">
        <v>FEMALE</v>
      </c>
      <c r="W83" s="4" t="str">
        <v>NICOLEBOROUGH</v>
      </c>
      <c r="X83" s="4" t="str">
        <v>ARKANSAS</v>
      </c>
      <c r="Y83" s="4" t="str">
        <v>USA</v>
      </c>
      <c r="Z83" s="4" t="str">
        <v>PLATINUM</v>
      </c>
    </row>
    <row r="84" spans="1:26" x14ac:dyDescent="0.25">
      <c r="A84" t="s">
        <v>296</v>
      </c>
      <c r="B84" t="s">
        <v>297</v>
      </c>
      <c r="C84">
        <v>61</v>
      </c>
      <c r="D84" t="s">
        <v>16</v>
      </c>
      <c r="E84" t="s">
        <v>298</v>
      </c>
      <c r="F84" t="s">
        <v>237</v>
      </c>
      <c r="G84" t="s">
        <v>13</v>
      </c>
      <c r="H84" t="s">
        <v>28</v>
      </c>
      <c r="J84" s="4" t="str">
        <v>CUST1080</v>
      </c>
      <c r="K84" s="4" t="str">
        <v>Jennifer Garcia</v>
      </c>
      <c r="L84" s="4" t="str">
        <v>61</v>
      </c>
      <c r="M84" s="4" t="str">
        <v>Female</v>
      </c>
      <c r="N84" s="4" t="str">
        <v>New Sean</v>
      </c>
      <c r="O84" s="4" t="str">
        <v>New Mexico</v>
      </c>
      <c r="P84" s="4" t="str">
        <v>USA</v>
      </c>
      <c r="Q84" s="4" t="str">
        <v>Bronze</v>
      </c>
      <c r="S84" s="4" t="str">
        <v>CUST1080</v>
      </c>
      <c r="T84" s="4" t="str">
        <v>JENNIFER GARCIA</v>
      </c>
      <c r="U84" s="4" t="str">
        <v>61</v>
      </c>
      <c r="V84" s="4" t="str">
        <v>FEMALE</v>
      </c>
      <c r="W84" s="4" t="str">
        <v>NEW SEAN</v>
      </c>
      <c r="X84" s="4" t="str">
        <v>NEW MEXICO</v>
      </c>
      <c r="Y84" s="4" t="str">
        <v>USA</v>
      </c>
      <c r="Z84" s="4" t="str">
        <v>BRONZE</v>
      </c>
    </row>
    <row r="85" spans="1:26" x14ac:dyDescent="0.25">
      <c r="A85" t="s">
        <v>299</v>
      </c>
      <c r="B85" t="s">
        <v>300</v>
      </c>
      <c r="C85">
        <v>34</v>
      </c>
      <c r="D85" t="s">
        <v>16</v>
      </c>
      <c r="E85" t="s">
        <v>301</v>
      </c>
      <c r="F85" t="s">
        <v>137</v>
      </c>
      <c r="G85" t="s">
        <v>13</v>
      </c>
      <c r="H85" t="s">
        <v>19</v>
      </c>
      <c r="J85" s="4" t="str">
        <v>CUST1081</v>
      </c>
      <c r="K85" s="4" t="str">
        <v>Krystal Ford</v>
      </c>
      <c r="L85" s="4" t="str">
        <v>34</v>
      </c>
      <c r="M85" s="4" t="str">
        <v>Female</v>
      </c>
      <c r="N85" s="4" t="str">
        <v>South David</v>
      </c>
      <c r="O85" s="4" t="str">
        <v>Arizona</v>
      </c>
      <c r="P85" s="4" t="str">
        <v>USA</v>
      </c>
      <c r="Q85" s="4" t="str">
        <v>Platinum</v>
      </c>
      <c r="S85" s="4" t="str">
        <v>CUST1081</v>
      </c>
      <c r="T85" s="4" t="str">
        <v>KRYSTAL FORD</v>
      </c>
      <c r="U85" s="4" t="str">
        <v>34</v>
      </c>
      <c r="V85" s="4" t="str">
        <v>FEMALE</v>
      </c>
      <c r="W85" s="4" t="str">
        <v>SOUTH DAVID</v>
      </c>
      <c r="X85" s="4" t="str">
        <v>ARIZONA</v>
      </c>
      <c r="Y85" s="4" t="str">
        <v>USA</v>
      </c>
      <c r="Z85" s="4" t="str">
        <v>PLATINUM</v>
      </c>
    </row>
    <row r="86" spans="1:26" x14ac:dyDescent="0.25">
      <c r="A86" t="s">
        <v>302</v>
      </c>
      <c r="B86" t="s">
        <v>303</v>
      </c>
      <c r="C86">
        <v>53</v>
      </c>
      <c r="D86" t="s">
        <v>10</v>
      </c>
      <c r="E86" t="s">
        <v>304</v>
      </c>
      <c r="F86" t="s">
        <v>254</v>
      </c>
      <c r="G86" t="s">
        <v>13</v>
      </c>
      <c r="H86" t="s">
        <v>28</v>
      </c>
      <c r="J86" s="4" t="str">
        <v>CUST1082</v>
      </c>
      <c r="K86" s="4" t="str">
        <v>George Rosario</v>
      </c>
      <c r="L86" s="4" t="str">
        <v>53</v>
      </c>
      <c r="M86" s="4" t="str">
        <v>Male</v>
      </c>
      <c r="N86" s="4" t="str">
        <v>Leburgh</v>
      </c>
      <c r="O86" s="4" t="str">
        <v>Florida</v>
      </c>
      <c r="P86" s="4" t="str">
        <v>USA</v>
      </c>
      <c r="Q86" s="4" t="str">
        <v>Bronze</v>
      </c>
      <c r="S86" s="4" t="str">
        <v>CUST1082</v>
      </c>
      <c r="T86" s="4" t="str">
        <v>GEORGE ROSARIO</v>
      </c>
      <c r="U86" s="4" t="str">
        <v>53</v>
      </c>
      <c r="V86" s="4" t="str">
        <v>MALE</v>
      </c>
      <c r="W86" s="4" t="str">
        <v>LEBURGH</v>
      </c>
      <c r="X86" s="4" t="str">
        <v>FLORIDA</v>
      </c>
      <c r="Y86" s="4" t="str">
        <v>USA</v>
      </c>
      <c r="Z86" s="4" t="str">
        <v>BRONZE</v>
      </c>
    </row>
    <row r="87" spans="1:26" x14ac:dyDescent="0.25">
      <c r="A87" t="s">
        <v>305</v>
      </c>
      <c r="B87" t="s">
        <v>306</v>
      </c>
      <c r="C87">
        <v>48</v>
      </c>
      <c r="D87" t="s">
        <v>16</v>
      </c>
      <c r="E87" t="s">
        <v>307</v>
      </c>
      <c r="F87" t="s">
        <v>84</v>
      </c>
      <c r="G87" t="s">
        <v>13</v>
      </c>
      <c r="H87" t="s">
        <v>28</v>
      </c>
      <c r="J87" s="4" t="str">
        <v>CUST1083</v>
      </c>
      <c r="K87" s="4" t="str">
        <v>Thomas Robinson</v>
      </c>
      <c r="L87" s="4" t="str">
        <v>48</v>
      </c>
      <c r="M87" s="4" t="str">
        <v>Female</v>
      </c>
      <c r="N87" s="4" t="str">
        <v>Nicholastown</v>
      </c>
      <c r="O87" s="4" t="str">
        <v>Georgia</v>
      </c>
      <c r="P87" s="4" t="str">
        <v>USA</v>
      </c>
      <c r="Q87" s="4" t="str">
        <v>Bronze</v>
      </c>
      <c r="S87" s="4" t="str">
        <v>CUST1083</v>
      </c>
      <c r="T87" s="4" t="str">
        <v>THOMAS ROBINSON</v>
      </c>
      <c r="U87" s="4" t="str">
        <v>48</v>
      </c>
      <c r="V87" s="4" t="str">
        <v>FEMALE</v>
      </c>
      <c r="W87" s="4" t="str">
        <v>NICHOLASTOWN</v>
      </c>
      <c r="X87" s="4" t="str">
        <v>GEORGIA</v>
      </c>
      <c r="Y87" s="4" t="str">
        <v>USA</v>
      </c>
      <c r="Z87" s="4" t="str">
        <v>BRONZE</v>
      </c>
    </row>
    <row r="88" spans="1:26" x14ac:dyDescent="0.25">
      <c r="A88" t="s">
        <v>308</v>
      </c>
      <c r="B88" t="s">
        <v>309</v>
      </c>
      <c r="C88">
        <v>26</v>
      </c>
      <c r="D88" t="s">
        <v>16</v>
      </c>
      <c r="E88" t="s">
        <v>310</v>
      </c>
      <c r="F88" t="s">
        <v>258</v>
      </c>
      <c r="G88" t="s">
        <v>13</v>
      </c>
      <c r="H88" t="s">
        <v>19</v>
      </c>
      <c r="J88" s="4" t="str">
        <v>CUST1084</v>
      </c>
      <c r="K88" s="4" t="str">
        <v>Christy Hoffman</v>
      </c>
      <c r="L88" s="4" t="str">
        <v>26</v>
      </c>
      <c r="M88" s="4" t="str">
        <v>Female</v>
      </c>
      <c r="N88" s="4" t="str">
        <v>Garyberg</v>
      </c>
      <c r="O88" s="4" t="str">
        <v>Indiana</v>
      </c>
      <c r="P88" s="4" t="str">
        <v>USA</v>
      </c>
      <c r="Q88" s="4" t="str">
        <v>Platinum</v>
      </c>
      <c r="S88" s="4" t="str">
        <v>CUST1084</v>
      </c>
      <c r="T88" s="4" t="str">
        <v>CHRISTY HOFFMAN</v>
      </c>
      <c r="U88" s="4" t="str">
        <v>26</v>
      </c>
      <c r="V88" s="4" t="str">
        <v>FEMALE</v>
      </c>
      <c r="W88" s="4" t="str">
        <v>GARYBERG</v>
      </c>
      <c r="X88" s="4" t="str">
        <v>INDIANA</v>
      </c>
      <c r="Y88" s="4" t="str">
        <v>USA</v>
      </c>
      <c r="Z88" s="4" t="str">
        <v>PLATINUM</v>
      </c>
    </row>
    <row r="89" spans="1:26" x14ac:dyDescent="0.25">
      <c r="A89" t="s">
        <v>311</v>
      </c>
      <c r="B89" t="s">
        <v>312</v>
      </c>
      <c r="C89">
        <v>36</v>
      </c>
      <c r="D89" t="s">
        <v>10</v>
      </c>
      <c r="E89" t="s">
        <v>313</v>
      </c>
      <c r="F89" t="s">
        <v>54</v>
      </c>
      <c r="G89" t="s">
        <v>13</v>
      </c>
      <c r="H89" t="s">
        <v>33</v>
      </c>
      <c r="J89" s="4" t="str">
        <v>CUST1085</v>
      </c>
      <c r="K89" s="4" t="str">
        <v>Richard Delgado</v>
      </c>
      <c r="L89" s="4" t="str">
        <v>36</v>
      </c>
      <c r="M89" s="4" t="str">
        <v>Male</v>
      </c>
      <c r="N89" s="4" t="str">
        <v>West Theodorechester</v>
      </c>
      <c r="O89" s="4" t="str">
        <v>Pennsylvania</v>
      </c>
      <c r="P89" s="4" t="str">
        <v>USA</v>
      </c>
      <c r="Q89" s="4" t="str">
        <v>Silver</v>
      </c>
      <c r="S89" s="4" t="str">
        <v>CUST1085</v>
      </c>
      <c r="T89" s="4" t="str">
        <v>RICHARD DELGADO</v>
      </c>
      <c r="U89" s="4" t="str">
        <v>36</v>
      </c>
      <c r="V89" s="4" t="str">
        <v>MALE</v>
      </c>
      <c r="W89" s="4" t="str">
        <v>WEST THEODORECHESTER</v>
      </c>
      <c r="X89" s="4" t="str">
        <v>PENNSYLVANIA</v>
      </c>
      <c r="Y89" s="4" t="str">
        <v>USA</v>
      </c>
      <c r="Z89" s="4" t="str">
        <v>SILVER</v>
      </c>
    </row>
    <row r="90" spans="1:26" x14ac:dyDescent="0.25">
      <c r="A90" t="s">
        <v>314</v>
      </c>
      <c r="B90" t="s">
        <v>315</v>
      </c>
      <c r="C90">
        <v>19</v>
      </c>
      <c r="D90" t="s">
        <v>16</v>
      </c>
      <c r="E90" t="s">
        <v>316</v>
      </c>
      <c r="F90" t="s">
        <v>317</v>
      </c>
      <c r="G90" t="s">
        <v>13</v>
      </c>
      <c r="H90" t="s">
        <v>50</v>
      </c>
      <c r="J90" s="4" t="str">
        <v>CUST1086</v>
      </c>
      <c r="K90" s="4" t="str">
        <v>Tammy Miller MD</v>
      </c>
      <c r="L90" s="4" t="str">
        <v>19</v>
      </c>
      <c r="M90" s="4" t="str">
        <v>Female</v>
      </c>
      <c r="N90" s="4" t="str">
        <v>Austinfurt</v>
      </c>
      <c r="O90" s="4" t="str">
        <v>Mississippi</v>
      </c>
      <c r="P90" s="4" t="str">
        <v>USA</v>
      </c>
      <c r="Q90" s="4" t="str">
        <v>Gold</v>
      </c>
      <c r="S90" s="4" t="str">
        <v>CUST1086</v>
      </c>
      <c r="T90" s="4" t="str">
        <v>TAMMY MILLER MD</v>
      </c>
      <c r="U90" s="4" t="str">
        <v>19</v>
      </c>
      <c r="V90" s="4" t="str">
        <v>FEMALE</v>
      </c>
      <c r="W90" s="4" t="str">
        <v>AUSTINFURT</v>
      </c>
      <c r="X90" s="4" t="str">
        <v>MISSISSIPPI</v>
      </c>
      <c r="Y90" s="4" t="str">
        <v>USA</v>
      </c>
      <c r="Z90" s="4" t="str">
        <v>GOLD</v>
      </c>
    </row>
    <row r="91" spans="1:26" x14ac:dyDescent="0.25">
      <c r="A91" t="s">
        <v>318</v>
      </c>
      <c r="B91" t="s">
        <v>319</v>
      </c>
      <c r="C91">
        <v>58</v>
      </c>
      <c r="D91" t="s">
        <v>16</v>
      </c>
      <c r="E91" t="s">
        <v>320</v>
      </c>
      <c r="F91" t="s">
        <v>321</v>
      </c>
      <c r="G91" t="s">
        <v>13</v>
      </c>
      <c r="H91" t="s">
        <v>28</v>
      </c>
      <c r="J91" s="4" t="str">
        <v>CUST1087</v>
      </c>
      <c r="K91" s="4" t="str">
        <v>Melissa Duffy MD</v>
      </c>
      <c r="L91" s="4" t="str">
        <v>58</v>
      </c>
      <c r="M91" s="4" t="str">
        <v>Female</v>
      </c>
      <c r="N91" s="4" t="str">
        <v>East Jenna</v>
      </c>
      <c r="O91" s="4" t="str">
        <v>South Carolina</v>
      </c>
      <c r="P91" s="4" t="str">
        <v>USA</v>
      </c>
      <c r="Q91" s="4" t="str">
        <v>Bronze</v>
      </c>
      <c r="S91" s="4" t="str">
        <v>CUST1087</v>
      </c>
      <c r="T91" s="4" t="str">
        <v>MELISSA DUFFY MD</v>
      </c>
      <c r="U91" s="4" t="str">
        <v>58</v>
      </c>
      <c r="V91" s="4" t="str">
        <v>FEMALE</v>
      </c>
      <c r="W91" s="4" t="str">
        <v>EAST JENNA</v>
      </c>
      <c r="X91" s="4" t="str">
        <v>SOUTH CAROLINA</v>
      </c>
      <c r="Y91" s="4" t="str">
        <v>USA</v>
      </c>
      <c r="Z91" s="4" t="str">
        <v>BRONZE</v>
      </c>
    </row>
    <row r="92" spans="1:26" x14ac:dyDescent="0.25">
      <c r="A92" t="s">
        <v>322</v>
      </c>
      <c r="B92" t="s">
        <v>323</v>
      </c>
      <c r="C92">
        <v>58</v>
      </c>
      <c r="D92" t="s">
        <v>10</v>
      </c>
      <c r="E92" t="s">
        <v>324</v>
      </c>
      <c r="F92" t="s">
        <v>295</v>
      </c>
      <c r="G92" t="s">
        <v>13</v>
      </c>
      <c r="H92" t="s">
        <v>33</v>
      </c>
      <c r="J92" s="4" t="str">
        <v>CUST1088</v>
      </c>
      <c r="K92" s="4" t="str">
        <v>Timothy Wright</v>
      </c>
      <c r="L92" s="4" t="str">
        <v>58</v>
      </c>
      <c r="M92" s="4" t="str">
        <v>Male</v>
      </c>
      <c r="N92" s="4" t="str">
        <v>Ashleystad</v>
      </c>
      <c r="O92" s="4" t="str">
        <v>Arkansas</v>
      </c>
      <c r="P92" s="4" t="str">
        <v>USA</v>
      </c>
      <c r="Q92" s="4" t="str">
        <v>Silver</v>
      </c>
      <c r="S92" s="4" t="str">
        <v>CUST1088</v>
      </c>
      <c r="T92" s="4" t="str">
        <v>TIMOTHY WRIGHT</v>
      </c>
      <c r="U92" s="4" t="str">
        <v>58</v>
      </c>
      <c r="V92" s="4" t="str">
        <v>MALE</v>
      </c>
      <c r="W92" s="4" t="str">
        <v>ASHLEYSTAD</v>
      </c>
      <c r="X92" s="4" t="str">
        <v>ARKANSAS</v>
      </c>
      <c r="Y92" s="4" t="str">
        <v>USA</v>
      </c>
      <c r="Z92" s="4" t="str">
        <v>SILVER</v>
      </c>
    </row>
    <row r="93" spans="1:26" x14ac:dyDescent="0.25">
      <c r="A93" t="s">
        <v>325</v>
      </c>
      <c r="B93" t="s">
        <v>326</v>
      </c>
      <c r="C93">
        <v>43</v>
      </c>
      <c r="D93" t="s">
        <v>10</v>
      </c>
      <c r="E93" t="s">
        <v>327</v>
      </c>
      <c r="F93" t="s">
        <v>328</v>
      </c>
      <c r="G93" t="s">
        <v>13</v>
      </c>
      <c r="H93" t="s">
        <v>19</v>
      </c>
      <c r="J93" s="4" t="str">
        <v>CUST1089</v>
      </c>
      <c r="K93" s="4" t="str">
        <v>Jamie Yoder</v>
      </c>
      <c r="L93" s="4" t="str">
        <v>43</v>
      </c>
      <c r="M93" s="4" t="str">
        <v>Male</v>
      </c>
      <c r="N93" s="4" t="str">
        <v>New Gabrielleville</v>
      </c>
      <c r="O93" s="4" t="str">
        <v>Wisconsin</v>
      </c>
      <c r="P93" s="4" t="str">
        <v>USA</v>
      </c>
      <c r="Q93" s="4" t="str">
        <v>Platinum</v>
      </c>
      <c r="S93" s="4" t="str">
        <v>CUST1089</v>
      </c>
      <c r="T93" s="4" t="str">
        <v>JAMIE YODER</v>
      </c>
      <c r="U93" s="4" t="str">
        <v>43</v>
      </c>
      <c r="V93" s="4" t="str">
        <v>MALE</v>
      </c>
      <c r="W93" s="4" t="str">
        <v>NEW GABRIELLEVILLE</v>
      </c>
      <c r="X93" s="4" t="str">
        <v>WISCONSIN</v>
      </c>
      <c r="Y93" s="4" t="str">
        <v>USA</v>
      </c>
      <c r="Z93" s="4" t="str">
        <v>PLATINUM</v>
      </c>
    </row>
    <row r="94" spans="1:26" x14ac:dyDescent="0.25">
      <c r="A94" t="s">
        <v>329</v>
      </c>
      <c r="B94" t="s">
        <v>330</v>
      </c>
      <c r="C94">
        <v>58</v>
      </c>
      <c r="D94" t="s">
        <v>16</v>
      </c>
      <c r="E94" t="s">
        <v>331</v>
      </c>
      <c r="F94" t="s">
        <v>332</v>
      </c>
      <c r="G94" t="s">
        <v>13</v>
      </c>
      <c r="H94" t="s">
        <v>19</v>
      </c>
      <c r="J94" s="4" t="str">
        <v>CUST1090</v>
      </c>
      <c r="K94" s="4" t="str">
        <v>Oscar Moon</v>
      </c>
      <c r="L94" s="4" t="str">
        <v>58</v>
      </c>
      <c r="M94" s="4" t="str">
        <v>Female</v>
      </c>
      <c r="N94" s="4" t="str">
        <v>West Cody</v>
      </c>
      <c r="O94" s="4" t="str">
        <v>Louisiana</v>
      </c>
      <c r="P94" s="4" t="str">
        <v>USA</v>
      </c>
      <c r="Q94" s="4" t="str">
        <v>Platinum</v>
      </c>
      <c r="S94" s="4" t="str">
        <v>CUST1090</v>
      </c>
      <c r="T94" s="4" t="str">
        <v>OSCAR MOON</v>
      </c>
      <c r="U94" s="4" t="str">
        <v>58</v>
      </c>
      <c r="V94" s="4" t="str">
        <v>FEMALE</v>
      </c>
      <c r="W94" s="4" t="str">
        <v>WEST CODY</v>
      </c>
      <c r="X94" s="4" t="str">
        <v>LOUISIANA</v>
      </c>
      <c r="Y94" s="4" t="str">
        <v>USA</v>
      </c>
      <c r="Z94" s="4" t="str">
        <v>PLATINUM</v>
      </c>
    </row>
    <row r="95" spans="1:26" x14ac:dyDescent="0.25">
      <c r="A95" t="s">
        <v>333</v>
      </c>
      <c r="B95" t="s">
        <v>334</v>
      </c>
      <c r="C95">
        <v>29</v>
      </c>
      <c r="D95" t="s">
        <v>16</v>
      </c>
      <c r="E95" t="s">
        <v>335</v>
      </c>
      <c r="F95" t="s">
        <v>137</v>
      </c>
      <c r="G95" t="s">
        <v>13</v>
      </c>
      <c r="H95" t="s">
        <v>33</v>
      </c>
      <c r="J95" s="4" t="str">
        <v>CUST1091</v>
      </c>
      <c r="K95" s="4" t="str">
        <v>Donna Gregory</v>
      </c>
      <c r="L95" s="4" t="str">
        <v>29</v>
      </c>
      <c r="M95" s="4" t="str">
        <v>Female</v>
      </c>
      <c r="N95" s="4" t="str">
        <v>South Amandahaven</v>
      </c>
      <c r="O95" s="4" t="str">
        <v>Arizona</v>
      </c>
      <c r="P95" s="4" t="str">
        <v>USA</v>
      </c>
      <c r="Q95" s="4" t="str">
        <v>Silver</v>
      </c>
      <c r="S95" s="4" t="str">
        <v>CUST1091</v>
      </c>
      <c r="T95" s="4" t="str">
        <v>DONNA GREGORY</v>
      </c>
      <c r="U95" s="4" t="str">
        <v>29</v>
      </c>
      <c r="V95" s="4" t="str">
        <v>FEMALE</v>
      </c>
      <c r="W95" s="4" t="str">
        <v>SOUTH AMANDAHAVEN</v>
      </c>
      <c r="X95" s="4" t="str">
        <v>ARIZONA</v>
      </c>
      <c r="Y95" s="4" t="str">
        <v>USA</v>
      </c>
      <c r="Z95" s="4" t="str">
        <v>SILVER</v>
      </c>
    </row>
    <row r="96" spans="1:26" x14ac:dyDescent="0.25">
      <c r="A96" t="s">
        <v>336</v>
      </c>
      <c r="B96" t="s">
        <v>337</v>
      </c>
      <c r="C96">
        <v>44</v>
      </c>
      <c r="D96" t="s">
        <v>16</v>
      </c>
      <c r="E96" t="s">
        <v>338</v>
      </c>
      <c r="F96" t="s">
        <v>241</v>
      </c>
      <c r="G96" t="s">
        <v>13</v>
      </c>
      <c r="H96" t="s">
        <v>19</v>
      </c>
      <c r="J96" s="4" t="str">
        <v>CUST1092</v>
      </c>
      <c r="K96" s="4" t="str">
        <v>Robert Jackson</v>
      </c>
      <c r="L96" s="4" t="str">
        <v>44</v>
      </c>
      <c r="M96" s="4" t="str">
        <v>Female</v>
      </c>
      <c r="N96" s="4" t="str">
        <v>Lake Brandy</v>
      </c>
      <c r="O96" s="4" t="str">
        <v>Tennessee</v>
      </c>
      <c r="P96" s="4" t="str">
        <v>USA</v>
      </c>
      <c r="Q96" s="4" t="str">
        <v>Platinum</v>
      </c>
      <c r="S96" s="4" t="str">
        <v>CUST1092</v>
      </c>
      <c r="T96" s="4" t="str">
        <v>ROBERT JACKSON</v>
      </c>
      <c r="U96" s="4" t="str">
        <v>44</v>
      </c>
      <c r="V96" s="4" t="str">
        <v>FEMALE</v>
      </c>
      <c r="W96" s="4" t="str">
        <v>LAKE BRANDY</v>
      </c>
      <c r="X96" s="4" t="str">
        <v>TENNESSEE</v>
      </c>
      <c r="Y96" s="4" t="str">
        <v>USA</v>
      </c>
      <c r="Z96" s="4" t="str">
        <v>PLATINUM</v>
      </c>
    </row>
    <row r="97" spans="1:26" x14ac:dyDescent="0.25">
      <c r="A97" t="s">
        <v>339</v>
      </c>
      <c r="B97" t="s">
        <v>340</v>
      </c>
      <c r="C97">
        <v>28</v>
      </c>
      <c r="D97" t="s">
        <v>16</v>
      </c>
      <c r="E97" t="s">
        <v>341</v>
      </c>
      <c r="F97" t="s">
        <v>321</v>
      </c>
      <c r="G97" t="s">
        <v>13</v>
      </c>
      <c r="H97" t="s">
        <v>50</v>
      </c>
      <c r="J97" s="4" t="str">
        <v>CUST1093</v>
      </c>
      <c r="K97" s="4" t="str">
        <v>Christy Vasquez</v>
      </c>
      <c r="L97" s="4" t="str">
        <v>28</v>
      </c>
      <c r="M97" s="4" t="str">
        <v>Female</v>
      </c>
      <c r="N97" s="4" t="str">
        <v>Port Travisstad</v>
      </c>
      <c r="O97" s="4" t="str">
        <v>South Carolina</v>
      </c>
      <c r="P97" s="4" t="str">
        <v>USA</v>
      </c>
      <c r="Q97" s="4" t="str">
        <v>Gold</v>
      </c>
      <c r="S97" s="4" t="str">
        <v>CUST1093</v>
      </c>
      <c r="T97" s="4" t="str">
        <v>CHRISTY VASQUEZ</v>
      </c>
      <c r="U97" s="4" t="str">
        <v>28</v>
      </c>
      <c r="V97" s="4" t="str">
        <v>FEMALE</v>
      </c>
      <c r="W97" s="4" t="str">
        <v>PORT TRAVISSTAD</v>
      </c>
      <c r="X97" s="4" t="str">
        <v>SOUTH CAROLINA</v>
      </c>
      <c r="Y97" s="4" t="str">
        <v>USA</v>
      </c>
      <c r="Z97" s="4" t="str">
        <v>GOLD</v>
      </c>
    </row>
    <row r="98" spans="1:26" x14ac:dyDescent="0.25">
      <c r="A98" t="s">
        <v>342</v>
      </c>
      <c r="B98" t="s">
        <v>343</v>
      </c>
      <c r="C98">
        <v>43</v>
      </c>
      <c r="D98" t="s">
        <v>16</v>
      </c>
      <c r="E98" t="s">
        <v>344</v>
      </c>
      <c r="F98" t="s">
        <v>188</v>
      </c>
      <c r="G98" t="s">
        <v>13</v>
      </c>
      <c r="H98" t="s">
        <v>50</v>
      </c>
      <c r="J98" s="4" t="str">
        <v>CUST1094</v>
      </c>
      <c r="K98" s="4" t="str">
        <v>David Patterson</v>
      </c>
      <c r="L98" s="4" t="str">
        <v>43</v>
      </c>
      <c r="M98" s="4" t="str">
        <v>Female</v>
      </c>
      <c r="N98" s="4" t="str">
        <v>New Amyport</v>
      </c>
      <c r="O98" s="4" t="str">
        <v>Nevada</v>
      </c>
      <c r="P98" s="4" t="str">
        <v>USA</v>
      </c>
      <c r="Q98" s="4" t="str">
        <v>Gold</v>
      </c>
      <c r="S98" s="4" t="str">
        <v>CUST1094</v>
      </c>
      <c r="T98" s="4" t="str">
        <v>DAVID PATTERSON</v>
      </c>
      <c r="U98" s="4" t="str">
        <v>43</v>
      </c>
      <c r="V98" s="4" t="str">
        <v>FEMALE</v>
      </c>
      <c r="W98" s="4" t="str">
        <v>NEW AMYPORT</v>
      </c>
      <c r="X98" s="4" t="str">
        <v>NEVADA</v>
      </c>
      <c r="Y98" s="4" t="str">
        <v>USA</v>
      </c>
      <c r="Z98" s="4" t="str">
        <v>GOLD</v>
      </c>
    </row>
    <row r="99" spans="1:26" x14ac:dyDescent="0.25">
      <c r="A99" t="s">
        <v>345</v>
      </c>
      <c r="B99" t="s">
        <v>346</v>
      </c>
      <c r="C99">
        <v>62</v>
      </c>
      <c r="D99" t="s">
        <v>16</v>
      </c>
      <c r="E99" t="s">
        <v>347</v>
      </c>
      <c r="F99" t="s">
        <v>61</v>
      </c>
      <c r="G99" t="s">
        <v>13</v>
      </c>
      <c r="H99" t="s">
        <v>19</v>
      </c>
      <c r="J99" s="4" t="str">
        <v>CUST1095</v>
      </c>
      <c r="K99" s="4" t="str">
        <v>Amy Fowler</v>
      </c>
      <c r="L99" s="4" t="str">
        <v>62</v>
      </c>
      <c r="M99" s="4" t="str">
        <v>Female</v>
      </c>
      <c r="N99" s="4" t="str">
        <v>West Bobbyshire</v>
      </c>
      <c r="O99" s="4" t="str">
        <v>New York</v>
      </c>
      <c r="P99" s="4" t="str">
        <v>USA</v>
      </c>
      <c r="Q99" s="4" t="str">
        <v>Platinum</v>
      </c>
      <c r="S99" s="4" t="str">
        <v>CUST1095</v>
      </c>
      <c r="T99" s="4" t="str">
        <v>AMY FOWLER</v>
      </c>
      <c r="U99" s="4" t="str">
        <v>62</v>
      </c>
      <c r="V99" s="4" t="str">
        <v>FEMALE</v>
      </c>
      <c r="W99" s="4" t="str">
        <v>WEST BOBBYSHIRE</v>
      </c>
      <c r="X99" s="4" t="str">
        <v>NEW YORK</v>
      </c>
      <c r="Y99" s="4" t="str">
        <v>USA</v>
      </c>
      <c r="Z99" s="4" t="str">
        <v>PLATINUM</v>
      </c>
    </row>
    <row r="100" spans="1:26" x14ac:dyDescent="0.25">
      <c r="A100" t="s">
        <v>348</v>
      </c>
      <c r="B100" t="s">
        <v>349</v>
      </c>
      <c r="C100">
        <v>30</v>
      </c>
      <c r="D100" t="s">
        <v>16</v>
      </c>
      <c r="E100" t="s">
        <v>350</v>
      </c>
      <c r="F100" t="s">
        <v>332</v>
      </c>
      <c r="G100" t="s">
        <v>13</v>
      </c>
      <c r="H100" t="s">
        <v>19</v>
      </c>
      <c r="J100" s="4" t="str">
        <v>CUST1096</v>
      </c>
      <c r="K100" s="4" t="str">
        <v>Samantha Walker</v>
      </c>
      <c r="L100" s="4" t="str">
        <v>30</v>
      </c>
      <c r="M100" s="4" t="str">
        <v>Female</v>
      </c>
      <c r="N100" s="4" t="str">
        <v>Timothyburgh</v>
      </c>
      <c r="O100" s="4" t="str">
        <v>Louisiana</v>
      </c>
      <c r="P100" s="4" t="str">
        <v>USA</v>
      </c>
      <c r="Q100" s="4" t="str">
        <v>Platinum</v>
      </c>
      <c r="S100" s="4" t="str">
        <v>CUST1096</v>
      </c>
      <c r="T100" s="4" t="str">
        <v>SAMANTHA WALKER</v>
      </c>
      <c r="U100" s="4" t="str">
        <v>30</v>
      </c>
      <c r="V100" s="4" t="str">
        <v>FEMALE</v>
      </c>
      <c r="W100" s="4" t="str">
        <v>TIMOTHYBURGH</v>
      </c>
      <c r="X100" s="4" t="str">
        <v>LOUISIANA</v>
      </c>
      <c r="Y100" s="4" t="str">
        <v>USA</v>
      </c>
      <c r="Z100" s="4" t="str">
        <v>PLATINUM</v>
      </c>
    </row>
    <row r="101" spans="1:26" x14ac:dyDescent="0.25">
      <c r="A101" t="s">
        <v>351</v>
      </c>
      <c r="B101" t="s">
        <v>352</v>
      </c>
      <c r="C101">
        <v>36</v>
      </c>
      <c r="D101" t="s">
        <v>10</v>
      </c>
      <c r="E101" t="s">
        <v>353</v>
      </c>
      <c r="F101" t="s">
        <v>41</v>
      </c>
      <c r="G101" t="s">
        <v>13</v>
      </c>
      <c r="H101" t="s">
        <v>33</v>
      </c>
      <c r="J101" s="4" t="str">
        <v>CUST1097</v>
      </c>
      <c r="K101" s="4" t="str">
        <v>David Cobb</v>
      </c>
      <c r="L101" s="4" t="str">
        <v>36</v>
      </c>
      <c r="M101" s="4" t="str">
        <v>Male</v>
      </c>
      <c r="N101" s="4" t="str">
        <v>Lake Thomas</v>
      </c>
      <c r="O101" s="4" t="str">
        <v>South Dakota</v>
      </c>
      <c r="P101" s="4" t="str">
        <v>USA</v>
      </c>
      <c r="Q101" s="4" t="str">
        <v>Silver</v>
      </c>
      <c r="S101" s="4" t="str">
        <v>CUST1097</v>
      </c>
      <c r="T101" s="4" t="str">
        <v>DAVID COBB</v>
      </c>
      <c r="U101" s="4" t="str">
        <v>36</v>
      </c>
      <c r="V101" s="4" t="str">
        <v>MALE</v>
      </c>
      <c r="W101" s="4" t="str">
        <v>LAKE THOMAS</v>
      </c>
      <c r="X101" s="4" t="str">
        <v>SOUTH DAKOTA</v>
      </c>
      <c r="Y101" s="4" t="str">
        <v>USA</v>
      </c>
      <c r="Z101" s="4" t="str">
        <v>SILVER</v>
      </c>
    </row>
    <row r="102" spans="1:26" x14ac:dyDescent="0.25">
      <c r="A102" t="s">
        <v>354</v>
      </c>
      <c r="B102" t="s">
        <v>355</v>
      </c>
      <c r="C102">
        <v>24</v>
      </c>
      <c r="D102" t="s">
        <v>10</v>
      </c>
      <c r="E102" t="s">
        <v>356</v>
      </c>
      <c r="F102" t="s">
        <v>167</v>
      </c>
      <c r="G102" t="s">
        <v>13</v>
      </c>
      <c r="H102" t="s">
        <v>50</v>
      </c>
      <c r="J102" s="4" t="str">
        <v>CUST1098</v>
      </c>
      <c r="K102" s="4" t="str">
        <v>Brittney Morgan</v>
      </c>
      <c r="L102" s="4" t="str">
        <v>24</v>
      </c>
      <c r="M102" s="4" t="str">
        <v>Male</v>
      </c>
      <c r="N102" s="4" t="str">
        <v>Lake Kaylahaven</v>
      </c>
      <c r="O102" s="4" t="str">
        <v>Alaska</v>
      </c>
      <c r="P102" s="4" t="str">
        <v>USA</v>
      </c>
      <c r="Q102" s="4" t="str">
        <v>Gold</v>
      </c>
      <c r="S102" s="4" t="str">
        <v>CUST1098</v>
      </c>
      <c r="T102" s="4" t="str">
        <v>BRITTNEY MORGAN</v>
      </c>
      <c r="U102" s="4" t="str">
        <v>24</v>
      </c>
      <c r="V102" s="4" t="str">
        <v>MALE</v>
      </c>
      <c r="W102" s="4" t="str">
        <v>LAKE KAYLAHAVEN</v>
      </c>
      <c r="X102" s="4" t="str">
        <v>ALASKA</v>
      </c>
      <c r="Y102" s="4" t="str">
        <v>USA</v>
      </c>
      <c r="Z102" s="4" t="str">
        <v>GOLD</v>
      </c>
    </row>
    <row r="103" spans="1:26" x14ac:dyDescent="0.25">
      <c r="A103" t="s">
        <v>357</v>
      </c>
      <c r="B103" t="s">
        <v>358</v>
      </c>
      <c r="C103">
        <v>35</v>
      </c>
      <c r="D103" t="s">
        <v>10</v>
      </c>
      <c r="E103" t="s">
        <v>359</v>
      </c>
      <c r="F103" t="s">
        <v>241</v>
      </c>
      <c r="G103" t="s">
        <v>13</v>
      </c>
      <c r="H103" t="s">
        <v>33</v>
      </c>
      <c r="J103" s="4" t="str">
        <v>CUST1099</v>
      </c>
      <c r="K103" s="4" t="str">
        <v>Sheila Wilson</v>
      </c>
      <c r="L103" s="4" t="str">
        <v>35</v>
      </c>
      <c r="M103" s="4" t="str">
        <v>Male</v>
      </c>
      <c r="N103" s="4" t="str">
        <v>South Dustin</v>
      </c>
      <c r="O103" s="4" t="str">
        <v>Tennessee</v>
      </c>
      <c r="P103" s="4" t="str">
        <v>USA</v>
      </c>
      <c r="Q103" s="4" t="str">
        <v>Silver</v>
      </c>
      <c r="S103" s="4" t="str">
        <v>CUST1099</v>
      </c>
      <c r="T103" s="4" t="str">
        <v>SHEILA WILSON</v>
      </c>
      <c r="U103" s="4" t="str">
        <v>35</v>
      </c>
      <c r="V103" s="4" t="str">
        <v>MALE</v>
      </c>
      <c r="W103" s="4" t="str">
        <v>SOUTH DUSTIN</v>
      </c>
      <c r="X103" s="4" t="str">
        <v>TENNESSEE</v>
      </c>
      <c r="Y103" s="4" t="str">
        <v>USA</v>
      </c>
      <c r="Z103" s="4" t="str">
        <v>SILVER</v>
      </c>
    </row>
    <row r="104" spans="1:26" x14ac:dyDescent="0.25">
      <c r="A104" t="s">
        <v>360</v>
      </c>
      <c r="B104" t="s">
        <v>361</v>
      </c>
      <c r="C104">
        <v>53</v>
      </c>
      <c r="D104" t="s">
        <v>16</v>
      </c>
      <c r="E104" t="s">
        <v>362</v>
      </c>
      <c r="F104" t="s">
        <v>363</v>
      </c>
      <c r="G104" t="s">
        <v>13</v>
      </c>
      <c r="H104" t="s">
        <v>19</v>
      </c>
      <c r="J104" s="4" t="str">
        <v>CUST1100</v>
      </c>
      <c r="K104" s="4" t="str">
        <v>Diane Watson</v>
      </c>
      <c r="L104" s="4" t="str">
        <v>53</v>
      </c>
      <c r="M104" s="4" t="str">
        <v>Female</v>
      </c>
      <c r="N104" s="4" t="str">
        <v>North Codyport</v>
      </c>
      <c r="O104" s="4" t="str">
        <v>Texas</v>
      </c>
      <c r="P104" s="4" t="str">
        <v>USA</v>
      </c>
      <c r="Q104" s="4" t="str">
        <v>Platinum</v>
      </c>
      <c r="S104" s="4" t="str">
        <v>CUST1100</v>
      </c>
      <c r="T104" s="4" t="str">
        <v>DIANE WATSON</v>
      </c>
      <c r="U104" s="4" t="str">
        <v>53</v>
      </c>
      <c r="V104" s="4" t="str">
        <v>FEMALE</v>
      </c>
      <c r="W104" s="4" t="str">
        <v>NORTH CODYPORT</v>
      </c>
      <c r="X104" s="4" t="str">
        <v>TEXAS</v>
      </c>
      <c r="Y104" s="4" t="str">
        <v>USA</v>
      </c>
      <c r="Z104" s="4" t="str">
        <v>PLATINUM</v>
      </c>
    </row>
    <row r="105" spans="1:26" x14ac:dyDescent="0.25">
      <c r="A105" t="s">
        <v>364</v>
      </c>
      <c r="B105" t="s">
        <v>365</v>
      </c>
      <c r="C105">
        <v>29</v>
      </c>
      <c r="D105" t="s">
        <v>10</v>
      </c>
      <c r="E105" t="s">
        <v>366</v>
      </c>
      <c r="F105" t="s">
        <v>121</v>
      </c>
      <c r="G105" t="s">
        <v>13</v>
      </c>
      <c r="H105" t="s">
        <v>50</v>
      </c>
      <c r="J105" s="4" t="str">
        <v>CUST1101</v>
      </c>
      <c r="K105" s="4" t="str">
        <v>Colleen Maynard</v>
      </c>
      <c r="L105" s="4" t="str">
        <v>29</v>
      </c>
      <c r="M105" s="4" t="str">
        <v>Male</v>
      </c>
      <c r="N105" s="4" t="str">
        <v>Singletonmouth</v>
      </c>
      <c r="O105" s="4" t="str">
        <v>Utah</v>
      </c>
      <c r="P105" s="4" t="str">
        <v>USA</v>
      </c>
      <c r="Q105" s="4" t="str">
        <v>Gold</v>
      </c>
      <c r="S105" s="4" t="str">
        <v>CUST1101</v>
      </c>
      <c r="T105" s="4" t="str">
        <v>COLLEEN MAYNARD</v>
      </c>
      <c r="U105" s="4" t="str">
        <v>29</v>
      </c>
      <c r="V105" s="4" t="str">
        <v>MALE</v>
      </c>
      <c r="W105" s="4" t="str">
        <v>SINGLETONMOUTH</v>
      </c>
      <c r="X105" s="4" t="str">
        <v>UTAH</v>
      </c>
      <c r="Y105" s="4" t="str">
        <v>USA</v>
      </c>
      <c r="Z105" s="4" t="str">
        <v>GOLD</v>
      </c>
    </row>
    <row r="106" spans="1:26" x14ac:dyDescent="0.25">
      <c r="A106" t="s">
        <v>367</v>
      </c>
      <c r="B106" t="s">
        <v>368</v>
      </c>
      <c r="C106">
        <v>34</v>
      </c>
      <c r="D106" t="s">
        <v>16</v>
      </c>
      <c r="E106" t="s">
        <v>369</v>
      </c>
      <c r="F106" t="s">
        <v>54</v>
      </c>
      <c r="G106" t="s">
        <v>13</v>
      </c>
      <c r="H106" t="s">
        <v>28</v>
      </c>
      <c r="J106" s="4" t="str">
        <v>CUST1102</v>
      </c>
      <c r="K106" s="4" t="str">
        <v>Sarah Schneider</v>
      </c>
      <c r="L106" s="4" t="str">
        <v>34</v>
      </c>
      <c r="M106" s="4" t="str">
        <v>Female</v>
      </c>
      <c r="N106" s="4" t="str">
        <v>Port Joshuachester</v>
      </c>
      <c r="O106" s="4" t="str">
        <v>Pennsylvania</v>
      </c>
      <c r="P106" s="4" t="str">
        <v>USA</v>
      </c>
      <c r="Q106" s="4" t="str">
        <v>Bronze</v>
      </c>
      <c r="S106" s="4" t="str">
        <v>CUST1102</v>
      </c>
      <c r="T106" s="4" t="str">
        <v>SARAH SCHNEIDER</v>
      </c>
      <c r="U106" s="4" t="str">
        <v>34</v>
      </c>
      <c r="V106" s="4" t="str">
        <v>FEMALE</v>
      </c>
      <c r="W106" s="4" t="str">
        <v>PORT JOSHUACHESTER</v>
      </c>
      <c r="X106" s="4" t="str">
        <v>PENNSYLVANIA</v>
      </c>
      <c r="Y106" s="4" t="str">
        <v>USA</v>
      </c>
      <c r="Z106" s="4" t="str">
        <v>BRONZE</v>
      </c>
    </row>
    <row r="107" spans="1:26" x14ac:dyDescent="0.25">
      <c r="A107" t="s">
        <v>370</v>
      </c>
      <c r="B107" t="s">
        <v>371</v>
      </c>
      <c r="C107">
        <v>21</v>
      </c>
      <c r="D107" t="s">
        <v>10</v>
      </c>
      <c r="E107" t="s">
        <v>372</v>
      </c>
      <c r="F107" t="s">
        <v>171</v>
      </c>
      <c r="G107" t="s">
        <v>13</v>
      </c>
      <c r="H107" t="s">
        <v>28</v>
      </c>
      <c r="J107" s="4" t="str">
        <v>CUST1103</v>
      </c>
      <c r="K107" s="4" t="str">
        <v>Steven Stein</v>
      </c>
      <c r="L107" s="4" t="str">
        <v>21</v>
      </c>
      <c r="M107" s="4" t="str">
        <v>Male</v>
      </c>
      <c r="N107" s="4" t="str">
        <v>West Lauren</v>
      </c>
      <c r="O107" s="4" t="str">
        <v>Connecticut</v>
      </c>
      <c r="P107" s="4" t="str">
        <v>USA</v>
      </c>
      <c r="Q107" s="4" t="str">
        <v>Bronze</v>
      </c>
      <c r="S107" s="4" t="str">
        <v>CUST1103</v>
      </c>
      <c r="T107" s="4" t="str">
        <v>STEVEN STEIN</v>
      </c>
      <c r="U107" s="4" t="str">
        <v>21</v>
      </c>
      <c r="V107" s="4" t="str">
        <v>MALE</v>
      </c>
      <c r="W107" s="4" t="str">
        <v>WEST LAUREN</v>
      </c>
      <c r="X107" s="4" t="str">
        <v>CONNECTICUT</v>
      </c>
      <c r="Y107" s="4" t="str">
        <v>USA</v>
      </c>
      <c r="Z107" s="4" t="str">
        <v>BRONZE</v>
      </c>
    </row>
    <row r="108" spans="1:26" x14ac:dyDescent="0.25">
      <c r="A108" t="s">
        <v>373</v>
      </c>
      <c r="B108" t="s">
        <v>374</v>
      </c>
      <c r="C108">
        <v>64</v>
      </c>
      <c r="D108" t="s">
        <v>10</v>
      </c>
      <c r="E108" t="s">
        <v>375</v>
      </c>
      <c r="F108" t="s">
        <v>84</v>
      </c>
      <c r="G108" t="s">
        <v>13</v>
      </c>
      <c r="H108" t="s">
        <v>33</v>
      </c>
      <c r="J108" s="4" t="str">
        <v>CUST1104</v>
      </c>
      <c r="K108" s="4" t="str">
        <v>Christopher Lester</v>
      </c>
      <c r="L108" s="4" t="str">
        <v>64</v>
      </c>
      <c r="M108" s="4" t="str">
        <v>Male</v>
      </c>
      <c r="N108" s="4" t="str">
        <v>South Jenniferville</v>
      </c>
      <c r="O108" s="4" t="str">
        <v>Georgia</v>
      </c>
      <c r="P108" s="4" t="str">
        <v>USA</v>
      </c>
      <c r="Q108" s="4" t="str">
        <v>Silver</v>
      </c>
      <c r="S108" s="4" t="str">
        <v>CUST1104</v>
      </c>
      <c r="T108" s="4" t="str">
        <v>CHRISTOPHER LESTER</v>
      </c>
      <c r="U108" s="4" t="str">
        <v>64</v>
      </c>
      <c r="V108" s="4" t="str">
        <v>MALE</v>
      </c>
      <c r="W108" s="4" t="str">
        <v>SOUTH JENNIFERVILLE</v>
      </c>
      <c r="X108" s="4" t="str">
        <v>GEORGIA</v>
      </c>
      <c r="Y108" s="4" t="str">
        <v>USA</v>
      </c>
      <c r="Z108" s="4" t="str">
        <v>SILVER</v>
      </c>
    </row>
    <row r="109" spans="1:26" x14ac:dyDescent="0.25">
      <c r="A109" t="s">
        <v>376</v>
      </c>
      <c r="B109" t="s">
        <v>377</v>
      </c>
      <c r="C109">
        <v>50</v>
      </c>
      <c r="D109" t="s">
        <v>16</v>
      </c>
      <c r="E109" t="s">
        <v>378</v>
      </c>
      <c r="F109" t="s">
        <v>254</v>
      </c>
      <c r="G109" t="s">
        <v>13</v>
      </c>
      <c r="H109" t="s">
        <v>50</v>
      </c>
      <c r="J109" s="4" t="str">
        <v>CUST1105</v>
      </c>
      <c r="K109" s="4" t="str">
        <v>Lance Baker</v>
      </c>
      <c r="L109" s="4" t="str">
        <v>50</v>
      </c>
      <c r="M109" s="4" t="str">
        <v>Female</v>
      </c>
      <c r="N109" s="4" t="str">
        <v>Port Victoria</v>
      </c>
      <c r="O109" s="4" t="str">
        <v>Florida</v>
      </c>
      <c r="P109" s="4" t="str">
        <v>USA</v>
      </c>
      <c r="Q109" s="4" t="str">
        <v>Gold</v>
      </c>
      <c r="S109" s="4" t="str">
        <v>CUST1105</v>
      </c>
      <c r="T109" s="4" t="str">
        <v>LANCE BAKER</v>
      </c>
      <c r="U109" s="4" t="str">
        <v>50</v>
      </c>
      <c r="V109" s="4" t="str">
        <v>FEMALE</v>
      </c>
      <c r="W109" s="4" t="str">
        <v>PORT VICTORIA</v>
      </c>
      <c r="X109" s="4" t="str">
        <v>FLORIDA</v>
      </c>
      <c r="Y109" s="4" t="str">
        <v>USA</v>
      </c>
      <c r="Z109" s="4" t="str">
        <v>GOLD</v>
      </c>
    </row>
    <row r="110" spans="1:26" x14ac:dyDescent="0.25">
      <c r="A110" t="s">
        <v>379</v>
      </c>
      <c r="B110" t="s">
        <v>380</v>
      </c>
      <c r="C110">
        <v>53</v>
      </c>
      <c r="D110" t="s">
        <v>16</v>
      </c>
      <c r="E110" t="s">
        <v>381</v>
      </c>
      <c r="F110" t="s">
        <v>221</v>
      </c>
      <c r="G110" t="s">
        <v>13</v>
      </c>
      <c r="H110" t="s">
        <v>28</v>
      </c>
      <c r="J110" s="4" t="str">
        <v>CUST1106</v>
      </c>
      <c r="K110" s="4" t="str">
        <v>Howard Summers</v>
      </c>
      <c r="L110" s="4" t="str">
        <v>53</v>
      </c>
      <c r="M110" s="4" t="str">
        <v>Female</v>
      </c>
      <c r="N110" s="4" t="str">
        <v>East Linda</v>
      </c>
      <c r="O110" s="4" t="str">
        <v>Rhode Island</v>
      </c>
      <c r="P110" s="4" t="str">
        <v>USA</v>
      </c>
      <c r="Q110" s="4" t="str">
        <v>Bronze</v>
      </c>
      <c r="S110" s="4" t="str">
        <v>CUST1106</v>
      </c>
      <c r="T110" s="4" t="str">
        <v>HOWARD SUMMERS</v>
      </c>
      <c r="U110" s="4" t="str">
        <v>53</v>
      </c>
      <c r="V110" s="4" t="str">
        <v>FEMALE</v>
      </c>
      <c r="W110" s="4" t="str">
        <v>EAST LINDA</v>
      </c>
      <c r="X110" s="4" t="str">
        <v>RHODE ISLAND</v>
      </c>
      <c r="Y110" s="4" t="str">
        <v>USA</v>
      </c>
      <c r="Z110" s="4" t="str">
        <v>BRONZE</v>
      </c>
    </row>
    <row r="111" spans="1:26" x14ac:dyDescent="0.25">
      <c r="A111" t="s">
        <v>382</v>
      </c>
      <c r="B111" t="s">
        <v>383</v>
      </c>
      <c r="C111">
        <v>62</v>
      </c>
      <c r="D111" t="s">
        <v>16</v>
      </c>
      <c r="E111" t="s">
        <v>384</v>
      </c>
      <c r="F111" t="s">
        <v>18</v>
      </c>
      <c r="G111" t="s">
        <v>13</v>
      </c>
      <c r="H111" t="s">
        <v>19</v>
      </c>
      <c r="J111" s="4" t="str">
        <v>CUST1107</v>
      </c>
      <c r="K111" s="4" t="str">
        <v>Erica Carney</v>
      </c>
      <c r="L111" s="4" t="str">
        <v>62</v>
      </c>
      <c r="M111" s="4" t="str">
        <v>Female</v>
      </c>
      <c r="N111" s="4" t="str">
        <v>North Justin</v>
      </c>
      <c r="O111" s="4" t="str">
        <v>North Dakota</v>
      </c>
      <c r="P111" s="4" t="str">
        <v>USA</v>
      </c>
      <c r="Q111" s="4" t="str">
        <v>Platinum</v>
      </c>
      <c r="S111" s="4" t="str">
        <v>CUST1107</v>
      </c>
      <c r="T111" s="4" t="str">
        <v>ERICA CARNEY</v>
      </c>
      <c r="U111" s="4" t="str">
        <v>62</v>
      </c>
      <c r="V111" s="4" t="str">
        <v>FEMALE</v>
      </c>
      <c r="W111" s="4" t="str">
        <v>NORTH JUSTIN</v>
      </c>
      <c r="X111" s="4" t="str">
        <v>NORTH DAKOTA</v>
      </c>
      <c r="Y111" s="4" t="str">
        <v>USA</v>
      </c>
      <c r="Z111" s="4" t="str">
        <v>PLATINUM</v>
      </c>
    </row>
    <row r="112" spans="1:26" x14ac:dyDescent="0.25">
      <c r="A112" t="s">
        <v>385</v>
      </c>
      <c r="B112" t="s">
        <v>386</v>
      </c>
      <c r="C112">
        <v>38</v>
      </c>
      <c r="D112" t="s">
        <v>10</v>
      </c>
      <c r="E112" t="s">
        <v>387</v>
      </c>
      <c r="F112" t="s">
        <v>49</v>
      </c>
      <c r="G112" t="s">
        <v>13</v>
      </c>
      <c r="H112" t="s">
        <v>28</v>
      </c>
      <c r="J112" s="4" t="str">
        <v>CUST1108</v>
      </c>
      <c r="K112" s="4" t="str">
        <v>Travis Holland</v>
      </c>
      <c r="L112" s="4" t="str">
        <v>38</v>
      </c>
      <c r="M112" s="4" t="str">
        <v>Male</v>
      </c>
      <c r="N112" s="4" t="str">
        <v>Webstermouth</v>
      </c>
      <c r="O112" s="4" t="str">
        <v>New Hampshire</v>
      </c>
      <c r="P112" s="4" t="str">
        <v>USA</v>
      </c>
      <c r="Q112" s="4" t="str">
        <v>Bronze</v>
      </c>
      <c r="S112" s="4" t="str">
        <v>CUST1108</v>
      </c>
      <c r="T112" s="4" t="str">
        <v>TRAVIS HOLLAND</v>
      </c>
      <c r="U112" s="4" t="str">
        <v>38</v>
      </c>
      <c r="V112" s="4" t="str">
        <v>MALE</v>
      </c>
      <c r="W112" s="4" t="str">
        <v>WEBSTERMOUTH</v>
      </c>
      <c r="X112" s="4" t="str">
        <v>NEW HAMPSHIRE</v>
      </c>
      <c r="Y112" s="4" t="str">
        <v>USA</v>
      </c>
      <c r="Z112" s="4" t="str">
        <v>BRONZE</v>
      </c>
    </row>
    <row r="113" spans="1:26" x14ac:dyDescent="0.25">
      <c r="A113" t="s">
        <v>388</v>
      </c>
      <c r="B113" t="s">
        <v>389</v>
      </c>
      <c r="C113">
        <v>27</v>
      </c>
      <c r="D113" t="s">
        <v>10</v>
      </c>
      <c r="E113" t="s">
        <v>390</v>
      </c>
      <c r="F113" t="s">
        <v>45</v>
      </c>
      <c r="G113" t="s">
        <v>13</v>
      </c>
      <c r="H113" t="s">
        <v>33</v>
      </c>
      <c r="J113" s="4" t="str">
        <v>CUST1109</v>
      </c>
      <c r="K113" s="4" t="str">
        <v>Amy Walker</v>
      </c>
      <c r="L113" s="4" t="str">
        <v>27</v>
      </c>
      <c r="M113" s="4" t="str">
        <v>Male</v>
      </c>
      <c r="N113" s="4" t="str">
        <v>Smithland</v>
      </c>
      <c r="O113" s="4" t="str">
        <v>West Virginia</v>
      </c>
      <c r="P113" s="4" t="str">
        <v>USA</v>
      </c>
      <c r="Q113" s="4" t="str">
        <v>Silver</v>
      </c>
      <c r="S113" s="4" t="str">
        <v>CUST1109</v>
      </c>
      <c r="T113" s="4" t="str">
        <v>AMY WALKER</v>
      </c>
      <c r="U113" s="4" t="str">
        <v>27</v>
      </c>
      <c r="V113" s="4" t="str">
        <v>MALE</v>
      </c>
      <c r="W113" s="4" t="str">
        <v>SMITHLAND</v>
      </c>
      <c r="X113" s="4" t="str">
        <v>WEST VIRGINIA</v>
      </c>
      <c r="Y113" s="4" t="str">
        <v>USA</v>
      </c>
      <c r="Z113" s="4" t="str">
        <v>SILVER</v>
      </c>
    </row>
    <row r="114" spans="1:26" x14ac:dyDescent="0.25">
      <c r="A114" t="s">
        <v>391</v>
      </c>
      <c r="B114" t="s">
        <v>392</v>
      </c>
      <c r="C114">
        <v>40</v>
      </c>
      <c r="D114" t="s">
        <v>16</v>
      </c>
      <c r="E114" t="s">
        <v>393</v>
      </c>
      <c r="F114" t="s">
        <v>144</v>
      </c>
      <c r="G114" t="s">
        <v>13</v>
      </c>
      <c r="H114" t="s">
        <v>50</v>
      </c>
      <c r="J114" s="4" t="str">
        <v>CUST1110</v>
      </c>
      <c r="K114" s="4" t="str">
        <v>Ashley Griffin</v>
      </c>
      <c r="L114" s="4" t="str">
        <v>40</v>
      </c>
      <c r="M114" s="4" t="str">
        <v>Female</v>
      </c>
      <c r="N114" s="4" t="str">
        <v>New Dawnton</v>
      </c>
      <c r="O114" s="4" t="str">
        <v>Maryland</v>
      </c>
      <c r="P114" s="4" t="str">
        <v>USA</v>
      </c>
      <c r="Q114" s="4" t="str">
        <v>Gold</v>
      </c>
      <c r="S114" s="4" t="str">
        <v>CUST1110</v>
      </c>
      <c r="T114" s="4" t="str">
        <v>ASHLEY GRIFFIN</v>
      </c>
      <c r="U114" s="4" t="str">
        <v>40</v>
      </c>
      <c r="V114" s="4" t="str">
        <v>FEMALE</v>
      </c>
      <c r="W114" s="4" t="str">
        <v>NEW DAWNTON</v>
      </c>
      <c r="X114" s="4" t="str">
        <v>MARYLAND</v>
      </c>
      <c r="Y114" s="4" t="str">
        <v>USA</v>
      </c>
      <c r="Z114" s="4" t="str">
        <v>GOLD</v>
      </c>
    </row>
    <row r="115" spans="1:26" x14ac:dyDescent="0.25">
      <c r="A115" t="s">
        <v>394</v>
      </c>
      <c r="B115" t="s">
        <v>395</v>
      </c>
      <c r="C115">
        <v>18</v>
      </c>
      <c r="D115" t="s">
        <v>16</v>
      </c>
      <c r="E115" t="s">
        <v>396</v>
      </c>
      <c r="F115" t="s">
        <v>137</v>
      </c>
      <c r="G115" t="s">
        <v>13</v>
      </c>
      <c r="H115" t="s">
        <v>19</v>
      </c>
      <c r="J115" s="4" t="str">
        <v>CUST1111</v>
      </c>
      <c r="K115" s="4" t="str">
        <v>Julie Farmer</v>
      </c>
      <c r="L115" s="4" t="str">
        <v>18</v>
      </c>
      <c r="M115" s="4" t="str">
        <v>Female</v>
      </c>
      <c r="N115" s="4" t="str">
        <v>Rodriguezmouth</v>
      </c>
      <c r="O115" s="4" t="str">
        <v>Arizona</v>
      </c>
      <c r="P115" s="4" t="str">
        <v>USA</v>
      </c>
      <c r="Q115" s="4" t="str">
        <v>Platinum</v>
      </c>
      <c r="S115" s="4" t="str">
        <v>CUST1111</v>
      </c>
      <c r="T115" s="4" t="str">
        <v>JULIE FARMER</v>
      </c>
      <c r="U115" s="4" t="str">
        <v>18</v>
      </c>
      <c r="V115" s="4" t="str">
        <v>FEMALE</v>
      </c>
      <c r="W115" s="4" t="str">
        <v>RODRIGUEZMOUTH</v>
      </c>
      <c r="X115" s="4" t="str">
        <v>ARIZONA</v>
      </c>
      <c r="Y115" s="4" t="str">
        <v>USA</v>
      </c>
      <c r="Z115" s="4" t="str">
        <v>PLATINUM</v>
      </c>
    </row>
    <row r="116" spans="1:26" x14ac:dyDescent="0.25">
      <c r="A116" t="s">
        <v>397</v>
      </c>
      <c r="B116" t="s">
        <v>398</v>
      </c>
      <c r="C116">
        <v>27</v>
      </c>
      <c r="D116" t="s">
        <v>16</v>
      </c>
      <c r="E116" t="s">
        <v>399</v>
      </c>
      <c r="F116" t="s">
        <v>160</v>
      </c>
      <c r="G116" t="s">
        <v>13</v>
      </c>
      <c r="H116" t="s">
        <v>33</v>
      </c>
      <c r="J116" s="4" t="str">
        <v>CUST1112</v>
      </c>
      <c r="K116" s="4" t="str">
        <v>David Cole</v>
      </c>
      <c r="L116" s="4" t="str">
        <v>27</v>
      </c>
      <c r="M116" s="4" t="str">
        <v>Female</v>
      </c>
      <c r="N116" s="4" t="str">
        <v>Lake Michael</v>
      </c>
      <c r="O116" s="4" t="str">
        <v>Michigan</v>
      </c>
      <c r="P116" s="4" t="str">
        <v>USA</v>
      </c>
      <c r="Q116" s="4" t="str">
        <v>Silver</v>
      </c>
      <c r="S116" s="4" t="str">
        <v>CUST1112</v>
      </c>
      <c r="T116" s="4" t="str">
        <v>DAVID COLE</v>
      </c>
      <c r="U116" s="4" t="str">
        <v>27</v>
      </c>
      <c r="V116" s="4" t="str">
        <v>FEMALE</v>
      </c>
      <c r="W116" s="4" t="str">
        <v>LAKE MICHAEL</v>
      </c>
      <c r="X116" s="4" t="str">
        <v>MICHIGAN</v>
      </c>
      <c r="Y116" s="4" t="str">
        <v>USA</v>
      </c>
      <c r="Z116" s="4" t="str">
        <v>SILVER</v>
      </c>
    </row>
    <row r="117" spans="1:26" x14ac:dyDescent="0.25">
      <c r="A117" t="s">
        <v>400</v>
      </c>
      <c r="B117" t="s">
        <v>401</v>
      </c>
      <c r="C117">
        <v>51</v>
      </c>
      <c r="D117" t="s">
        <v>10</v>
      </c>
      <c r="E117" t="s">
        <v>402</v>
      </c>
      <c r="F117" t="s">
        <v>237</v>
      </c>
      <c r="G117" t="s">
        <v>13</v>
      </c>
      <c r="H117" t="s">
        <v>50</v>
      </c>
      <c r="J117" s="4" t="str">
        <v>CUST1113</v>
      </c>
      <c r="K117" s="4" t="str">
        <v>Edward Hall</v>
      </c>
      <c r="L117" s="4" t="str">
        <v>51</v>
      </c>
      <c r="M117" s="4" t="str">
        <v>Male</v>
      </c>
      <c r="N117" s="4" t="str">
        <v>New William</v>
      </c>
      <c r="O117" s="4" t="str">
        <v>New Mexico</v>
      </c>
      <c r="P117" s="4" t="str">
        <v>USA</v>
      </c>
      <c r="Q117" s="4" t="str">
        <v>Gold</v>
      </c>
      <c r="S117" s="4" t="str">
        <v>CUST1113</v>
      </c>
      <c r="T117" s="4" t="str">
        <v>EDWARD HALL</v>
      </c>
      <c r="U117" s="4" t="str">
        <v>51</v>
      </c>
      <c r="V117" s="4" t="str">
        <v>MALE</v>
      </c>
      <c r="W117" s="4" t="str">
        <v>NEW WILLIAM</v>
      </c>
      <c r="X117" s="4" t="str">
        <v>NEW MEXICO</v>
      </c>
      <c r="Y117" s="4" t="str">
        <v>USA</v>
      </c>
      <c r="Z117" s="4" t="str">
        <v>GOLD</v>
      </c>
    </row>
    <row r="118" spans="1:26" x14ac:dyDescent="0.25">
      <c r="A118" t="s">
        <v>403</v>
      </c>
      <c r="B118" t="s">
        <v>404</v>
      </c>
      <c r="C118">
        <v>30</v>
      </c>
      <c r="D118" t="s">
        <v>10</v>
      </c>
      <c r="E118" t="s">
        <v>405</v>
      </c>
      <c r="F118" t="s">
        <v>188</v>
      </c>
      <c r="G118" t="s">
        <v>13</v>
      </c>
      <c r="H118" t="s">
        <v>28</v>
      </c>
      <c r="J118" s="4" t="str">
        <v>CUST1114</v>
      </c>
      <c r="K118" s="4" t="str">
        <v>Ryan Hernandez</v>
      </c>
      <c r="L118" s="4" t="str">
        <v>30</v>
      </c>
      <c r="M118" s="4" t="str">
        <v>Male</v>
      </c>
      <c r="N118" s="4" t="str">
        <v>East Donna</v>
      </c>
      <c r="O118" s="4" t="str">
        <v>Nevada</v>
      </c>
      <c r="P118" s="4" t="str">
        <v>USA</v>
      </c>
      <c r="Q118" s="4" t="str">
        <v>Bronze</v>
      </c>
      <c r="S118" s="4" t="str">
        <v>CUST1114</v>
      </c>
      <c r="T118" s="4" t="str">
        <v>RYAN HERNANDEZ</v>
      </c>
      <c r="U118" s="4" t="str">
        <v>30</v>
      </c>
      <c r="V118" s="4" t="str">
        <v>MALE</v>
      </c>
      <c r="W118" s="4" t="str">
        <v>EAST DONNA</v>
      </c>
      <c r="X118" s="4" t="str">
        <v>NEVADA</v>
      </c>
      <c r="Y118" s="4" t="str">
        <v>USA</v>
      </c>
      <c r="Z118" s="4" t="str">
        <v>BRONZE</v>
      </c>
    </row>
    <row r="119" spans="1:26" x14ac:dyDescent="0.25">
      <c r="A119" t="s">
        <v>406</v>
      </c>
      <c r="B119" t="s">
        <v>407</v>
      </c>
      <c r="C119">
        <v>53</v>
      </c>
      <c r="D119" t="s">
        <v>16</v>
      </c>
      <c r="E119" t="s">
        <v>408</v>
      </c>
      <c r="F119" t="s">
        <v>18</v>
      </c>
      <c r="G119" t="s">
        <v>13</v>
      </c>
      <c r="H119" t="s">
        <v>19</v>
      </c>
      <c r="J119" s="4" t="str">
        <v>CUST1115</v>
      </c>
      <c r="K119" s="4" t="str">
        <v>Tyler Conrad</v>
      </c>
      <c r="L119" s="4" t="str">
        <v>53</v>
      </c>
      <c r="M119" s="4" t="str">
        <v>Female</v>
      </c>
      <c r="N119" s="4" t="str">
        <v>North Curtischester</v>
      </c>
      <c r="O119" s="4" t="str">
        <v>North Dakota</v>
      </c>
      <c r="P119" s="4" t="str">
        <v>USA</v>
      </c>
      <c r="Q119" s="4" t="str">
        <v>Platinum</v>
      </c>
      <c r="S119" s="4" t="str">
        <v>CUST1115</v>
      </c>
      <c r="T119" s="4" t="str">
        <v>TYLER CONRAD</v>
      </c>
      <c r="U119" s="4" t="str">
        <v>53</v>
      </c>
      <c r="V119" s="4" t="str">
        <v>FEMALE</v>
      </c>
      <c r="W119" s="4" t="str">
        <v>NORTH CURTISCHESTER</v>
      </c>
      <c r="X119" s="4" t="str">
        <v>NORTH DAKOTA</v>
      </c>
      <c r="Y119" s="4" t="str">
        <v>USA</v>
      </c>
      <c r="Z119" s="4" t="str">
        <v>PLATINUM</v>
      </c>
    </row>
    <row r="120" spans="1:26" x14ac:dyDescent="0.25">
      <c r="A120" t="s">
        <v>409</v>
      </c>
      <c r="B120" t="s">
        <v>410</v>
      </c>
      <c r="C120">
        <v>18</v>
      </c>
      <c r="D120" t="s">
        <v>16</v>
      </c>
      <c r="E120" t="s">
        <v>411</v>
      </c>
      <c r="F120" t="s">
        <v>221</v>
      </c>
      <c r="G120" t="s">
        <v>13</v>
      </c>
      <c r="H120" t="s">
        <v>19</v>
      </c>
      <c r="J120" s="4" t="str">
        <v>CUST1116</v>
      </c>
      <c r="K120" s="4" t="str">
        <v>Anthony Phillips</v>
      </c>
      <c r="L120" s="4" t="str">
        <v>18</v>
      </c>
      <c r="M120" s="4" t="str">
        <v>Female</v>
      </c>
      <c r="N120" s="4" t="str">
        <v>North Davidport</v>
      </c>
      <c r="O120" s="4" t="str">
        <v>Rhode Island</v>
      </c>
      <c r="P120" s="4" t="str">
        <v>USA</v>
      </c>
      <c r="Q120" s="4" t="str">
        <v>Platinum</v>
      </c>
      <c r="S120" s="4" t="str">
        <v>CUST1116</v>
      </c>
      <c r="T120" s="4" t="str">
        <v>ANTHONY PHILLIPS</v>
      </c>
      <c r="U120" s="4" t="str">
        <v>18</v>
      </c>
      <c r="V120" s="4" t="str">
        <v>FEMALE</v>
      </c>
      <c r="W120" s="4" t="str">
        <v>NORTH DAVIDPORT</v>
      </c>
      <c r="X120" s="4" t="str">
        <v>RHODE ISLAND</v>
      </c>
      <c r="Y120" s="4" t="str">
        <v>USA</v>
      </c>
      <c r="Z120" s="4" t="str">
        <v>PLATINUM</v>
      </c>
    </row>
    <row r="121" spans="1:26" x14ac:dyDescent="0.25">
      <c r="A121" t="s">
        <v>412</v>
      </c>
      <c r="B121" t="s">
        <v>413</v>
      </c>
      <c r="C121">
        <v>21</v>
      </c>
      <c r="D121" t="s">
        <v>16</v>
      </c>
      <c r="E121" t="s">
        <v>414</v>
      </c>
      <c r="F121" t="s">
        <v>77</v>
      </c>
      <c r="G121" t="s">
        <v>13</v>
      </c>
      <c r="H121" t="s">
        <v>19</v>
      </c>
      <c r="J121" s="4" t="str">
        <v>CUST1117</v>
      </c>
      <c r="K121" s="4" t="str">
        <v>Colleen Mccarthy</v>
      </c>
      <c r="L121" s="4" t="str">
        <v>21</v>
      </c>
      <c r="M121" s="4" t="str">
        <v>Female</v>
      </c>
      <c r="N121" s="4" t="str">
        <v>North Katherine</v>
      </c>
      <c r="O121" s="4" t="str">
        <v>Washington</v>
      </c>
      <c r="P121" s="4" t="str">
        <v>USA</v>
      </c>
      <c r="Q121" s="4" t="str">
        <v>Platinum</v>
      </c>
      <c r="S121" s="4" t="str">
        <v>CUST1117</v>
      </c>
      <c r="T121" s="4" t="str">
        <v>COLLEEN MCCARTHY</v>
      </c>
      <c r="U121" s="4" t="str">
        <v>21</v>
      </c>
      <c r="V121" s="4" t="str">
        <v>FEMALE</v>
      </c>
      <c r="W121" s="4" t="str">
        <v>NORTH KATHERINE</v>
      </c>
      <c r="X121" s="4" t="str">
        <v>WASHINGTON</v>
      </c>
      <c r="Y121" s="4" t="str">
        <v>USA</v>
      </c>
      <c r="Z121" s="4" t="str">
        <v>PLATINUM</v>
      </c>
    </row>
    <row r="122" spans="1:26" x14ac:dyDescent="0.25">
      <c r="A122" t="s">
        <v>415</v>
      </c>
      <c r="B122" t="s">
        <v>416</v>
      </c>
      <c r="C122">
        <v>36</v>
      </c>
      <c r="D122" t="s">
        <v>10</v>
      </c>
      <c r="E122" t="s">
        <v>417</v>
      </c>
      <c r="F122" t="s">
        <v>73</v>
      </c>
      <c r="G122" t="s">
        <v>13</v>
      </c>
      <c r="H122" t="s">
        <v>19</v>
      </c>
      <c r="J122" s="4" t="str">
        <v>CUST1118</v>
      </c>
      <c r="K122" s="4" t="str">
        <v>Earl Allen</v>
      </c>
      <c r="L122" s="4" t="str">
        <v>36</v>
      </c>
      <c r="M122" s="4" t="str">
        <v>Male</v>
      </c>
      <c r="N122" s="4" t="str">
        <v>New Jenniferburgh</v>
      </c>
      <c r="O122" s="4" t="str">
        <v>Nebraska</v>
      </c>
      <c r="P122" s="4" t="str">
        <v>USA</v>
      </c>
      <c r="Q122" s="4" t="str">
        <v>Platinum</v>
      </c>
      <c r="S122" s="4" t="str">
        <v>CUST1118</v>
      </c>
      <c r="T122" s="4" t="str">
        <v>EARL ALLEN</v>
      </c>
      <c r="U122" s="4" t="str">
        <v>36</v>
      </c>
      <c r="V122" s="4" t="str">
        <v>MALE</v>
      </c>
      <c r="W122" s="4" t="str">
        <v>NEW JENNIFERBURGH</v>
      </c>
      <c r="X122" s="4" t="str">
        <v>NEBRASKA</v>
      </c>
      <c r="Y122" s="4" t="str">
        <v>USA</v>
      </c>
      <c r="Z122" s="4" t="str">
        <v>PLATINUM</v>
      </c>
    </row>
    <row r="123" spans="1:26" x14ac:dyDescent="0.25">
      <c r="A123" t="s">
        <v>418</v>
      </c>
      <c r="B123" t="s">
        <v>419</v>
      </c>
      <c r="C123">
        <v>40</v>
      </c>
      <c r="D123" t="s">
        <v>10</v>
      </c>
      <c r="E123" t="s">
        <v>420</v>
      </c>
      <c r="F123" t="s">
        <v>241</v>
      </c>
      <c r="G123" t="s">
        <v>13</v>
      </c>
      <c r="H123" t="s">
        <v>28</v>
      </c>
      <c r="J123" s="4" t="str">
        <v>CUST1119</v>
      </c>
      <c r="K123" s="4" t="str">
        <v>Michael Jones</v>
      </c>
      <c r="L123" s="4" t="str">
        <v>40</v>
      </c>
      <c r="M123" s="4" t="str">
        <v>Male</v>
      </c>
      <c r="N123" s="4" t="str">
        <v>North Edwardton</v>
      </c>
      <c r="O123" s="4" t="str">
        <v>Tennessee</v>
      </c>
      <c r="P123" s="4" t="str">
        <v>USA</v>
      </c>
      <c r="Q123" s="4" t="str">
        <v>Bronze</v>
      </c>
      <c r="S123" s="4" t="str">
        <v>CUST1119</v>
      </c>
      <c r="T123" s="4" t="str">
        <v>MICHAEL JONES</v>
      </c>
      <c r="U123" s="4" t="str">
        <v>40</v>
      </c>
      <c r="V123" s="4" t="str">
        <v>MALE</v>
      </c>
      <c r="W123" s="4" t="str">
        <v>NORTH EDWARDTON</v>
      </c>
      <c r="X123" s="4" t="str">
        <v>TENNESSEE</v>
      </c>
      <c r="Y123" s="4" t="str">
        <v>USA</v>
      </c>
      <c r="Z123" s="4" t="str">
        <v>BRONZE</v>
      </c>
    </row>
    <row r="124" spans="1:26" x14ac:dyDescent="0.25">
      <c r="A124" t="s">
        <v>421</v>
      </c>
      <c r="B124" t="s">
        <v>422</v>
      </c>
      <c r="C124">
        <v>44</v>
      </c>
      <c r="D124" t="s">
        <v>16</v>
      </c>
      <c r="E124" t="s">
        <v>423</v>
      </c>
      <c r="F124" t="s">
        <v>54</v>
      </c>
      <c r="G124" t="s">
        <v>13</v>
      </c>
      <c r="H124" t="s">
        <v>19</v>
      </c>
      <c r="J124" s="4" t="str">
        <v>CUST1120</v>
      </c>
      <c r="K124" s="4" t="str">
        <v>Jacob Hopkins</v>
      </c>
      <c r="L124" s="4" t="str">
        <v>44</v>
      </c>
      <c r="M124" s="4" t="str">
        <v>Female</v>
      </c>
      <c r="N124" s="4" t="str">
        <v>lake tylerfort</v>
      </c>
      <c r="O124" s="4" t="str">
        <v>Pennsylvania</v>
      </c>
      <c r="P124" s="4" t="str">
        <v>USA</v>
      </c>
      <c r="Q124" s="4" t="str">
        <v>Platinum</v>
      </c>
      <c r="S124" s="4" t="str">
        <v>CUST1120</v>
      </c>
      <c r="T124" s="4" t="str">
        <v>JACOB HOPKINS</v>
      </c>
      <c r="U124" s="4" t="str">
        <v>44</v>
      </c>
      <c r="V124" s="4" t="str">
        <v>FEMALE</v>
      </c>
      <c r="W124" s="4" t="str">
        <v>LAKE TYLERFORT</v>
      </c>
      <c r="X124" s="4" t="str">
        <v>PENNSYLVANIA</v>
      </c>
      <c r="Y124" s="4" t="str">
        <v>USA</v>
      </c>
      <c r="Z124" s="4" t="str">
        <v>PLATINUM</v>
      </c>
    </row>
    <row r="125" spans="1:26" x14ac:dyDescent="0.25">
      <c r="A125" t="s">
        <v>424</v>
      </c>
      <c r="B125" t="s">
        <v>425</v>
      </c>
      <c r="C125">
        <v>62</v>
      </c>
      <c r="D125" t="s">
        <v>10</v>
      </c>
      <c r="E125" t="s">
        <v>426</v>
      </c>
      <c r="F125" t="s">
        <v>103</v>
      </c>
      <c r="G125" t="s">
        <v>13</v>
      </c>
      <c r="H125" t="s">
        <v>19</v>
      </c>
      <c r="J125" s="4" t="str">
        <v>CUST1121</v>
      </c>
      <c r="K125" s="4" t="str">
        <v>Joel Robinson</v>
      </c>
      <c r="L125" s="4" t="str">
        <v>62</v>
      </c>
      <c r="M125" s="4" t="str">
        <v>Male</v>
      </c>
      <c r="N125" s="4" t="str">
        <v>Lake Danielport</v>
      </c>
      <c r="O125" s="4" t="str">
        <v>Hawaii</v>
      </c>
      <c r="P125" s="4" t="str">
        <v>USA</v>
      </c>
      <c r="Q125" s="4" t="str">
        <v>Platinum</v>
      </c>
      <c r="S125" s="4" t="str">
        <v>CUST1121</v>
      </c>
      <c r="T125" s="4" t="str">
        <v>JOEL ROBINSON</v>
      </c>
      <c r="U125" s="4" t="str">
        <v>62</v>
      </c>
      <c r="V125" s="4" t="str">
        <v>MALE</v>
      </c>
      <c r="W125" s="4" t="str">
        <v>LAKE DANIELPORT</v>
      </c>
      <c r="X125" s="4" t="str">
        <v>HAWAII</v>
      </c>
      <c r="Y125" s="4" t="str">
        <v>USA</v>
      </c>
      <c r="Z125" s="4" t="str">
        <v>PLATINUM</v>
      </c>
    </row>
    <row r="126" spans="1:26" x14ac:dyDescent="0.25">
      <c r="A126" t="s">
        <v>427</v>
      </c>
      <c r="B126" t="s">
        <v>428</v>
      </c>
      <c r="C126">
        <v>50</v>
      </c>
      <c r="D126" t="s">
        <v>10</v>
      </c>
      <c r="E126" t="s">
        <v>429</v>
      </c>
      <c r="F126" t="s">
        <v>12</v>
      </c>
      <c r="G126" t="s">
        <v>13</v>
      </c>
      <c r="H126" t="s">
        <v>19</v>
      </c>
      <c r="J126" s="4" t="str">
        <v>CUST1122</v>
      </c>
      <c r="K126" s="4" t="str">
        <v>Michael Chang</v>
      </c>
      <c r="L126" s="4" t="str">
        <v>50</v>
      </c>
      <c r="M126" s="4" t="str">
        <v>Male</v>
      </c>
      <c r="N126" s="4" t="str">
        <v>Kathrynport</v>
      </c>
      <c r="O126" s="4" t="str">
        <v>North Carolina</v>
      </c>
      <c r="P126" s="4" t="str">
        <v>USA</v>
      </c>
      <c r="Q126" s="4" t="str">
        <v>Platinum</v>
      </c>
      <c r="S126" s="4" t="str">
        <v>CUST1122</v>
      </c>
      <c r="T126" s="4" t="str">
        <v>MICHAEL CHANG</v>
      </c>
      <c r="U126" s="4" t="str">
        <v>50</v>
      </c>
      <c r="V126" s="4" t="str">
        <v>MALE</v>
      </c>
      <c r="W126" s="4" t="str">
        <v>KATHRYNPORT</v>
      </c>
      <c r="X126" s="4" t="str">
        <v>NORTH CAROLINA</v>
      </c>
      <c r="Y126" s="4" t="str">
        <v>USA</v>
      </c>
      <c r="Z126" s="4" t="str">
        <v>PLATINUM</v>
      </c>
    </row>
    <row r="127" spans="1:26" x14ac:dyDescent="0.25">
      <c r="A127" t="s">
        <v>430</v>
      </c>
      <c r="B127" t="s">
        <v>431</v>
      </c>
      <c r="C127">
        <v>40</v>
      </c>
      <c r="D127" t="s">
        <v>10</v>
      </c>
      <c r="E127" t="s">
        <v>432</v>
      </c>
      <c r="F127" t="s">
        <v>271</v>
      </c>
      <c r="G127" t="s">
        <v>13</v>
      </c>
      <c r="H127" t="s">
        <v>33</v>
      </c>
      <c r="J127" s="4" t="str">
        <v>CUST1123</v>
      </c>
      <c r="K127" s="4" t="str">
        <v>Erin Hopkins</v>
      </c>
      <c r="L127" s="4" t="str">
        <v>40</v>
      </c>
      <c r="M127" s="4" t="str">
        <v>Male</v>
      </c>
      <c r="N127" s="4" t="str">
        <v>North Sabrina</v>
      </c>
      <c r="O127" s="4" t="str">
        <v>Iowa</v>
      </c>
      <c r="P127" s="4" t="str">
        <v>USA</v>
      </c>
      <c r="Q127" s="4" t="str">
        <v>Silver</v>
      </c>
      <c r="S127" s="4" t="str">
        <v>CUST1123</v>
      </c>
      <c r="T127" s="4" t="str">
        <v>ERIN HOPKINS</v>
      </c>
      <c r="U127" s="4" t="str">
        <v>40</v>
      </c>
      <c r="V127" s="4" t="str">
        <v>MALE</v>
      </c>
      <c r="W127" s="4" t="str">
        <v>NORTH SABRINA</v>
      </c>
      <c r="X127" s="4" t="str">
        <v>IOWA</v>
      </c>
      <c r="Y127" s="4" t="str">
        <v>USA</v>
      </c>
      <c r="Z127" s="4" t="str">
        <v>SILVER</v>
      </c>
    </row>
    <row r="128" spans="1:26" x14ac:dyDescent="0.25">
      <c r="A128" t="s">
        <v>433</v>
      </c>
      <c r="B128" t="s">
        <v>434</v>
      </c>
      <c r="C128">
        <v>26</v>
      </c>
      <c r="D128" t="s">
        <v>10</v>
      </c>
      <c r="E128" t="s">
        <v>435</v>
      </c>
      <c r="F128" t="s">
        <v>198</v>
      </c>
      <c r="G128" t="s">
        <v>13</v>
      </c>
      <c r="H128" t="s">
        <v>28</v>
      </c>
      <c r="J128" s="4" t="str">
        <v>CUST1124</v>
      </c>
      <c r="K128" s="4" t="str">
        <v>Donald Lee</v>
      </c>
      <c r="L128" s="4" t="str">
        <v>26</v>
      </c>
      <c r="M128" s="4" t="str">
        <v>Male</v>
      </c>
      <c r="N128" s="4" t="str">
        <v>Wongberg</v>
      </c>
      <c r="O128" s="4" t="str">
        <v>Illinois</v>
      </c>
      <c r="P128" s="4" t="str">
        <v>USA</v>
      </c>
      <c r="Q128" s="4" t="str">
        <v>Bronze</v>
      </c>
      <c r="S128" s="4" t="str">
        <v>CUST1124</v>
      </c>
      <c r="T128" s="4" t="str">
        <v>DONALD LEE</v>
      </c>
      <c r="U128" s="4" t="str">
        <v>26</v>
      </c>
      <c r="V128" s="4" t="str">
        <v>MALE</v>
      </c>
      <c r="W128" s="4" t="str">
        <v>WONGBERG</v>
      </c>
      <c r="X128" s="4" t="str">
        <v>ILLINOIS</v>
      </c>
      <c r="Y128" s="4" t="str">
        <v>USA</v>
      </c>
      <c r="Z128" s="4" t="str">
        <v>BRONZE</v>
      </c>
    </row>
    <row r="129" spans="1:26" x14ac:dyDescent="0.25">
      <c r="A129" t="s">
        <v>436</v>
      </c>
      <c r="B129" t="s">
        <v>437</v>
      </c>
      <c r="C129">
        <v>64</v>
      </c>
      <c r="D129" t="s">
        <v>16</v>
      </c>
      <c r="E129" t="s">
        <v>438</v>
      </c>
      <c r="F129" t="s">
        <v>439</v>
      </c>
      <c r="G129" t="s">
        <v>13</v>
      </c>
      <c r="H129" t="s">
        <v>19</v>
      </c>
      <c r="J129" s="4" t="str">
        <v>CUST1125</v>
      </c>
      <c r="K129" s="4" t="str">
        <v>Keith Miller</v>
      </c>
      <c r="L129" s="4" t="str">
        <v>64</v>
      </c>
      <c r="M129" s="4" t="str">
        <v>Female</v>
      </c>
      <c r="N129" s="4" t="str">
        <v>West Jameston</v>
      </c>
      <c r="O129" s="4" t="str">
        <v>Maine</v>
      </c>
      <c r="P129" s="4" t="str">
        <v>USA</v>
      </c>
      <c r="Q129" s="4" t="str">
        <v>Platinum</v>
      </c>
      <c r="S129" s="4" t="str">
        <v>CUST1125</v>
      </c>
      <c r="T129" s="4" t="str">
        <v>KEITH MILLER</v>
      </c>
      <c r="U129" s="4" t="str">
        <v>64</v>
      </c>
      <c r="V129" s="4" t="str">
        <v>FEMALE</v>
      </c>
      <c r="W129" s="4" t="str">
        <v>WEST JAMESTON</v>
      </c>
      <c r="X129" s="4" t="str">
        <v>MAINE</v>
      </c>
      <c r="Y129" s="4" t="str">
        <v>USA</v>
      </c>
      <c r="Z129" s="4" t="str">
        <v>PLATINUM</v>
      </c>
    </row>
    <row r="130" spans="1:26" x14ac:dyDescent="0.25">
      <c r="A130" t="s">
        <v>440</v>
      </c>
      <c r="B130" t="s">
        <v>441</v>
      </c>
      <c r="C130">
        <v>62</v>
      </c>
      <c r="D130" t="s">
        <v>16</v>
      </c>
      <c r="E130" t="s">
        <v>442</v>
      </c>
      <c r="F130" t="s">
        <v>137</v>
      </c>
      <c r="G130" t="s">
        <v>13</v>
      </c>
      <c r="H130" t="s">
        <v>50</v>
      </c>
      <c r="J130" s="4" t="str">
        <v>CUST1126</v>
      </c>
      <c r="K130" s="4" t="str">
        <v>James Wolfe</v>
      </c>
      <c r="L130" s="4" t="str">
        <v>62</v>
      </c>
      <c r="M130" s="4" t="str">
        <v>Female</v>
      </c>
      <c r="N130" s="4" t="str">
        <v>Benjaminton</v>
      </c>
      <c r="O130" s="4" t="str">
        <v>Arizona</v>
      </c>
      <c r="P130" s="4" t="str">
        <v>USA</v>
      </c>
      <c r="Q130" s="4" t="str">
        <v>Gold</v>
      </c>
      <c r="S130" s="4" t="str">
        <v>CUST1126</v>
      </c>
      <c r="T130" s="4" t="str">
        <v>JAMES WOLFE</v>
      </c>
      <c r="U130" s="4" t="str">
        <v>62</v>
      </c>
      <c r="V130" s="4" t="str">
        <v>FEMALE</v>
      </c>
      <c r="W130" s="4" t="str">
        <v>BENJAMINTON</v>
      </c>
      <c r="X130" s="4" t="str">
        <v>ARIZONA</v>
      </c>
      <c r="Y130" s="4" t="str">
        <v>USA</v>
      </c>
      <c r="Z130" s="4" t="str">
        <v>GOLD</v>
      </c>
    </row>
    <row r="131" spans="1:26" x14ac:dyDescent="0.25">
      <c r="A131" t="s">
        <v>443</v>
      </c>
      <c r="B131" t="s">
        <v>444</v>
      </c>
      <c r="C131">
        <v>39</v>
      </c>
      <c r="D131" t="s">
        <v>10</v>
      </c>
      <c r="E131" t="s">
        <v>445</v>
      </c>
      <c r="F131" t="s">
        <v>175</v>
      </c>
      <c r="G131" t="s">
        <v>13</v>
      </c>
      <c r="H131" t="s">
        <v>19</v>
      </c>
      <c r="J131" s="4" t="str">
        <v>CUST1127</v>
      </c>
      <c r="K131" s="4" t="str">
        <v>John Mcknight</v>
      </c>
      <c r="L131" s="4" t="str">
        <v>39</v>
      </c>
      <c r="M131" s="4" t="str">
        <v>Male</v>
      </c>
      <c r="N131" s="4" t="str">
        <v>South Nathan</v>
      </c>
      <c r="O131" s="4" t="str">
        <v>Vermont</v>
      </c>
      <c r="P131" s="4" t="str">
        <v>USA</v>
      </c>
      <c r="Q131" s="4" t="str">
        <v>Platinum</v>
      </c>
      <c r="S131" s="4" t="str">
        <v>CUST1127</v>
      </c>
      <c r="T131" s="4" t="str">
        <v>JOHN MCKNIGHT</v>
      </c>
      <c r="U131" s="4" t="str">
        <v>39</v>
      </c>
      <c r="V131" s="4" t="str">
        <v>MALE</v>
      </c>
      <c r="W131" s="4" t="str">
        <v>SOUTH NATHAN</v>
      </c>
      <c r="X131" s="4" t="str">
        <v>VERMONT</v>
      </c>
      <c r="Y131" s="4" t="str">
        <v>USA</v>
      </c>
      <c r="Z131" s="4" t="str">
        <v>PLATINUM</v>
      </c>
    </row>
    <row r="132" spans="1:26" x14ac:dyDescent="0.25">
      <c r="A132" t="s">
        <v>446</v>
      </c>
      <c r="B132" t="s">
        <v>447</v>
      </c>
      <c r="C132">
        <v>45</v>
      </c>
      <c r="D132" t="s">
        <v>10</v>
      </c>
      <c r="E132" t="s">
        <v>448</v>
      </c>
      <c r="F132" t="s">
        <v>295</v>
      </c>
      <c r="G132" t="s">
        <v>13</v>
      </c>
      <c r="H132" t="s">
        <v>33</v>
      </c>
      <c r="J132" s="4" t="str">
        <v>CUST1128</v>
      </c>
      <c r="K132" s="4" t="str">
        <v>Susan Mcdonald</v>
      </c>
      <c r="L132" s="4" t="str">
        <v>45</v>
      </c>
      <c r="M132" s="4" t="str">
        <v>Male</v>
      </c>
      <c r="N132" s="4" t="str">
        <v>East Ellen</v>
      </c>
      <c r="O132" s="4" t="str">
        <v>Arkansas</v>
      </c>
      <c r="P132" s="4" t="str">
        <v>USA</v>
      </c>
      <c r="Q132" s="4" t="str">
        <v>Silver</v>
      </c>
      <c r="S132" s="4" t="str">
        <v>CUST1128</v>
      </c>
      <c r="T132" s="4" t="str">
        <v>SUSAN MCDONALD</v>
      </c>
      <c r="U132" s="4" t="str">
        <v>45</v>
      </c>
      <c r="V132" s="4" t="str">
        <v>MALE</v>
      </c>
      <c r="W132" s="4" t="str">
        <v>EAST ELLEN</v>
      </c>
      <c r="X132" s="4" t="str">
        <v>ARKANSAS</v>
      </c>
      <c r="Y132" s="4" t="str">
        <v>USA</v>
      </c>
      <c r="Z132" s="4" t="str">
        <v>SILVER</v>
      </c>
    </row>
    <row r="133" spans="1:26" x14ac:dyDescent="0.25">
      <c r="A133" t="s">
        <v>449</v>
      </c>
      <c r="B133" t="s">
        <v>450</v>
      </c>
      <c r="C133">
        <v>43</v>
      </c>
      <c r="D133" t="s">
        <v>16</v>
      </c>
      <c r="E133" t="s">
        <v>451</v>
      </c>
      <c r="F133" t="s">
        <v>41</v>
      </c>
      <c r="G133" t="s">
        <v>13</v>
      </c>
      <c r="H133" t="s">
        <v>33</v>
      </c>
      <c r="J133" s="4" t="str">
        <v>CUST1129</v>
      </c>
      <c r="K133" s="4" t="str">
        <v>Jessica Mitchell</v>
      </c>
      <c r="L133" s="4" t="str">
        <v>43</v>
      </c>
      <c r="M133" s="4" t="str">
        <v>Female</v>
      </c>
      <c r="N133" s="4" t="str">
        <v>Matthewbury</v>
      </c>
      <c r="O133" s="4" t="str">
        <v>South Dakota</v>
      </c>
      <c r="P133" s="4" t="str">
        <v>USA</v>
      </c>
      <c r="Q133" s="4" t="str">
        <v>Silver</v>
      </c>
      <c r="S133" s="4" t="str">
        <v>CUST1129</v>
      </c>
      <c r="T133" s="4" t="str">
        <v>JESSICA MITCHELL</v>
      </c>
      <c r="U133" s="4" t="str">
        <v>43</v>
      </c>
      <c r="V133" s="4" t="str">
        <v>FEMALE</v>
      </c>
      <c r="W133" s="4" t="str">
        <v>MATTHEWBURY</v>
      </c>
      <c r="X133" s="4" t="str">
        <v>SOUTH DAKOTA</v>
      </c>
      <c r="Y133" s="4" t="str">
        <v>USA</v>
      </c>
      <c r="Z133" s="4" t="str">
        <v>SILVER</v>
      </c>
    </row>
    <row r="134" spans="1:26" x14ac:dyDescent="0.25">
      <c r="A134" t="s">
        <v>452</v>
      </c>
      <c r="B134" t="s">
        <v>453</v>
      </c>
      <c r="C134">
        <v>29</v>
      </c>
      <c r="D134" t="s">
        <v>10</v>
      </c>
      <c r="E134" t="s">
        <v>454</v>
      </c>
      <c r="F134" t="s">
        <v>171</v>
      </c>
      <c r="G134" t="s">
        <v>455</v>
      </c>
      <c r="H134" t="s">
        <v>19</v>
      </c>
      <c r="J134" s="4" t="str">
        <v>CUST1130</v>
      </c>
      <c r="K134" s="4" t="str">
        <v>Jamie Reyes</v>
      </c>
      <c r="L134" s="4" t="str">
        <v>29</v>
      </c>
      <c r="M134" s="4" t="str">
        <v>Male</v>
      </c>
      <c r="N134" s="4" t="str">
        <v>jonesbury</v>
      </c>
      <c r="O134" s="4" t="str">
        <v>Connecticut</v>
      </c>
      <c r="P134" s="4" t="str">
        <v>United States of America</v>
      </c>
      <c r="Q134" s="4" t="str">
        <v>Platinum</v>
      </c>
      <c r="S134" s="4" t="str">
        <v>CUST1130</v>
      </c>
      <c r="T134" s="4" t="str">
        <v>JAMIE REYES</v>
      </c>
      <c r="U134" s="4" t="str">
        <v>29</v>
      </c>
      <c r="V134" s="4" t="str">
        <v>MALE</v>
      </c>
      <c r="W134" s="4" t="str">
        <v>JONESBURY</v>
      </c>
      <c r="X134" s="4" t="str">
        <v>CONNECTICUT</v>
      </c>
      <c r="Y134" s="4" t="str">
        <v>UNITED STATES OF AMERICA</v>
      </c>
      <c r="Z134" s="4" t="str">
        <v>PLATINUM</v>
      </c>
    </row>
    <row r="135" spans="1:26" x14ac:dyDescent="0.25">
      <c r="A135" t="s">
        <v>456</v>
      </c>
      <c r="B135" t="s">
        <v>457</v>
      </c>
      <c r="C135">
        <v>34</v>
      </c>
      <c r="D135" t="s">
        <v>16</v>
      </c>
      <c r="E135" t="s">
        <v>458</v>
      </c>
      <c r="F135" t="s">
        <v>23</v>
      </c>
      <c r="G135" t="s">
        <v>13</v>
      </c>
      <c r="H135" t="s">
        <v>28</v>
      </c>
      <c r="J135" s="4" t="str">
        <v>CUST1131</v>
      </c>
      <c r="K135" s="4" t="str">
        <v>Joseph Richards</v>
      </c>
      <c r="L135" s="4" t="str">
        <v>34</v>
      </c>
      <c r="M135" s="4" t="str">
        <v>Female</v>
      </c>
      <c r="N135" s="4" t="str">
        <v>Wigginsville</v>
      </c>
      <c r="O135" s="4" t="str">
        <v>Alabama</v>
      </c>
      <c r="P135" s="4" t="str">
        <v>USA</v>
      </c>
      <c r="Q135" s="4" t="str">
        <v>Bronze</v>
      </c>
      <c r="S135" s="4" t="str">
        <v>CUST1131</v>
      </c>
      <c r="T135" s="4" t="str">
        <v>JOSEPH RICHARDS</v>
      </c>
      <c r="U135" s="4" t="str">
        <v>34</v>
      </c>
      <c r="V135" s="4" t="str">
        <v>FEMALE</v>
      </c>
      <c r="W135" s="4" t="str">
        <v>WIGGINSVILLE</v>
      </c>
      <c r="X135" s="4" t="str">
        <v>ALABAMA</v>
      </c>
      <c r="Y135" s="4" t="str">
        <v>USA</v>
      </c>
      <c r="Z135" s="4" t="str">
        <v>BRONZE</v>
      </c>
    </row>
    <row r="136" spans="1:26" x14ac:dyDescent="0.25">
      <c r="A136" t="s">
        <v>459</v>
      </c>
      <c r="B136" t="s">
        <v>460</v>
      </c>
      <c r="C136">
        <v>57</v>
      </c>
      <c r="D136" t="s">
        <v>16</v>
      </c>
      <c r="E136" t="s">
        <v>461</v>
      </c>
      <c r="F136" t="s">
        <v>27</v>
      </c>
      <c r="G136" t="s">
        <v>13</v>
      </c>
      <c r="H136" t="s">
        <v>50</v>
      </c>
      <c r="J136" s="4" t="str">
        <v>CUST1132</v>
      </c>
      <c r="K136" s="4" t="str">
        <v>Miguel Reynolds</v>
      </c>
      <c r="L136" s="4" t="str">
        <v>57</v>
      </c>
      <c r="M136" s="4" t="str">
        <v>Female</v>
      </c>
      <c r="N136" s="4" t="str">
        <v>Taylorberg</v>
      </c>
      <c r="O136" s="4" t="str">
        <v>Ohio</v>
      </c>
      <c r="P136" s="4" t="str">
        <v>USA</v>
      </c>
      <c r="Q136" s="4" t="str">
        <v>Gold</v>
      </c>
      <c r="S136" s="4" t="str">
        <v>CUST1132</v>
      </c>
      <c r="T136" s="4" t="str">
        <v>MIGUEL REYNOLDS</v>
      </c>
      <c r="U136" s="4" t="str">
        <v>57</v>
      </c>
      <c r="V136" s="4" t="str">
        <v>FEMALE</v>
      </c>
      <c r="W136" s="4" t="str">
        <v>TAYLORBERG</v>
      </c>
      <c r="X136" s="4" t="str">
        <v>OHIO</v>
      </c>
      <c r="Y136" s="4" t="str">
        <v>USA</v>
      </c>
      <c r="Z136" s="4" t="str">
        <v>GOLD</v>
      </c>
    </row>
    <row r="137" spans="1:26" x14ac:dyDescent="0.25">
      <c r="A137" t="s">
        <v>462</v>
      </c>
      <c r="B137" t="s">
        <v>463</v>
      </c>
      <c r="C137">
        <v>62</v>
      </c>
      <c r="D137" t="s">
        <v>16</v>
      </c>
      <c r="E137" t="s">
        <v>464</v>
      </c>
      <c r="F137" t="s">
        <v>254</v>
      </c>
      <c r="G137" t="s">
        <v>13</v>
      </c>
      <c r="H137" t="s">
        <v>28</v>
      </c>
      <c r="J137" s="4" t="str">
        <v>CUST1133</v>
      </c>
      <c r="K137" s="4" t="str">
        <v>Hayley Pope</v>
      </c>
      <c r="L137" s="4" t="str">
        <v>62</v>
      </c>
      <c r="M137" s="4" t="str">
        <v>Female</v>
      </c>
      <c r="N137" s="4" t="str">
        <v>West Stephenville</v>
      </c>
      <c r="O137" s="4" t="str">
        <v>Florida</v>
      </c>
      <c r="P137" s="4" t="str">
        <v>USA</v>
      </c>
      <c r="Q137" s="4" t="str">
        <v>Bronze</v>
      </c>
      <c r="S137" s="4" t="str">
        <v>CUST1133</v>
      </c>
      <c r="T137" s="4" t="str">
        <v>HAYLEY POPE</v>
      </c>
      <c r="U137" s="4" t="str">
        <v>62</v>
      </c>
      <c r="V137" s="4" t="str">
        <v>FEMALE</v>
      </c>
      <c r="W137" s="4" t="str">
        <v>WEST STEPHENVILLE</v>
      </c>
      <c r="X137" s="4" t="str">
        <v>FLORIDA</v>
      </c>
      <c r="Y137" s="4" t="str">
        <v>USA</v>
      </c>
      <c r="Z137" s="4" t="str">
        <v>BRONZE</v>
      </c>
    </row>
    <row r="138" spans="1:26" x14ac:dyDescent="0.25">
      <c r="A138" t="s">
        <v>465</v>
      </c>
      <c r="B138" t="s">
        <v>466</v>
      </c>
      <c r="C138">
        <v>54</v>
      </c>
      <c r="D138" t="s">
        <v>10</v>
      </c>
      <c r="E138" t="s">
        <v>467</v>
      </c>
      <c r="F138" t="s">
        <v>77</v>
      </c>
      <c r="G138" t="s">
        <v>13</v>
      </c>
      <c r="H138" t="s">
        <v>50</v>
      </c>
      <c r="J138" s="4" t="str">
        <v>CUST1134</v>
      </c>
      <c r="K138" s="4" t="str">
        <v>Morgan Bowen</v>
      </c>
      <c r="L138" s="4" t="str">
        <v>54</v>
      </c>
      <c r="M138" s="4" t="str">
        <v>Male</v>
      </c>
      <c r="N138" s="4" t="str">
        <v>Parksfort</v>
      </c>
      <c r="O138" s="4" t="str">
        <v>Washington</v>
      </c>
      <c r="P138" s="4" t="str">
        <v>USA</v>
      </c>
      <c r="Q138" s="4" t="str">
        <v>Gold</v>
      </c>
      <c r="S138" s="4" t="str">
        <v>CUST1134</v>
      </c>
      <c r="T138" s="4" t="str">
        <v>MORGAN BOWEN</v>
      </c>
      <c r="U138" s="4" t="str">
        <v>54</v>
      </c>
      <c r="V138" s="4" t="str">
        <v>MALE</v>
      </c>
      <c r="W138" s="4" t="str">
        <v>PARKSFORT</v>
      </c>
      <c r="X138" s="4" t="str">
        <v>WASHINGTON</v>
      </c>
      <c r="Y138" s="4" t="str">
        <v>USA</v>
      </c>
      <c r="Z138" s="4" t="str">
        <v>GOLD</v>
      </c>
    </row>
    <row r="139" spans="1:26" x14ac:dyDescent="0.25">
      <c r="A139" t="s">
        <v>468</v>
      </c>
      <c r="B139" t="s">
        <v>469</v>
      </c>
      <c r="C139">
        <v>33</v>
      </c>
      <c r="D139" t="s">
        <v>16</v>
      </c>
      <c r="E139" t="s">
        <v>470</v>
      </c>
      <c r="F139" t="s">
        <v>160</v>
      </c>
      <c r="G139" t="s">
        <v>13</v>
      </c>
      <c r="H139" t="s">
        <v>19</v>
      </c>
      <c r="J139" s="4" t="str">
        <v>CUST1135</v>
      </c>
      <c r="K139" s="4" t="str">
        <v>Matthew Hanna</v>
      </c>
      <c r="L139" s="4" t="str">
        <v>33</v>
      </c>
      <c r="M139" s="4" t="str">
        <v>Female</v>
      </c>
      <c r="N139" s="4" t="str">
        <v>Gonzalezbury</v>
      </c>
      <c r="O139" s="4" t="str">
        <v>Michigan</v>
      </c>
      <c r="P139" s="4" t="str">
        <v>USA</v>
      </c>
      <c r="Q139" s="4" t="str">
        <v>Platinum</v>
      </c>
      <c r="S139" s="4" t="str">
        <v>CUST1135</v>
      </c>
      <c r="T139" s="4" t="str">
        <v>MATTHEW HANNA</v>
      </c>
      <c r="U139" s="4" t="str">
        <v>33</v>
      </c>
      <c r="V139" s="4" t="str">
        <v>FEMALE</v>
      </c>
      <c r="W139" s="4" t="str">
        <v>GONZALEZBURY</v>
      </c>
      <c r="X139" s="4" t="str">
        <v>MICHIGAN</v>
      </c>
      <c r="Y139" s="4" t="str">
        <v>USA</v>
      </c>
      <c r="Z139" s="4" t="str">
        <v>PLATINUM</v>
      </c>
    </row>
    <row r="140" spans="1:26" x14ac:dyDescent="0.25">
      <c r="A140" t="s">
        <v>471</v>
      </c>
      <c r="B140" t="s">
        <v>472</v>
      </c>
      <c r="C140">
        <v>29</v>
      </c>
      <c r="D140" t="s">
        <v>10</v>
      </c>
      <c r="E140" t="s">
        <v>473</v>
      </c>
      <c r="F140" t="s">
        <v>73</v>
      </c>
      <c r="G140" t="s">
        <v>13</v>
      </c>
      <c r="H140" t="s">
        <v>33</v>
      </c>
      <c r="J140" s="4" t="str">
        <v>CUST1136</v>
      </c>
      <c r="K140" s="4" t="str">
        <v>Patrick Coleman</v>
      </c>
      <c r="L140" s="4" t="str">
        <v>29</v>
      </c>
      <c r="M140" s="4" t="str">
        <v>Male</v>
      </c>
      <c r="N140" s="4" t="str">
        <v>New Jeffrey</v>
      </c>
      <c r="O140" s="4" t="str">
        <v>Nebraska</v>
      </c>
      <c r="P140" s="4" t="str">
        <v>USA</v>
      </c>
      <c r="Q140" s="4" t="str">
        <v>Silver</v>
      </c>
      <c r="S140" s="4" t="str">
        <v>CUST1136</v>
      </c>
      <c r="T140" s="4" t="str">
        <v>PATRICK COLEMAN</v>
      </c>
      <c r="U140" s="4" t="str">
        <v>29</v>
      </c>
      <c r="V140" s="4" t="str">
        <v>MALE</v>
      </c>
      <c r="W140" s="4" t="str">
        <v>NEW JEFFREY</v>
      </c>
      <c r="X140" s="4" t="str">
        <v>NEBRASKA</v>
      </c>
      <c r="Y140" s="4" t="str">
        <v>USA</v>
      </c>
      <c r="Z140" s="4" t="str">
        <v>SILVER</v>
      </c>
    </row>
    <row r="141" spans="1:26" x14ac:dyDescent="0.25">
      <c r="A141" t="s">
        <v>474</v>
      </c>
      <c r="B141" t="s">
        <v>475</v>
      </c>
      <c r="C141">
        <v>55</v>
      </c>
      <c r="D141" t="s">
        <v>16</v>
      </c>
      <c r="E141" t="s">
        <v>476</v>
      </c>
      <c r="F141" t="s">
        <v>27</v>
      </c>
      <c r="G141" t="s">
        <v>13</v>
      </c>
      <c r="H141" t="s">
        <v>19</v>
      </c>
      <c r="J141" s="4" t="str">
        <v>CUST1137</v>
      </c>
      <c r="K141" s="4" t="str">
        <v>Rick Dominguez</v>
      </c>
      <c r="L141" s="4" t="str">
        <v>55</v>
      </c>
      <c r="M141" s="4" t="str">
        <v>Female</v>
      </c>
      <c r="N141" s="4" t="str">
        <v>North Johnbury</v>
      </c>
      <c r="O141" s="4" t="str">
        <v>Ohio</v>
      </c>
      <c r="P141" s="4" t="str">
        <v>USA</v>
      </c>
      <c r="Q141" s="4" t="str">
        <v>Platinum</v>
      </c>
      <c r="S141" s="4" t="str">
        <v>CUST1137</v>
      </c>
      <c r="T141" s="4" t="str">
        <v>RICK DOMINGUEZ</v>
      </c>
      <c r="U141" s="4" t="str">
        <v>55</v>
      </c>
      <c r="V141" s="4" t="str">
        <v>FEMALE</v>
      </c>
      <c r="W141" s="4" t="str">
        <v>NORTH JOHNBURY</v>
      </c>
      <c r="X141" s="4" t="str">
        <v>OHIO</v>
      </c>
      <c r="Y141" s="4" t="str">
        <v>USA</v>
      </c>
      <c r="Z141" s="4" t="str">
        <v>PLATINUM</v>
      </c>
    </row>
    <row r="142" spans="1:26" x14ac:dyDescent="0.25">
      <c r="A142" t="s">
        <v>477</v>
      </c>
      <c r="B142" t="s">
        <v>478</v>
      </c>
      <c r="C142">
        <v>43</v>
      </c>
      <c r="D142" t="s">
        <v>10</v>
      </c>
      <c r="E142" t="s">
        <v>399</v>
      </c>
      <c r="F142" t="s">
        <v>291</v>
      </c>
      <c r="G142" t="s">
        <v>13</v>
      </c>
      <c r="H142" t="s">
        <v>50</v>
      </c>
      <c r="J142" s="4" t="str">
        <v>CUST1138</v>
      </c>
      <c r="K142" s="4" t="str">
        <v>Sean Roth</v>
      </c>
      <c r="L142" s="4" t="str">
        <v>43</v>
      </c>
      <c r="M142" s="4" t="str">
        <v>Male</v>
      </c>
      <c r="N142" s="4" t="str">
        <v>Lake Michael</v>
      </c>
      <c r="O142" s="4" t="str">
        <v>Virginia</v>
      </c>
      <c r="P142" s="4" t="str">
        <v>USA</v>
      </c>
      <c r="Q142" s="4" t="str">
        <v>Gold</v>
      </c>
      <c r="S142" s="4" t="str">
        <v>CUST1138</v>
      </c>
      <c r="T142" s="4" t="str">
        <v>SEAN ROTH</v>
      </c>
      <c r="U142" s="4" t="str">
        <v>43</v>
      </c>
      <c r="V142" s="4" t="str">
        <v>MALE</v>
      </c>
      <c r="W142" s="4" t="str">
        <v>LAKE MICHAEL</v>
      </c>
      <c r="X142" s="4" t="str">
        <v>VIRGINIA</v>
      </c>
      <c r="Y142" s="4" t="str">
        <v>USA</v>
      </c>
      <c r="Z142" s="4" t="str">
        <v>GOLD</v>
      </c>
    </row>
    <row r="143" spans="1:26" x14ac:dyDescent="0.25">
      <c r="A143" t="s">
        <v>479</v>
      </c>
      <c r="B143" t="s">
        <v>480</v>
      </c>
      <c r="C143">
        <v>32</v>
      </c>
      <c r="D143" t="s">
        <v>10</v>
      </c>
      <c r="E143" t="s">
        <v>481</v>
      </c>
      <c r="F143" t="s">
        <v>121</v>
      </c>
      <c r="G143" t="s">
        <v>13</v>
      </c>
      <c r="H143" t="s">
        <v>28</v>
      </c>
      <c r="J143" s="4" t="str">
        <v>CUST1139</v>
      </c>
      <c r="K143" s="4" t="str">
        <v>Brian Holder</v>
      </c>
      <c r="L143" s="4" t="str">
        <v>32</v>
      </c>
      <c r="M143" s="4" t="str">
        <v>Male</v>
      </c>
      <c r="N143" s="4" t="str">
        <v>Port Travis</v>
      </c>
      <c r="O143" s="4" t="str">
        <v>Utah</v>
      </c>
      <c r="P143" s="4" t="str">
        <v>USA</v>
      </c>
      <c r="Q143" s="4" t="str">
        <v>Bronze</v>
      </c>
      <c r="S143" s="4" t="str">
        <v>CUST1139</v>
      </c>
      <c r="T143" s="4" t="str">
        <v>BRIAN HOLDER</v>
      </c>
      <c r="U143" s="4" t="str">
        <v>32</v>
      </c>
      <c r="V143" s="4" t="str">
        <v>MALE</v>
      </c>
      <c r="W143" s="4" t="str">
        <v>PORT TRAVIS</v>
      </c>
      <c r="X143" s="4" t="str">
        <v>UTAH</v>
      </c>
      <c r="Y143" s="4" t="str">
        <v>USA</v>
      </c>
      <c r="Z143" s="4" t="str">
        <v>BRONZE</v>
      </c>
    </row>
    <row r="144" spans="1:26" x14ac:dyDescent="0.25">
      <c r="A144" t="s">
        <v>482</v>
      </c>
      <c r="B144" t="s">
        <v>483</v>
      </c>
      <c r="C144">
        <v>63</v>
      </c>
      <c r="D144" t="s">
        <v>16</v>
      </c>
      <c r="E144" t="s">
        <v>484</v>
      </c>
      <c r="F144" t="s">
        <v>54</v>
      </c>
      <c r="G144" t="s">
        <v>13</v>
      </c>
      <c r="H144" t="s">
        <v>50</v>
      </c>
      <c r="J144" s="4" t="str">
        <v>CUST1140</v>
      </c>
      <c r="K144" s="4" t="str">
        <v>Patty Francis</v>
      </c>
      <c r="L144" s="4" t="str">
        <v>63</v>
      </c>
      <c r="M144" s="4" t="str">
        <v>Female</v>
      </c>
      <c r="N144" s="4" t="str">
        <v>South Brooke</v>
      </c>
      <c r="O144" s="4" t="str">
        <v>Pennsylvania</v>
      </c>
      <c r="P144" s="4" t="str">
        <v>USA</v>
      </c>
      <c r="Q144" s="4" t="str">
        <v>Gold</v>
      </c>
      <c r="S144" s="4" t="str">
        <v>CUST1140</v>
      </c>
      <c r="T144" s="4" t="str">
        <v>PATTY FRANCIS</v>
      </c>
      <c r="U144" s="4" t="str">
        <v>63</v>
      </c>
      <c r="V144" s="4" t="str">
        <v>FEMALE</v>
      </c>
      <c r="W144" s="4" t="str">
        <v>SOUTH BROOKE</v>
      </c>
      <c r="X144" s="4" t="str">
        <v>PENNSYLVANIA</v>
      </c>
      <c r="Y144" s="4" t="str">
        <v>USA</v>
      </c>
      <c r="Z144" s="4" t="str">
        <v>GOLD</v>
      </c>
    </row>
    <row r="145" spans="1:26" x14ac:dyDescent="0.25">
      <c r="A145" t="s">
        <v>485</v>
      </c>
      <c r="B145" t="s">
        <v>486</v>
      </c>
      <c r="C145">
        <v>30</v>
      </c>
      <c r="D145" t="s">
        <v>10</v>
      </c>
      <c r="E145" t="s">
        <v>487</v>
      </c>
      <c r="F145" t="s">
        <v>32</v>
      </c>
      <c r="G145" t="s">
        <v>455</v>
      </c>
      <c r="H145" t="s">
        <v>28</v>
      </c>
      <c r="J145" s="4" t="str">
        <v>CUST1141</v>
      </c>
      <c r="K145" s="4" t="str">
        <v>Cristian Wright</v>
      </c>
      <c r="L145" s="4" t="str">
        <v>30</v>
      </c>
      <c r="M145" s="4" t="str">
        <v>Male</v>
      </c>
      <c r="N145" s="4" t="str">
        <v>Port Denise</v>
      </c>
      <c r="O145" s="4" t="str">
        <v>California</v>
      </c>
      <c r="P145" s="4" t="str">
        <v>United States of America</v>
      </c>
      <c r="Q145" s="4" t="str">
        <v>Bronze</v>
      </c>
      <c r="S145" s="4" t="str">
        <v>CUST1141</v>
      </c>
      <c r="T145" s="4" t="str">
        <v>CRISTIAN WRIGHT</v>
      </c>
      <c r="U145" s="4" t="str">
        <v>30</v>
      </c>
      <c r="V145" s="4" t="str">
        <v>MALE</v>
      </c>
      <c r="W145" s="4" t="str">
        <v>PORT DENISE</v>
      </c>
      <c r="X145" s="4" t="str">
        <v>CALIFORNIA</v>
      </c>
      <c r="Y145" s="4" t="str">
        <v>UNITED STATES OF AMERICA</v>
      </c>
      <c r="Z145" s="4" t="str">
        <v>BRONZE</v>
      </c>
    </row>
    <row r="146" spans="1:26" x14ac:dyDescent="0.25">
      <c r="A146" t="s">
        <v>488</v>
      </c>
      <c r="B146" t="s">
        <v>489</v>
      </c>
      <c r="C146">
        <v>37</v>
      </c>
      <c r="D146" t="s">
        <v>10</v>
      </c>
      <c r="E146" t="s">
        <v>490</v>
      </c>
      <c r="F146" t="s">
        <v>69</v>
      </c>
      <c r="G146" t="s">
        <v>13</v>
      </c>
      <c r="H146" t="s">
        <v>28</v>
      </c>
      <c r="J146" s="4" t="str">
        <v>CUST1142</v>
      </c>
      <c r="K146" s="4" t="str">
        <v>Maria Ramirez</v>
      </c>
      <c r="L146" s="4" t="str">
        <v>37</v>
      </c>
      <c r="M146" s="4" t="str">
        <v>Male</v>
      </c>
      <c r="N146" s="4" t="str">
        <v>West Brandon</v>
      </c>
      <c r="O146" s="4" t="str">
        <v>Montana</v>
      </c>
      <c r="P146" s="4" t="str">
        <v>USA</v>
      </c>
      <c r="Q146" s="4" t="str">
        <v>Bronze</v>
      </c>
      <c r="S146" s="4" t="str">
        <v>CUST1142</v>
      </c>
      <c r="T146" s="4" t="str">
        <v>MARIA RAMIREZ</v>
      </c>
      <c r="U146" s="4" t="str">
        <v>37</v>
      </c>
      <c r="V146" s="4" t="str">
        <v>MALE</v>
      </c>
      <c r="W146" s="4" t="str">
        <v>WEST BRANDON</v>
      </c>
      <c r="X146" s="4" t="str">
        <v>MONTANA</v>
      </c>
      <c r="Y146" s="4" t="str">
        <v>USA</v>
      </c>
      <c r="Z146" s="4" t="str">
        <v>BRONZE</v>
      </c>
    </row>
    <row r="147" spans="1:26" x14ac:dyDescent="0.25">
      <c r="A147" t="s">
        <v>491</v>
      </c>
      <c r="B147" t="s">
        <v>492</v>
      </c>
      <c r="C147">
        <v>46</v>
      </c>
      <c r="D147" t="s">
        <v>10</v>
      </c>
      <c r="E147" t="s">
        <v>493</v>
      </c>
      <c r="F147" t="s">
        <v>23</v>
      </c>
      <c r="G147" t="s">
        <v>13</v>
      </c>
      <c r="H147" t="s">
        <v>28</v>
      </c>
      <c r="J147" s="4" t="str">
        <v>CUST1143</v>
      </c>
      <c r="K147" s="4" t="str">
        <v>Carlos Skinner</v>
      </c>
      <c r="L147" s="4" t="str">
        <v>46</v>
      </c>
      <c r="M147" s="4" t="str">
        <v>Male</v>
      </c>
      <c r="N147" s="4" t="str">
        <v>Dwaynemouth</v>
      </c>
      <c r="O147" s="4" t="str">
        <v>Alabama</v>
      </c>
      <c r="P147" s="4" t="str">
        <v>USA</v>
      </c>
      <c r="Q147" s="4" t="str">
        <v>Bronze</v>
      </c>
      <c r="S147" s="4" t="str">
        <v>CUST1143</v>
      </c>
      <c r="T147" s="4" t="str">
        <v>CARLOS SKINNER</v>
      </c>
      <c r="U147" s="4" t="str">
        <v>46</v>
      </c>
      <c r="V147" s="4" t="str">
        <v>MALE</v>
      </c>
      <c r="W147" s="4" t="str">
        <v>DWAYNEMOUTH</v>
      </c>
      <c r="X147" s="4" t="str">
        <v>ALABAMA</v>
      </c>
      <c r="Y147" s="4" t="str">
        <v>USA</v>
      </c>
      <c r="Z147" s="4" t="str">
        <v>BRONZE</v>
      </c>
    </row>
    <row r="148" spans="1:26" x14ac:dyDescent="0.25">
      <c r="A148" t="s">
        <v>494</v>
      </c>
      <c r="B148" t="s">
        <v>495</v>
      </c>
      <c r="C148">
        <v>62</v>
      </c>
      <c r="D148" t="s">
        <v>16</v>
      </c>
      <c r="E148" t="s">
        <v>496</v>
      </c>
      <c r="F148" t="s">
        <v>188</v>
      </c>
      <c r="G148" t="s">
        <v>13</v>
      </c>
      <c r="H148" t="s">
        <v>28</v>
      </c>
      <c r="J148" s="4" t="str">
        <v>CUST1144</v>
      </c>
      <c r="K148" s="4" t="str">
        <v>Justin Cross</v>
      </c>
      <c r="L148" s="4" t="str">
        <v>62</v>
      </c>
      <c r="M148" s="4" t="str">
        <v>Female</v>
      </c>
      <c r="N148" s="4" t="str">
        <v>North Anthonychester</v>
      </c>
      <c r="O148" s="4" t="str">
        <v>Nevada</v>
      </c>
      <c r="P148" s="4" t="str">
        <v>USA</v>
      </c>
      <c r="Q148" s="4" t="str">
        <v>Bronze</v>
      </c>
      <c r="S148" s="4" t="str">
        <v>CUST1144</v>
      </c>
      <c r="T148" s="4" t="str">
        <v>JUSTIN CROSS</v>
      </c>
      <c r="U148" s="4" t="str">
        <v>62</v>
      </c>
      <c r="V148" s="4" t="str">
        <v>FEMALE</v>
      </c>
      <c r="W148" s="4" t="str">
        <v>NORTH ANTHONYCHESTER</v>
      </c>
      <c r="X148" s="4" t="str">
        <v>NEVADA</v>
      </c>
      <c r="Y148" s="4" t="str">
        <v>USA</v>
      </c>
      <c r="Z148" s="4" t="str">
        <v>BRONZE</v>
      </c>
    </row>
    <row r="149" spans="1:26" x14ac:dyDescent="0.25">
      <c r="A149" t="s">
        <v>497</v>
      </c>
      <c r="B149" t="s">
        <v>498</v>
      </c>
      <c r="C149">
        <v>46</v>
      </c>
      <c r="D149" t="s">
        <v>10</v>
      </c>
      <c r="E149" t="s">
        <v>499</v>
      </c>
      <c r="F149" t="s">
        <v>258</v>
      </c>
      <c r="G149" t="s">
        <v>13</v>
      </c>
      <c r="H149" t="s">
        <v>19</v>
      </c>
      <c r="J149" s="4" t="str">
        <v>CUST1145</v>
      </c>
      <c r="K149" s="4" t="str">
        <v>Cameron Simpson</v>
      </c>
      <c r="L149" s="4" t="str">
        <v>46</v>
      </c>
      <c r="M149" s="4" t="str">
        <v>Male</v>
      </c>
      <c r="N149" s="4" t="str">
        <v>Michaelfort</v>
      </c>
      <c r="O149" s="4" t="str">
        <v>Indiana</v>
      </c>
      <c r="P149" s="4" t="str">
        <v>USA</v>
      </c>
      <c r="Q149" s="4" t="str">
        <v>Platinum</v>
      </c>
      <c r="S149" s="4" t="str">
        <v>CUST1145</v>
      </c>
      <c r="T149" s="4" t="str">
        <v>CAMERON SIMPSON</v>
      </c>
      <c r="U149" s="4" t="str">
        <v>46</v>
      </c>
      <c r="V149" s="4" t="str">
        <v>MALE</v>
      </c>
      <c r="W149" s="4" t="str">
        <v>MICHAELFORT</v>
      </c>
      <c r="X149" s="4" t="str">
        <v>INDIANA</v>
      </c>
      <c r="Y149" s="4" t="str">
        <v>USA</v>
      </c>
      <c r="Z149" s="4" t="str">
        <v>PLATINUM</v>
      </c>
    </row>
    <row r="150" spans="1:26" x14ac:dyDescent="0.25">
      <c r="A150" t="s">
        <v>500</v>
      </c>
      <c r="B150" t="s">
        <v>501</v>
      </c>
      <c r="C150">
        <v>32</v>
      </c>
      <c r="D150" t="s">
        <v>16</v>
      </c>
      <c r="E150" t="s">
        <v>502</v>
      </c>
      <c r="F150" t="s">
        <v>321</v>
      </c>
      <c r="G150" t="s">
        <v>13</v>
      </c>
      <c r="H150" t="s">
        <v>50</v>
      </c>
      <c r="J150" s="4" t="str">
        <v>CUST1146</v>
      </c>
      <c r="K150" s="4" t="str">
        <v>Edward Rivera</v>
      </c>
      <c r="L150" s="4" t="str">
        <v>32</v>
      </c>
      <c r="M150" s="4" t="str">
        <v>Female</v>
      </c>
      <c r="N150" s="4" t="str">
        <v>Chungmouth</v>
      </c>
      <c r="O150" s="4" t="str">
        <v>South Carolina</v>
      </c>
      <c r="P150" s="4" t="str">
        <v>USA</v>
      </c>
      <c r="Q150" s="4" t="str">
        <v>Gold</v>
      </c>
      <c r="S150" s="4" t="str">
        <v>CUST1146</v>
      </c>
      <c r="T150" s="4" t="str">
        <v>EDWARD RIVERA</v>
      </c>
      <c r="U150" s="4" t="str">
        <v>32</v>
      </c>
      <c r="V150" s="4" t="str">
        <v>FEMALE</v>
      </c>
      <c r="W150" s="4" t="str">
        <v>CHUNGMOUTH</v>
      </c>
      <c r="X150" s="4" t="str">
        <v>SOUTH CAROLINA</v>
      </c>
      <c r="Y150" s="4" t="str">
        <v>USA</v>
      </c>
      <c r="Z150" s="4" t="str">
        <v>GOLD</v>
      </c>
    </row>
    <row r="151" spans="1:26" x14ac:dyDescent="0.25">
      <c r="A151" t="s">
        <v>503</v>
      </c>
      <c r="B151" t="s">
        <v>504</v>
      </c>
      <c r="C151">
        <v>49</v>
      </c>
      <c r="D151" t="s">
        <v>16</v>
      </c>
      <c r="E151" t="s">
        <v>505</v>
      </c>
      <c r="F151" t="s">
        <v>167</v>
      </c>
      <c r="G151" t="s">
        <v>13</v>
      </c>
      <c r="H151" t="s">
        <v>19</v>
      </c>
      <c r="J151" s="4" t="str">
        <v>CUST1147</v>
      </c>
      <c r="K151" s="4" t="str">
        <v>Rhonda Young</v>
      </c>
      <c r="L151" s="4" t="str">
        <v>49</v>
      </c>
      <c r="M151" s="4" t="str">
        <v>Female</v>
      </c>
      <c r="N151" s="4" t="str">
        <v>Lake Nathanfort</v>
      </c>
      <c r="O151" s="4" t="str">
        <v>Alaska</v>
      </c>
      <c r="P151" s="4" t="str">
        <v>USA</v>
      </c>
      <c r="Q151" s="4" t="str">
        <v>Platinum</v>
      </c>
      <c r="S151" s="4" t="str">
        <v>CUST1147</v>
      </c>
      <c r="T151" s="4" t="str">
        <v>RHONDA YOUNG</v>
      </c>
      <c r="U151" s="4" t="str">
        <v>49</v>
      </c>
      <c r="V151" s="4" t="str">
        <v>FEMALE</v>
      </c>
      <c r="W151" s="4" t="str">
        <v>LAKE NATHANFORT</v>
      </c>
      <c r="X151" s="4" t="str">
        <v>ALASKA</v>
      </c>
      <c r="Y151" s="4" t="str">
        <v>USA</v>
      </c>
      <c r="Z151" s="4" t="str">
        <v>PLATINUM</v>
      </c>
    </row>
    <row r="152" spans="1:26" x14ac:dyDescent="0.25">
      <c r="A152" t="s">
        <v>506</v>
      </c>
      <c r="B152" t="s">
        <v>507</v>
      </c>
      <c r="C152">
        <v>42</v>
      </c>
      <c r="D152" t="s">
        <v>16</v>
      </c>
      <c r="E152" t="s">
        <v>508</v>
      </c>
      <c r="F152" t="s">
        <v>328</v>
      </c>
      <c r="G152" t="s">
        <v>13</v>
      </c>
      <c r="H152" t="s">
        <v>28</v>
      </c>
      <c r="J152" s="4" t="str">
        <v>CUST1148</v>
      </c>
      <c r="K152" s="4" t="str">
        <v>Theresa Campbell</v>
      </c>
      <c r="L152" s="4" t="str">
        <v>42</v>
      </c>
      <c r="M152" s="4" t="str">
        <v>Female</v>
      </c>
      <c r="N152" s="4" t="str">
        <v>New Brian</v>
      </c>
      <c r="O152" s="4" t="str">
        <v>Wisconsin</v>
      </c>
      <c r="P152" s="4" t="str">
        <v>USA</v>
      </c>
      <c r="Q152" s="4" t="str">
        <v>Bronze</v>
      </c>
      <c r="S152" s="4" t="str">
        <v>CUST1148</v>
      </c>
      <c r="T152" s="4" t="str">
        <v>THERESA CAMPBELL</v>
      </c>
      <c r="U152" s="4" t="str">
        <v>42</v>
      </c>
      <c r="V152" s="4" t="str">
        <v>FEMALE</v>
      </c>
      <c r="W152" s="4" t="str">
        <v>NEW BRIAN</v>
      </c>
      <c r="X152" s="4" t="str">
        <v>WISCONSIN</v>
      </c>
      <c r="Y152" s="4" t="str">
        <v>USA</v>
      </c>
      <c r="Z152" s="4" t="str">
        <v>BRONZE</v>
      </c>
    </row>
    <row r="153" spans="1:26" x14ac:dyDescent="0.25">
      <c r="A153" t="s">
        <v>509</v>
      </c>
      <c r="B153" t="s">
        <v>510</v>
      </c>
      <c r="C153">
        <v>33</v>
      </c>
      <c r="D153" t="s">
        <v>10</v>
      </c>
      <c r="E153" t="s">
        <v>511</v>
      </c>
      <c r="F153" t="s">
        <v>254</v>
      </c>
      <c r="G153" t="s">
        <v>13</v>
      </c>
      <c r="H153" t="s">
        <v>19</v>
      </c>
      <c r="J153" s="4" t="str">
        <v>CUST1149</v>
      </c>
      <c r="K153" s="4" t="str">
        <v>Denise Griffin</v>
      </c>
      <c r="L153" s="4" t="str">
        <v>33</v>
      </c>
      <c r="M153" s="4" t="str">
        <v>Male</v>
      </c>
      <c r="N153" s="4" t="str">
        <v>West Markhaven</v>
      </c>
      <c r="O153" s="4" t="str">
        <v>Florida</v>
      </c>
      <c r="P153" s="4" t="str">
        <v>USA</v>
      </c>
      <c r="Q153" s="4" t="str">
        <v>Platinum</v>
      </c>
      <c r="S153" s="4" t="str">
        <v>CUST1149</v>
      </c>
      <c r="T153" s="4" t="str">
        <v>DENISE GRIFFIN</v>
      </c>
      <c r="U153" s="4" t="str">
        <v>33</v>
      </c>
      <c r="V153" s="4" t="str">
        <v>MALE</v>
      </c>
      <c r="W153" s="4" t="str">
        <v>WEST MARKHAVEN</v>
      </c>
      <c r="X153" s="4" t="str">
        <v>FLORIDA</v>
      </c>
      <c r="Y153" s="4" t="str">
        <v>USA</v>
      </c>
      <c r="Z153" s="4" t="str">
        <v>PLATINUM</v>
      </c>
    </row>
    <row r="154" spans="1:26" x14ac:dyDescent="0.25">
      <c r="A154" t="s">
        <v>512</v>
      </c>
      <c r="B154" t="s">
        <v>513</v>
      </c>
      <c r="C154">
        <v>24</v>
      </c>
      <c r="D154" t="s">
        <v>10</v>
      </c>
      <c r="E154" t="s">
        <v>514</v>
      </c>
      <c r="F154" t="s">
        <v>317</v>
      </c>
      <c r="G154" t="s">
        <v>13</v>
      </c>
      <c r="H154" t="s">
        <v>50</v>
      </c>
      <c r="J154" s="4" t="str">
        <v>CUST1150</v>
      </c>
      <c r="K154" s="4" t="str">
        <v>Stephanie Conway</v>
      </c>
      <c r="L154" s="4" t="str">
        <v>24</v>
      </c>
      <c r="M154" s="4" t="str">
        <v>Male</v>
      </c>
      <c r="N154" s="4" t="str">
        <v>Port Frankmouth</v>
      </c>
      <c r="O154" s="4" t="str">
        <v>Mississippi</v>
      </c>
      <c r="P154" s="4" t="str">
        <v>USA</v>
      </c>
      <c r="Q154" s="4" t="str">
        <v>Gold</v>
      </c>
      <c r="S154" s="4" t="str">
        <v>CUST1150</v>
      </c>
      <c r="T154" s="4" t="str">
        <v>STEPHANIE CONWAY</v>
      </c>
      <c r="U154" s="4" t="str">
        <v>24</v>
      </c>
      <c r="V154" s="4" t="str">
        <v>MALE</v>
      </c>
      <c r="W154" s="4" t="str">
        <v>PORT FRANKMOUTH</v>
      </c>
      <c r="X154" s="4" t="str">
        <v>MISSISSIPPI</v>
      </c>
      <c r="Y154" s="4" t="str">
        <v>USA</v>
      </c>
      <c r="Z154" s="4" t="str">
        <v>GOLD</v>
      </c>
    </row>
    <row r="155" spans="1:26" x14ac:dyDescent="0.25">
      <c r="A155" t="s">
        <v>515</v>
      </c>
      <c r="B155" t="s">
        <v>516</v>
      </c>
      <c r="C155">
        <v>25</v>
      </c>
      <c r="D155" t="s">
        <v>16</v>
      </c>
      <c r="E155" t="s">
        <v>517</v>
      </c>
      <c r="F155" t="s">
        <v>37</v>
      </c>
      <c r="G155" t="s">
        <v>13</v>
      </c>
      <c r="H155" t="s">
        <v>50</v>
      </c>
      <c r="J155" s="4" t="str">
        <v>CUST1151</v>
      </c>
      <c r="K155" s="4" t="str">
        <v>Michael Davies</v>
      </c>
      <c r="L155" s="4" t="str">
        <v>25</v>
      </c>
      <c r="M155" s="4" t="str">
        <v>Female</v>
      </c>
      <c r="N155" s="4" t="str">
        <v>Lake Stevenfort</v>
      </c>
      <c r="O155" s="4" t="str">
        <v>Oregon</v>
      </c>
      <c r="P155" s="4" t="str">
        <v>USA</v>
      </c>
      <c r="Q155" s="4" t="str">
        <v>Gold</v>
      </c>
      <c r="S155" s="4" t="str">
        <v>CUST1151</v>
      </c>
      <c r="T155" s="4" t="str">
        <v>MICHAEL DAVIES</v>
      </c>
      <c r="U155" s="4" t="str">
        <v>25</v>
      </c>
      <c r="V155" s="4" t="str">
        <v>FEMALE</v>
      </c>
      <c r="W155" s="4" t="str">
        <v>LAKE STEVENFORT</v>
      </c>
      <c r="X155" s="4" t="str">
        <v>OREGON</v>
      </c>
      <c r="Y155" s="4" t="str">
        <v>USA</v>
      </c>
      <c r="Z155" s="4" t="str">
        <v>GOLD</v>
      </c>
    </row>
    <row r="156" spans="1:26" x14ac:dyDescent="0.25">
      <c r="A156" t="s">
        <v>518</v>
      </c>
      <c r="B156" t="s">
        <v>519</v>
      </c>
      <c r="C156">
        <v>41</v>
      </c>
      <c r="D156" t="s">
        <v>16</v>
      </c>
      <c r="E156" t="s">
        <v>520</v>
      </c>
      <c r="F156" t="s">
        <v>117</v>
      </c>
      <c r="G156" t="s">
        <v>13</v>
      </c>
      <c r="H156" t="s">
        <v>19</v>
      </c>
      <c r="J156" s="4" t="str">
        <v>CUST1152</v>
      </c>
      <c r="K156" s="4" t="str">
        <v>Patrick Roberts</v>
      </c>
      <c r="L156" s="4" t="str">
        <v>41</v>
      </c>
      <c r="M156" s="4" t="str">
        <v>Female</v>
      </c>
      <c r="N156" s="4" t="str">
        <v>Jaredville</v>
      </c>
      <c r="O156" s="4" t="str">
        <v>Missouri</v>
      </c>
      <c r="P156" s="4" t="str">
        <v>USA</v>
      </c>
      <c r="Q156" s="4" t="str">
        <v>Platinum</v>
      </c>
      <c r="S156" s="4" t="str">
        <v>CUST1152</v>
      </c>
      <c r="T156" s="4" t="str">
        <v>PATRICK ROBERTS</v>
      </c>
      <c r="U156" s="4" t="str">
        <v>41</v>
      </c>
      <c r="V156" s="4" t="str">
        <v>FEMALE</v>
      </c>
      <c r="W156" s="4" t="str">
        <v>JAREDVILLE</v>
      </c>
      <c r="X156" s="4" t="str">
        <v>MISSOURI</v>
      </c>
      <c r="Y156" s="4" t="str">
        <v>USA</v>
      </c>
      <c r="Z156" s="4" t="str">
        <v>PLATINUM</v>
      </c>
    </row>
    <row r="157" spans="1:26" x14ac:dyDescent="0.25">
      <c r="A157" t="s">
        <v>521</v>
      </c>
      <c r="B157" t="s">
        <v>522</v>
      </c>
      <c r="C157">
        <v>31</v>
      </c>
      <c r="D157" t="s">
        <v>10</v>
      </c>
      <c r="E157" t="s">
        <v>523</v>
      </c>
      <c r="F157" t="s">
        <v>18</v>
      </c>
      <c r="G157" t="s">
        <v>13</v>
      </c>
      <c r="H157" t="s">
        <v>28</v>
      </c>
      <c r="J157" s="4" t="str">
        <v>CUST1153</v>
      </c>
      <c r="K157" s="4" t="str">
        <v>Joseph Faulkner</v>
      </c>
      <c r="L157" s="4" t="str">
        <v>31</v>
      </c>
      <c r="M157" s="4" t="str">
        <v>Male</v>
      </c>
      <c r="N157" s="4" t="str">
        <v>New Leahfurt</v>
      </c>
      <c r="O157" s="4" t="str">
        <v>North Dakota</v>
      </c>
      <c r="P157" s="4" t="str">
        <v>USA</v>
      </c>
      <c r="Q157" s="4" t="str">
        <v>Bronze</v>
      </c>
      <c r="S157" s="4" t="str">
        <v>CUST1153</v>
      </c>
      <c r="T157" s="4" t="str">
        <v>JOSEPH FAULKNER</v>
      </c>
      <c r="U157" s="4" t="str">
        <v>31</v>
      </c>
      <c r="V157" s="4" t="str">
        <v>MALE</v>
      </c>
      <c r="W157" s="4" t="str">
        <v>NEW LEAHFURT</v>
      </c>
      <c r="X157" s="4" t="str">
        <v>NORTH DAKOTA</v>
      </c>
      <c r="Y157" s="4" t="str">
        <v>USA</v>
      </c>
      <c r="Z157" s="4" t="str">
        <v>BRONZE</v>
      </c>
    </row>
    <row r="158" spans="1:26" x14ac:dyDescent="0.25">
      <c r="A158" t="s">
        <v>524</v>
      </c>
      <c r="B158" t="s">
        <v>525</v>
      </c>
      <c r="C158">
        <v>35</v>
      </c>
      <c r="D158" t="s">
        <v>16</v>
      </c>
      <c r="E158" t="s">
        <v>526</v>
      </c>
      <c r="F158" t="s">
        <v>175</v>
      </c>
      <c r="G158" t="s">
        <v>13</v>
      </c>
      <c r="H158" t="s">
        <v>50</v>
      </c>
      <c r="J158" s="4" t="str">
        <v>CUST1154</v>
      </c>
      <c r="K158" s="4" t="str">
        <v>Julie Hale</v>
      </c>
      <c r="L158" s="4" t="str">
        <v>35</v>
      </c>
      <c r="M158" s="4" t="str">
        <v>Female</v>
      </c>
      <c r="N158" s="4" t="str">
        <v>Owensview</v>
      </c>
      <c r="O158" s="4" t="str">
        <v>Vermont</v>
      </c>
      <c r="P158" s="4" t="str">
        <v>USA</v>
      </c>
      <c r="Q158" s="4" t="str">
        <v>Gold</v>
      </c>
      <c r="S158" s="4" t="str">
        <v>CUST1154</v>
      </c>
      <c r="T158" s="4" t="str">
        <v>JULIE HALE</v>
      </c>
      <c r="U158" s="4" t="str">
        <v>35</v>
      </c>
      <c r="V158" s="4" t="str">
        <v>FEMALE</v>
      </c>
      <c r="W158" s="4" t="str">
        <v>OWENSVIEW</v>
      </c>
      <c r="X158" s="4" t="str">
        <v>VERMONT</v>
      </c>
      <c r="Y158" s="4" t="str">
        <v>USA</v>
      </c>
      <c r="Z158" s="4" t="str">
        <v>GOLD</v>
      </c>
    </row>
    <row r="159" spans="1:26" x14ac:dyDescent="0.25">
      <c r="A159" t="s">
        <v>527</v>
      </c>
      <c r="B159" t="s">
        <v>528</v>
      </c>
      <c r="C159">
        <v>60</v>
      </c>
      <c r="D159" t="s">
        <v>16</v>
      </c>
      <c r="E159" t="s">
        <v>529</v>
      </c>
      <c r="F159" t="s">
        <v>271</v>
      </c>
      <c r="G159" t="s">
        <v>13</v>
      </c>
      <c r="H159" t="s">
        <v>50</v>
      </c>
      <c r="J159" s="4" t="str">
        <v>CUST1155</v>
      </c>
      <c r="K159" s="4" t="str">
        <v>Curtis Haynes</v>
      </c>
      <c r="L159" s="4" t="str">
        <v>60</v>
      </c>
      <c r="M159" s="4" t="str">
        <v>Female</v>
      </c>
      <c r="N159" s="4" t="str">
        <v>Estradaside</v>
      </c>
      <c r="O159" s="4" t="str">
        <v>Iowa</v>
      </c>
      <c r="P159" s="4" t="str">
        <v>USA</v>
      </c>
      <c r="Q159" s="4" t="str">
        <v>Gold</v>
      </c>
      <c r="S159" s="4" t="str">
        <v>CUST1155</v>
      </c>
      <c r="T159" s="4" t="str">
        <v>CURTIS HAYNES</v>
      </c>
      <c r="U159" s="4" t="str">
        <v>60</v>
      </c>
      <c r="V159" s="4" t="str">
        <v>FEMALE</v>
      </c>
      <c r="W159" s="4" t="str">
        <v>ESTRADASIDE</v>
      </c>
      <c r="X159" s="4" t="str">
        <v>IOWA</v>
      </c>
      <c r="Y159" s="4" t="str">
        <v>USA</v>
      </c>
      <c r="Z159" s="4" t="str">
        <v>GOLD</v>
      </c>
    </row>
    <row r="160" spans="1:26" x14ac:dyDescent="0.25">
      <c r="A160" t="s">
        <v>530</v>
      </c>
      <c r="B160" t="s">
        <v>531</v>
      </c>
      <c r="C160">
        <v>46</v>
      </c>
      <c r="D160" t="s">
        <v>10</v>
      </c>
      <c r="E160" t="s">
        <v>532</v>
      </c>
      <c r="F160" t="s">
        <v>18</v>
      </c>
      <c r="G160" t="s">
        <v>13</v>
      </c>
      <c r="H160" t="s">
        <v>28</v>
      </c>
      <c r="J160" s="4" t="str">
        <v>CUST1156</v>
      </c>
      <c r="K160" s="4" t="str">
        <v>Maria Sanchez</v>
      </c>
      <c r="L160" s="4" t="str">
        <v>46</v>
      </c>
      <c r="M160" s="4" t="str">
        <v>Male</v>
      </c>
      <c r="N160" s="4" t="str">
        <v>East Peterbury</v>
      </c>
      <c r="O160" s="4" t="str">
        <v>North Dakota</v>
      </c>
      <c r="P160" s="4" t="str">
        <v>USA</v>
      </c>
      <c r="Q160" s="4" t="str">
        <v>Bronze</v>
      </c>
      <c r="S160" s="4" t="str">
        <v>CUST1156</v>
      </c>
      <c r="T160" s="4" t="str">
        <v>MARIA SANCHEZ</v>
      </c>
      <c r="U160" s="4" t="str">
        <v>46</v>
      </c>
      <c r="V160" s="4" t="str">
        <v>MALE</v>
      </c>
      <c r="W160" s="4" t="str">
        <v>EAST PETERBURY</v>
      </c>
      <c r="X160" s="4" t="str">
        <v>NORTH DAKOTA</v>
      </c>
      <c r="Y160" s="4" t="str">
        <v>USA</v>
      </c>
      <c r="Z160" s="4" t="str">
        <v>BRONZE</v>
      </c>
    </row>
    <row r="161" spans="1:26" x14ac:dyDescent="0.25">
      <c r="A161" t="s">
        <v>533</v>
      </c>
      <c r="B161" t="s">
        <v>534</v>
      </c>
      <c r="C161">
        <v>59</v>
      </c>
      <c r="D161" t="s">
        <v>10</v>
      </c>
      <c r="E161" t="s">
        <v>535</v>
      </c>
      <c r="F161" t="s">
        <v>18</v>
      </c>
      <c r="G161" t="s">
        <v>13</v>
      </c>
      <c r="H161" t="s">
        <v>19</v>
      </c>
      <c r="J161" s="4" t="str">
        <v>CUST1157</v>
      </c>
      <c r="K161" s="4" t="str">
        <v>Paul Zamora</v>
      </c>
      <c r="L161" s="4" t="str">
        <v>59</v>
      </c>
      <c r="M161" s="4" t="str">
        <v>Male</v>
      </c>
      <c r="N161" s="4" t="str">
        <v>North Larryfurt</v>
      </c>
      <c r="O161" s="4" t="str">
        <v>North Dakota</v>
      </c>
      <c r="P161" s="4" t="str">
        <v>USA</v>
      </c>
      <c r="Q161" s="4" t="str">
        <v>Platinum</v>
      </c>
      <c r="S161" s="4" t="str">
        <v>CUST1157</v>
      </c>
      <c r="T161" s="4" t="str">
        <v>PAUL ZAMORA</v>
      </c>
      <c r="U161" s="4" t="str">
        <v>59</v>
      </c>
      <c r="V161" s="4" t="str">
        <v>MALE</v>
      </c>
      <c r="W161" s="4" t="str">
        <v>NORTH LARRYFURT</v>
      </c>
      <c r="X161" s="4" t="str">
        <v>NORTH DAKOTA</v>
      </c>
      <c r="Y161" s="4" t="str">
        <v>USA</v>
      </c>
      <c r="Z161" s="4" t="str">
        <v>PLATINUM</v>
      </c>
    </row>
    <row r="162" spans="1:26" x14ac:dyDescent="0.25">
      <c r="A162" t="s">
        <v>536</v>
      </c>
      <c r="B162" t="s">
        <v>537</v>
      </c>
      <c r="C162">
        <v>43</v>
      </c>
      <c r="D162" t="s">
        <v>10</v>
      </c>
      <c r="E162" t="s">
        <v>538</v>
      </c>
      <c r="F162" t="s">
        <v>175</v>
      </c>
      <c r="G162" t="s">
        <v>13</v>
      </c>
      <c r="H162" t="s">
        <v>28</v>
      </c>
      <c r="J162" s="4" t="str">
        <v>CUST1158</v>
      </c>
      <c r="K162" s="4" t="str">
        <v>Sean Powell</v>
      </c>
      <c r="L162" s="4" t="str">
        <v>43</v>
      </c>
      <c r="M162" s="4" t="str">
        <v>Male</v>
      </c>
      <c r="N162" s="4" t="str">
        <v>South Kevin</v>
      </c>
      <c r="O162" s="4" t="str">
        <v>Vermont</v>
      </c>
      <c r="P162" s="4" t="str">
        <v>USA</v>
      </c>
      <c r="Q162" s="4" t="str">
        <v>Bronze</v>
      </c>
      <c r="S162" s="4" t="str">
        <v>CUST1158</v>
      </c>
      <c r="T162" s="4" t="str">
        <v>SEAN POWELL</v>
      </c>
      <c r="U162" s="4" t="str">
        <v>43</v>
      </c>
      <c r="V162" s="4" t="str">
        <v>MALE</v>
      </c>
      <c r="W162" s="4" t="str">
        <v>SOUTH KEVIN</v>
      </c>
      <c r="X162" s="4" t="str">
        <v>VERMONT</v>
      </c>
      <c r="Y162" s="4" t="str">
        <v>USA</v>
      </c>
      <c r="Z162" s="4" t="str">
        <v>BRONZE</v>
      </c>
    </row>
    <row r="163" spans="1:26" x14ac:dyDescent="0.25">
      <c r="A163" t="s">
        <v>539</v>
      </c>
      <c r="B163" t="s">
        <v>540</v>
      </c>
      <c r="C163">
        <v>46</v>
      </c>
      <c r="D163" t="s">
        <v>16</v>
      </c>
      <c r="E163" t="s">
        <v>541</v>
      </c>
      <c r="F163" t="s">
        <v>91</v>
      </c>
      <c r="G163" t="s">
        <v>13</v>
      </c>
      <c r="H163" t="s">
        <v>50</v>
      </c>
      <c r="J163" s="4" t="str">
        <v>CUST1159</v>
      </c>
      <c r="K163" s="4" t="str">
        <v>Brian Choi</v>
      </c>
      <c r="L163" s="4" t="str">
        <v>46</v>
      </c>
      <c r="M163" s="4" t="str">
        <v>Female</v>
      </c>
      <c r="N163" s="4" t="str">
        <v>Floydton</v>
      </c>
      <c r="O163" s="4" t="str">
        <v>New Jersey</v>
      </c>
      <c r="P163" s="4" t="str">
        <v>USA</v>
      </c>
      <c r="Q163" s="4" t="str">
        <v>Gold</v>
      </c>
      <c r="S163" s="4" t="str">
        <v>CUST1159</v>
      </c>
      <c r="T163" s="4" t="str">
        <v>BRIAN CHOI</v>
      </c>
      <c r="U163" s="4" t="str">
        <v>46</v>
      </c>
      <c r="V163" s="4" t="str">
        <v>FEMALE</v>
      </c>
      <c r="W163" s="4" t="str">
        <v>FLOYDTON</v>
      </c>
      <c r="X163" s="4" t="str">
        <v>NEW JERSEY</v>
      </c>
      <c r="Y163" s="4" t="str">
        <v>USA</v>
      </c>
      <c r="Z163" s="4" t="str">
        <v>GOLD</v>
      </c>
    </row>
    <row r="164" spans="1:26" x14ac:dyDescent="0.25">
      <c r="A164" t="s">
        <v>542</v>
      </c>
      <c r="B164" t="s">
        <v>543</v>
      </c>
      <c r="C164">
        <v>41</v>
      </c>
      <c r="D164" t="s">
        <v>16</v>
      </c>
      <c r="E164" t="s">
        <v>544</v>
      </c>
      <c r="F164" t="s">
        <v>12</v>
      </c>
      <c r="G164" t="s">
        <v>13</v>
      </c>
      <c r="H164" t="s">
        <v>19</v>
      </c>
      <c r="J164" s="4" t="str">
        <v>CUST1160</v>
      </c>
      <c r="K164" s="4" t="str">
        <v>John Lawson</v>
      </c>
      <c r="L164" s="4" t="str">
        <v>41</v>
      </c>
      <c r="M164" s="4" t="str">
        <v>Female</v>
      </c>
      <c r="N164" s="4" t="str">
        <v>New Juliemouth</v>
      </c>
      <c r="O164" s="4" t="str">
        <v>North Carolina</v>
      </c>
      <c r="P164" s="4" t="str">
        <v>USA</v>
      </c>
      <c r="Q164" s="4" t="str">
        <v>Platinum</v>
      </c>
      <c r="S164" s="4" t="str">
        <v>CUST1160</v>
      </c>
      <c r="T164" s="4" t="str">
        <v>JOHN LAWSON</v>
      </c>
      <c r="U164" s="4" t="str">
        <v>41</v>
      </c>
      <c r="V164" s="4" t="str">
        <v>FEMALE</v>
      </c>
      <c r="W164" s="4" t="str">
        <v>NEW JULIEMOUTH</v>
      </c>
      <c r="X164" s="4" t="str">
        <v>NORTH CAROLINA</v>
      </c>
      <c r="Y164" s="4" t="str">
        <v>USA</v>
      </c>
      <c r="Z164" s="4" t="str">
        <v>PLATINUM</v>
      </c>
    </row>
    <row r="165" spans="1:26" x14ac:dyDescent="0.25">
      <c r="A165" t="s">
        <v>545</v>
      </c>
      <c r="B165" t="s">
        <v>546</v>
      </c>
      <c r="C165">
        <v>18</v>
      </c>
      <c r="D165" t="s">
        <v>16</v>
      </c>
      <c r="E165" t="s">
        <v>547</v>
      </c>
      <c r="F165" t="s">
        <v>137</v>
      </c>
      <c r="G165" t="s">
        <v>13</v>
      </c>
      <c r="H165" t="s">
        <v>33</v>
      </c>
      <c r="J165" s="4" t="str">
        <v>CUST1161</v>
      </c>
      <c r="K165" s="4" t="str">
        <v>Cynthia Morris</v>
      </c>
      <c r="L165" s="4" t="str">
        <v>18</v>
      </c>
      <c r="M165" s="4" t="str">
        <v>Female</v>
      </c>
      <c r="N165" s="4" t="str">
        <v>Hessmouth</v>
      </c>
      <c r="O165" s="4" t="str">
        <v>Arizona</v>
      </c>
      <c r="P165" s="4" t="str">
        <v>USA</v>
      </c>
      <c r="Q165" s="4" t="str">
        <v>Silver</v>
      </c>
      <c r="S165" s="4" t="str">
        <v>CUST1161</v>
      </c>
      <c r="T165" s="4" t="str">
        <v>CYNTHIA MORRIS</v>
      </c>
      <c r="U165" s="4" t="str">
        <v>18</v>
      </c>
      <c r="V165" s="4" t="str">
        <v>FEMALE</v>
      </c>
      <c r="W165" s="4" t="str">
        <v>HESSMOUTH</v>
      </c>
      <c r="X165" s="4" t="str">
        <v>ARIZONA</v>
      </c>
      <c r="Y165" s="4" t="str">
        <v>USA</v>
      </c>
      <c r="Z165" s="4" t="str">
        <v>SILVER</v>
      </c>
    </row>
    <row r="166" spans="1:26" x14ac:dyDescent="0.25">
      <c r="A166" t="s">
        <v>548</v>
      </c>
      <c r="B166" t="s">
        <v>549</v>
      </c>
      <c r="C166">
        <v>37</v>
      </c>
      <c r="D166" t="s">
        <v>10</v>
      </c>
      <c r="E166" t="s">
        <v>550</v>
      </c>
      <c r="F166" t="s">
        <v>241</v>
      </c>
      <c r="G166" t="s">
        <v>455</v>
      </c>
      <c r="H166" t="s">
        <v>33</v>
      </c>
      <c r="J166" s="4" t="str">
        <v>CUST1162</v>
      </c>
      <c r="K166" s="4" t="str">
        <v>Mariah Brown</v>
      </c>
      <c r="L166" s="4" t="str">
        <v>37</v>
      </c>
      <c r="M166" s="4" t="str">
        <v>Male</v>
      </c>
      <c r="N166" s="4" t="str">
        <v>Palmerbury</v>
      </c>
      <c r="O166" s="4" t="str">
        <v>Tennessee</v>
      </c>
      <c r="P166" s="4" t="str">
        <v>United States of America</v>
      </c>
      <c r="Q166" s="4" t="str">
        <v>Silver</v>
      </c>
      <c r="S166" s="4" t="str">
        <v>CUST1162</v>
      </c>
      <c r="T166" s="4" t="str">
        <v>MARIAH BROWN</v>
      </c>
      <c r="U166" s="4" t="str">
        <v>37</v>
      </c>
      <c r="V166" s="4" t="str">
        <v>MALE</v>
      </c>
      <c r="W166" s="4" t="str">
        <v>PALMERBURY</v>
      </c>
      <c r="X166" s="4" t="str">
        <v>TENNESSEE</v>
      </c>
      <c r="Y166" s="4" t="str">
        <v>UNITED STATES OF AMERICA</v>
      </c>
      <c r="Z166" s="4" t="str">
        <v>SILVER</v>
      </c>
    </row>
    <row r="167" spans="1:26" x14ac:dyDescent="0.25">
      <c r="A167" t="s">
        <v>551</v>
      </c>
      <c r="B167" t="s">
        <v>552</v>
      </c>
      <c r="C167">
        <v>21</v>
      </c>
      <c r="D167" t="s">
        <v>10</v>
      </c>
      <c r="E167" t="s">
        <v>553</v>
      </c>
      <c r="F167" t="s">
        <v>198</v>
      </c>
      <c r="G167" t="s">
        <v>13</v>
      </c>
      <c r="H167" t="s">
        <v>28</v>
      </c>
      <c r="J167" s="4" t="str">
        <v>CUST1163</v>
      </c>
      <c r="K167" s="4" t="str">
        <v>Joseph Jones</v>
      </c>
      <c r="L167" s="4" t="str">
        <v>21</v>
      </c>
      <c r="M167" s="4" t="str">
        <v>Male</v>
      </c>
      <c r="N167" s="4" t="str">
        <v>North Matthew</v>
      </c>
      <c r="O167" s="4" t="str">
        <v>Illinois</v>
      </c>
      <c r="P167" s="4" t="str">
        <v>USA</v>
      </c>
      <c r="Q167" s="4" t="str">
        <v>Bronze</v>
      </c>
      <c r="S167" s="4" t="str">
        <v>CUST1163</v>
      </c>
      <c r="T167" s="4" t="str">
        <v>JOSEPH JONES</v>
      </c>
      <c r="U167" s="4" t="str">
        <v>21</v>
      </c>
      <c r="V167" s="4" t="str">
        <v>MALE</v>
      </c>
      <c r="W167" s="4" t="str">
        <v>NORTH MATTHEW</v>
      </c>
      <c r="X167" s="4" t="str">
        <v>ILLINOIS</v>
      </c>
      <c r="Y167" s="4" t="str">
        <v>USA</v>
      </c>
      <c r="Z167" s="4" t="str">
        <v>BRONZE</v>
      </c>
    </row>
    <row r="168" spans="1:26" x14ac:dyDescent="0.25">
      <c r="A168" t="s">
        <v>554</v>
      </c>
      <c r="B168" t="s">
        <v>555</v>
      </c>
      <c r="C168">
        <v>39</v>
      </c>
      <c r="D168" t="s">
        <v>16</v>
      </c>
      <c r="E168" t="s">
        <v>556</v>
      </c>
      <c r="F168" t="s">
        <v>84</v>
      </c>
      <c r="G168" t="s">
        <v>13</v>
      </c>
      <c r="H168" t="s">
        <v>33</v>
      </c>
      <c r="J168" s="4" t="str">
        <v>CUST1164</v>
      </c>
      <c r="K168" s="4" t="str">
        <v>Daniel Rivas</v>
      </c>
      <c r="L168" s="4" t="str">
        <v>39</v>
      </c>
      <c r="M168" s="4" t="str">
        <v>Female</v>
      </c>
      <c r="N168" s="4" t="str">
        <v>Dominiquefort</v>
      </c>
      <c r="O168" s="4" t="str">
        <v>Georgia</v>
      </c>
      <c r="P168" s="4" t="str">
        <v>USA</v>
      </c>
      <c r="Q168" s="4" t="str">
        <v>Silver</v>
      </c>
      <c r="S168" s="4" t="str">
        <v>CUST1164</v>
      </c>
      <c r="T168" s="4" t="str">
        <v>DANIEL RIVAS</v>
      </c>
      <c r="U168" s="4" t="str">
        <v>39</v>
      </c>
      <c r="V168" s="4" t="str">
        <v>FEMALE</v>
      </c>
      <c r="W168" s="4" t="str">
        <v>DOMINIQUEFORT</v>
      </c>
      <c r="X168" s="4" t="str">
        <v>GEORGIA</v>
      </c>
      <c r="Y168" s="4" t="str">
        <v>USA</v>
      </c>
      <c r="Z168" s="4" t="str">
        <v>SILVER</v>
      </c>
    </row>
    <row r="169" spans="1:26" x14ac:dyDescent="0.25">
      <c r="A169" t="s">
        <v>557</v>
      </c>
      <c r="B169" t="s">
        <v>558</v>
      </c>
      <c r="C169">
        <v>47</v>
      </c>
      <c r="D169" t="s">
        <v>16</v>
      </c>
      <c r="E169" t="s">
        <v>559</v>
      </c>
      <c r="F169" t="s">
        <v>198</v>
      </c>
      <c r="G169" t="s">
        <v>13</v>
      </c>
      <c r="H169" t="s">
        <v>19</v>
      </c>
      <c r="J169" s="4" t="str">
        <v>CUST1165</v>
      </c>
      <c r="K169" s="4" t="str">
        <v>Jason Wheeler</v>
      </c>
      <c r="L169" s="4" t="str">
        <v>47</v>
      </c>
      <c r="M169" s="4" t="str">
        <v>Female</v>
      </c>
      <c r="N169" s="4" t="str">
        <v>Carolview</v>
      </c>
      <c r="O169" s="4" t="str">
        <v>Illinois</v>
      </c>
      <c r="P169" s="4" t="str">
        <v>USA</v>
      </c>
      <c r="Q169" s="4" t="str">
        <v>Platinum</v>
      </c>
      <c r="S169" s="4" t="str">
        <v>CUST1165</v>
      </c>
      <c r="T169" s="4" t="str">
        <v>JASON WHEELER</v>
      </c>
      <c r="U169" s="4" t="str">
        <v>47</v>
      </c>
      <c r="V169" s="4" t="str">
        <v>FEMALE</v>
      </c>
      <c r="W169" s="4" t="str">
        <v>CAROLVIEW</v>
      </c>
      <c r="X169" s="4" t="str">
        <v>ILLINOIS</v>
      </c>
      <c r="Y169" s="4" t="str">
        <v>USA</v>
      </c>
      <c r="Z169" s="4" t="str">
        <v>PLATINUM</v>
      </c>
    </row>
    <row r="170" spans="1:26" x14ac:dyDescent="0.25">
      <c r="A170" t="s">
        <v>560</v>
      </c>
      <c r="B170" t="s">
        <v>561</v>
      </c>
      <c r="C170">
        <v>25</v>
      </c>
      <c r="D170" t="s">
        <v>16</v>
      </c>
      <c r="E170" t="s">
        <v>562</v>
      </c>
      <c r="F170" t="s">
        <v>160</v>
      </c>
      <c r="G170" t="s">
        <v>13</v>
      </c>
      <c r="H170" t="s">
        <v>33</v>
      </c>
      <c r="J170" s="4" t="str">
        <v>CUST1166</v>
      </c>
      <c r="K170" s="4" t="str">
        <v>Patricia Gardner</v>
      </c>
      <c r="L170" s="4" t="str">
        <v>25</v>
      </c>
      <c r="M170" s="4" t="str">
        <v>Female</v>
      </c>
      <c r="N170" s="4" t="str">
        <v>South Ashleyton</v>
      </c>
      <c r="O170" s="4" t="str">
        <v>Michigan</v>
      </c>
      <c r="P170" s="4" t="str">
        <v>USA</v>
      </c>
      <c r="Q170" s="4" t="str">
        <v>Silver</v>
      </c>
      <c r="S170" s="4" t="str">
        <v>CUST1166</v>
      </c>
      <c r="T170" s="4" t="str">
        <v>PATRICIA GARDNER</v>
      </c>
      <c r="U170" s="4" t="str">
        <v>25</v>
      </c>
      <c r="V170" s="4" t="str">
        <v>FEMALE</v>
      </c>
      <c r="W170" s="4" t="str">
        <v>SOUTH ASHLEYTON</v>
      </c>
      <c r="X170" s="4" t="str">
        <v>MICHIGAN</v>
      </c>
      <c r="Y170" s="4" t="str">
        <v>USA</v>
      </c>
      <c r="Z170" s="4" t="str">
        <v>SILVER</v>
      </c>
    </row>
    <row r="171" spans="1:26" x14ac:dyDescent="0.25">
      <c r="A171" t="s">
        <v>563</v>
      </c>
      <c r="B171" t="s">
        <v>564</v>
      </c>
      <c r="C171">
        <v>36</v>
      </c>
      <c r="D171" t="s">
        <v>16</v>
      </c>
      <c r="E171" t="s">
        <v>565</v>
      </c>
      <c r="F171" t="s">
        <v>241</v>
      </c>
      <c r="G171" t="s">
        <v>13</v>
      </c>
      <c r="H171" t="s">
        <v>50</v>
      </c>
      <c r="J171" s="4" t="str">
        <v>CUST1167</v>
      </c>
      <c r="K171" s="4" t="str">
        <v>Antonio Wade</v>
      </c>
      <c r="L171" s="4" t="str">
        <v>36</v>
      </c>
      <c r="M171" s="4" t="str">
        <v>Female</v>
      </c>
      <c r="N171" s="4" t="str">
        <v>New Jasonmouth</v>
      </c>
      <c r="O171" s="4" t="str">
        <v>Tennessee</v>
      </c>
      <c r="P171" s="4" t="str">
        <v>USA</v>
      </c>
      <c r="Q171" s="4" t="str">
        <v>Gold</v>
      </c>
      <c r="S171" s="4" t="str">
        <v>CUST1167</v>
      </c>
      <c r="T171" s="4" t="str">
        <v>ANTONIO WADE</v>
      </c>
      <c r="U171" s="4" t="str">
        <v>36</v>
      </c>
      <c r="V171" s="4" t="str">
        <v>FEMALE</v>
      </c>
      <c r="W171" s="4" t="str">
        <v>NEW JASONMOUTH</v>
      </c>
      <c r="X171" s="4" t="str">
        <v>TENNESSEE</v>
      </c>
      <c r="Y171" s="4" t="str">
        <v>USA</v>
      </c>
      <c r="Z171" s="4" t="str">
        <v>GOLD</v>
      </c>
    </row>
    <row r="172" spans="1:26" x14ac:dyDescent="0.25">
      <c r="A172" t="s">
        <v>566</v>
      </c>
      <c r="B172" t="s">
        <v>567</v>
      </c>
      <c r="C172">
        <v>36</v>
      </c>
      <c r="D172" t="s">
        <v>16</v>
      </c>
      <c r="E172" t="s">
        <v>568</v>
      </c>
      <c r="F172" t="s">
        <v>254</v>
      </c>
      <c r="G172" t="s">
        <v>13</v>
      </c>
      <c r="H172" t="s">
        <v>19</v>
      </c>
      <c r="J172" s="4" t="str">
        <v>CUST1168</v>
      </c>
      <c r="K172" s="4" t="str">
        <v>Daniel Contreras</v>
      </c>
      <c r="L172" s="4" t="str">
        <v>36</v>
      </c>
      <c r="M172" s="4" t="str">
        <v>Female</v>
      </c>
      <c r="N172" s="4" t="str">
        <v>Robertview</v>
      </c>
      <c r="O172" s="4" t="str">
        <v>Florida</v>
      </c>
      <c r="P172" s="4" t="str">
        <v>USA</v>
      </c>
      <c r="Q172" s="4" t="str">
        <v>Platinum</v>
      </c>
      <c r="S172" s="4" t="str">
        <v>CUST1168</v>
      </c>
      <c r="T172" s="4" t="str">
        <v>DANIEL CONTRERAS</v>
      </c>
      <c r="U172" s="4" t="str">
        <v>36</v>
      </c>
      <c r="V172" s="4" t="str">
        <v>FEMALE</v>
      </c>
      <c r="W172" s="4" t="str">
        <v>ROBERTVIEW</v>
      </c>
      <c r="X172" s="4" t="str">
        <v>FLORIDA</v>
      </c>
      <c r="Y172" s="4" t="str">
        <v>USA</v>
      </c>
      <c r="Z172" s="4" t="str">
        <v>PLATINUM</v>
      </c>
    </row>
    <row r="173" spans="1:26" x14ac:dyDescent="0.25">
      <c r="A173" t="s">
        <v>569</v>
      </c>
      <c r="B173" t="s">
        <v>570</v>
      </c>
      <c r="C173">
        <v>64</v>
      </c>
      <c r="D173" t="s">
        <v>10</v>
      </c>
      <c r="E173" t="s">
        <v>571</v>
      </c>
      <c r="F173" t="s">
        <v>49</v>
      </c>
      <c r="G173" t="s">
        <v>13</v>
      </c>
      <c r="H173" t="s">
        <v>28</v>
      </c>
      <c r="J173" s="4" t="str">
        <v>CUST1169</v>
      </c>
      <c r="K173" s="4" t="str">
        <v>Steve Mclaughlin</v>
      </c>
      <c r="L173" s="4" t="str">
        <v>64</v>
      </c>
      <c r="M173" s="4" t="str">
        <v>Male</v>
      </c>
      <c r="N173" s="4" t="str">
        <v>Josephmouth</v>
      </c>
      <c r="O173" s="4" t="str">
        <v>New Hampshire</v>
      </c>
      <c r="P173" s="4" t="str">
        <v>USA</v>
      </c>
      <c r="Q173" s="4" t="str">
        <v>Bronze</v>
      </c>
      <c r="S173" s="4" t="str">
        <v>CUST1169</v>
      </c>
      <c r="T173" s="4" t="str">
        <v>STEVE MCLAUGHLIN</v>
      </c>
      <c r="U173" s="4" t="str">
        <v>64</v>
      </c>
      <c r="V173" s="4" t="str">
        <v>MALE</v>
      </c>
      <c r="W173" s="4" t="str">
        <v>JOSEPHMOUTH</v>
      </c>
      <c r="X173" s="4" t="str">
        <v>NEW HAMPSHIRE</v>
      </c>
      <c r="Y173" s="4" t="str">
        <v>USA</v>
      </c>
      <c r="Z173" s="4" t="str">
        <v>BRONZE</v>
      </c>
    </row>
    <row r="174" spans="1:26" x14ac:dyDescent="0.25">
      <c r="A174" t="s">
        <v>572</v>
      </c>
      <c r="B174" t="s">
        <v>573</v>
      </c>
      <c r="C174">
        <v>18</v>
      </c>
      <c r="D174" t="s">
        <v>10</v>
      </c>
      <c r="E174" t="s">
        <v>574</v>
      </c>
      <c r="F174" t="s">
        <v>117</v>
      </c>
      <c r="G174" t="s">
        <v>13</v>
      </c>
      <c r="H174" t="s">
        <v>50</v>
      </c>
      <c r="J174" s="4" t="str">
        <v>CUST1170</v>
      </c>
      <c r="K174" s="4" t="str">
        <v>Christopher Garcia DDS</v>
      </c>
      <c r="L174" s="4" t="str">
        <v>18</v>
      </c>
      <c r="M174" s="4" t="str">
        <v>Male</v>
      </c>
      <c r="N174" s="4" t="str">
        <v>New Joseph</v>
      </c>
      <c r="O174" s="4" t="str">
        <v>Missouri</v>
      </c>
      <c r="P174" s="4" t="str">
        <v>USA</v>
      </c>
      <c r="Q174" s="4" t="str">
        <v>Gold</v>
      </c>
      <c r="S174" s="4" t="str">
        <v>CUST1170</v>
      </c>
      <c r="T174" s="4" t="str">
        <v>CHRISTOPHER GARCIA DDS</v>
      </c>
      <c r="U174" s="4" t="str">
        <v>18</v>
      </c>
      <c r="V174" s="4" t="str">
        <v>MALE</v>
      </c>
      <c r="W174" s="4" t="str">
        <v>NEW JOSEPH</v>
      </c>
      <c r="X174" s="4" t="str">
        <v>MISSOURI</v>
      </c>
      <c r="Y174" s="4" t="str">
        <v>USA</v>
      </c>
      <c r="Z174" s="4" t="str">
        <v>GOLD</v>
      </c>
    </row>
    <row r="175" spans="1:26" x14ac:dyDescent="0.25">
      <c r="A175" t="s">
        <v>575</v>
      </c>
      <c r="B175" t="s">
        <v>576</v>
      </c>
      <c r="C175">
        <v>44</v>
      </c>
      <c r="D175" t="s">
        <v>16</v>
      </c>
      <c r="E175" t="s">
        <v>577</v>
      </c>
      <c r="F175" t="s">
        <v>258</v>
      </c>
      <c r="G175" t="s">
        <v>13</v>
      </c>
      <c r="H175" t="s">
        <v>19</v>
      </c>
      <c r="J175" s="4" t="str">
        <v>CUST1171</v>
      </c>
      <c r="K175" s="4" t="str">
        <v>Amy Wilson</v>
      </c>
      <c r="L175" s="4" t="str">
        <v>44</v>
      </c>
      <c r="M175" s="4" t="str">
        <v>Female</v>
      </c>
      <c r="N175" s="4" t="str">
        <v>Morrisburgh</v>
      </c>
      <c r="O175" s="4" t="str">
        <v>Indiana</v>
      </c>
      <c r="P175" s="4" t="str">
        <v>USA</v>
      </c>
      <c r="Q175" s="4" t="str">
        <v>Platinum</v>
      </c>
      <c r="S175" s="4" t="str">
        <v>CUST1171</v>
      </c>
      <c r="T175" s="4" t="str">
        <v>AMY WILSON</v>
      </c>
      <c r="U175" s="4" t="str">
        <v>44</v>
      </c>
      <c r="V175" s="4" t="str">
        <v>FEMALE</v>
      </c>
      <c r="W175" s="4" t="str">
        <v>MORRISBURGH</v>
      </c>
      <c r="X175" s="4" t="str">
        <v>INDIANA</v>
      </c>
      <c r="Y175" s="4" t="str">
        <v>USA</v>
      </c>
      <c r="Z175" s="4" t="str">
        <v>PLATINUM</v>
      </c>
    </row>
    <row r="176" spans="1:26" x14ac:dyDescent="0.25">
      <c r="A176" t="s">
        <v>578</v>
      </c>
      <c r="B176" t="s">
        <v>579</v>
      </c>
      <c r="C176">
        <v>41</v>
      </c>
      <c r="D176" t="s">
        <v>16</v>
      </c>
      <c r="E176" t="s">
        <v>580</v>
      </c>
      <c r="F176" t="s">
        <v>45</v>
      </c>
      <c r="G176" t="s">
        <v>13</v>
      </c>
      <c r="H176" t="s">
        <v>28</v>
      </c>
      <c r="J176" s="4" t="str">
        <v>CUST1172</v>
      </c>
      <c r="K176" s="4" t="str">
        <v>Thomas Rhodes</v>
      </c>
      <c r="L176" s="4" t="str">
        <v>41</v>
      </c>
      <c r="M176" s="4" t="str">
        <v>Female</v>
      </c>
      <c r="N176" s="4" t="str">
        <v>Port Richard</v>
      </c>
      <c r="O176" s="4" t="str">
        <v>West Virginia</v>
      </c>
      <c r="P176" s="4" t="str">
        <v>USA</v>
      </c>
      <c r="Q176" s="4" t="str">
        <v>Bronze</v>
      </c>
      <c r="S176" s="4" t="str">
        <v>CUST1172</v>
      </c>
      <c r="T176" s="4" t="str">
        <v>THOMAS RHODES</v>
      </c>
      <c r="U176" s="4" t="str">
        <v>41</v>
      </c>
      <c r="V176" s="4" t="str">
        <v>FEMALE</v>
      </c>
      <c r="W176" s="4" t="str">
        <v>PORT RICHARD</v>
      </c>
      <c r="X176" s="4" t="str">
        <v>WEST VIRGINIA</v>
      </c>
      <c r="Y176" s="4" t="str">
        <v>USA</v>
      </c>
      <c r="Z176" s="4" t="str">
        <v>BRONZE</v>
      </c>
    </row>
    <row r="177" spans="1:26" x14ac:dyDescent="0.25">
      <c r="A177" t="s">
        <v>581</v>
      </c>
      <c r="B177" t="s">
        <v>582</v>
      </c>
      <c r="C177">
        <v>41</v>
      </c>
      <c r="D177" t="s">
        <v>16</v>
      </c>
      <c r="E177" t="s">
        <v>402</v>
      </c>
      <c r="F177" t="s">
        <v>271</v>
      </c>
      <c r="G177" t="s">
        <v>583</v>
      </c>
      <c r="H177" t="s">
        <v>19</v>
      </c>
      <c r="J177" s="4" t="str">
        <v>CUST1173</v>
      </c>
      <c r="K177" s="4" t="str">
        <v>Teresa Stokes</v>
      </c>
      <c r="L177" s="4" t="str">
        <v>41</v>
      </c>
      <c r="M177" s="4" t="str">
        <v>Female</v>
      </c>
      <c r="N177" s="4" t="str">
        <v>New William</v>
      </c>
      <c r="O177" s="4" t="str">
        <v>Iowa</v>
      </c>
      <c r="P177" s="4" t="str">
        <v>usa</v>
      </c>
      <c r="Q177" s="4" t="str">
        <v>Platinum</v>
      </c>
      <c r="S177" s="4" t="str">
        <v>CUST1173</v>
      </c>
      <c r="T177" s="4" t="str">
        <v>TERESA STOKES</v>
      </c>
      <c r="U177" s="4" t="str">
        <v>41</v>
      </c>
      <c r="V177" s="4" t="str">
        <v>FEMALE</v>
      </c>
      <c r="W177" s="4" t="str">
        <v>NEW WILLIAM</v>
      </c>
      <c r="X177" s="4" t="str">
        <v>IOWA</v>
      </c>
      <c r="Y177" s="4" t="str">
        <v>USA</v>
      </c>
      <c r="Z177" s="4" t="str">
        <v>PLATINUM</v>
      </c>
    </row>
    <row r="178" spans="1:26" x14ac:dyDescent="0.25">
      <c r="A178" t="s">
        <v>584</v>
      </c>
      <c r="B178" t="s">
        <v>585</v>
      </c>
      <c r="C178">
        <v>26</v>
      </c>
      <c r="D178" t="s">
        <v>16</v>
      </c>
      <c r="E178" t="s">
        <v>586</v>
      </c>
      <c r="F178" t="s">
        <v>175</v>
      </c>
      <c r="G178" t="s">
        <v>13</v>
      </c>
      <c r="H178" t="s">
        <v>50</v>
      </c>
      <c r="J178" s="4" t="str">
        <v>CUST1174</v>
      </c>
      <c r="K178" s="4" t="str">
        <v>Maria Davis</v>
      </c>
      <c r="L178" s="4" t="str">
        <v>26</v>
      </c>
      <c r="M178" s="4" t="str">
        <v>Female</v>
      </c>
      <c r="N178" s="4" t="str">
        <v>Avilahaven</v>
      </c>
      <c r="O178" s="4" t="str">
        <v>Vermont</v>
      </c>
      <c r="P178" s="4" t="str">
        <v>USA</v>
      </c>
      <c r="Q178" s="4" t="str">
        <v>Gold</v>
      </c>
      <c r="S178" s="4" t="str">
        <v>CUST1174</v>
      </c>
      <c r="T178" s="4" t="str">
        <v>MARIA DAVIS</v>
      </c>
      <c r="U178" s="4" t="str">
        <v>26</v>
      </c>
      <c r="V178" s="4" t="str">
        <v>FEMALE</v>
      </c>
      <c r="W178" s="4" t="str">
        <v>AVILAHAVEN</v>
      </c>
      <c r="X178" s="4" t="str">
        <v>VERMONT</v>
      </c>
      <c r="Y178" s="4" t="str">
        <v>USA</v>
      </c>
      <c r="Z178" s="4" t="str">
        <v>GOLD</v>
      </c>
    </row>
    <row r="179" spans="1:26" x14ac:dyDescent="0.25">
      <c r="A179" t="s">
        <v>587</v>
      </c>
      <c r="B179" t="s">
        <v>588</v>
      </c>
      <c r="C179">
        <v>56</v>
      </c>
      <c r="D179" t="s">
        <v>10</v>
      </c>
      <c r="E179" t="s">
        <v>589</v>
      </c>
      <c r="F179" t="s">
        <v>103</v>
      </c>
      <c r="G179" t="s">
        <v>13</v>
      </c>
      <c r="H179" t="s">
        <v>19</v>
      </c>
      <c r="J179" s="4" t="str">
        <v>CUST1175</v>
      </c>
      <c r="K179" s="4" t="str">
        <v>Michelle Rogers</v>
      </c>
      <c r="L179" s="4" t="str">
        <v>56</v>
      </c>
      <c r="M179" s="4" t="str">
        <v>Male</v>
      </c>
      <c r="N179" s="4" t="str">
        <v>East Jessicaborough</v>
      </c>
      <c r="O179" s="4" t="str">
        <v>Hawaii</v>
      </c>
      <c r="P179" s="4" t="str">
        <v>USA</v>
      </c>
      <c r="Q179" s="4" t="str">
        <v>Platinum</v>
      </c>
      <c r="S179" s="4" t="str">
        <v>CUST1175</v>
      </c>
      <c r="T179" s="4" t="str">
        <v>MICHELLE ROGERS</v>
      </c>
      <c r="U179" s="4" t="str">
        <v>56</v>
      </c>
      <c r="V179" s="4" t="str">
        <v>MALE</v>
      </c>
      <c r="W179" s="4" t="str">
        <v>EAST JESSICABOROUGH</v>
      </c>
      <c r="X179" s="4" t="str">
        <v>HAWAII</v>
      </c>
      <c r="Y179" s="4" t="str">
        <v>USA</v>
      </c>
      <c r="Z179" s="4" t="str">
        <v>PLATINUM</v>
      </c>
    </row>
    <row r="180" spans="1:26" x14ac:dyDescent="0.25">
      <c r="A180" t="s">
        <v>590</v>
      </c>
      <c r="B180" t="s">
        <v>591</v>
      </c>
      <c r="C180">
        <v>48</v>
      </c>
      <c r="D180" t="s">
        <v>10</v>
      </c>
      <c r="E180" t="s">
        <v>592</v>
      </c>
      <c r="F180" t="s">
        <v>175</v>
      </c>
      <c r="G180" t="s">
        <v>13</v>
      </c>
      <c r="H180" t="s">
        <v>33</v>
      </c>
      <c r="J180" s="4" t="str">
        <v>CUST1176</v>
      </c>
      <c r="K180" s="4" t="str">
        <v>John Bradford</v>
      </c>
      <c r="L180" s="4" t="str">
        <v>48</v>
      </c>
      <c r="M180" s="4" t="str">
        <v>Male</v>
      </c>
      <c r="N180" s="4" t="str">
        <v>Anabury</v>
      </c>
      <c r="O180" s="4" t="str">
        <v>Vermont</v>
      </c>
      <c r="P180" s="4" t="str">
        <v>USA</v>
      </c>
      <c r="Q180" s="4" t="str">
        <v>Silver</v>
      </c>
      <c r="S180" s="4" t="str">
        <v>CUST1176</v>
      </c>
      <c r="T180" s="4" t="str">
        <v>JOHN BRADFORD</v>
      </c>
      <c r="U180" s="4" t="str">
        <v>48</v>
      </c>
      <c r="V180" s="4" t="str">
        <v>MALE</v>
      </c>
      <c r="W180" s="4" t="str">
        <v>ANABURY</v>
      </c>
      <c r="X180" s="4" t="str">
        <v>VERMONT</v>
      </c>
      <c r="Y180" s="4" t="str">
        <v>USA</v>
      </c>
      <c r="Z180" s="4" t="str">
        <v>SILVER</v>
      </c>
    </row>
    <row r="181" spans="1:26" x14ac:dyDescent="0.25">
      <c r="A181" t="s">
        <v>593</v>
      </c>
      <c r="B181" t="s">
        <v>594</v>
      </c>
      <c r="C181">
        <v>55</v>
      </c>
      <c r="D181" t="s">
        <v>10</v>
      </c>
      <c r="E181" t="s">
        <v>595</v>
      </c>
      <c r="F181" t="s">
        <v>596</v>
      </c>
      <c r="G181" t="s">
        <v>13</v>
      </c>
      <c r="H181" t="s">
        <v>19</v>
      </c>
      <c r="J181" s="4" t="str">
        <v>CUST1177</v>
      </c>
      <c r="K181" s="4" t="str">
        <v>Curtis Lam</v>
      </c>
      <c r="L181" s="4" t="str">
        <v>55</v>
      </c>
      <c r="M181" s="4" t="str">
        <v>Male</v>
      </c>
      <c r="N181" s="4" t="str">
        <v>Butlerberg</v>
      </c>
      <c r="O181" s="4" t="str">
        <v>Kentucky</v>
      </c>
      <c r="P181" s="4" t="str">
        <v>USA</v>
      </c>
      <c r="Q181" s="4" t="str">
        <v>Platinum</v>
      </c>
      <c r="S181" s="4" t="str">
        <v>CUST1177</v>
      </c>
      <c r="T181" s="4" t="str">
        <v>CURTIS LAM</v>
      </c>
      <c r="U181" s="4" t="str">
        <v>55</v>
      </c>
      <c r="V181" s="4" t="str">
        <v>MALE</v>
      </c>
      <c r="W181" s="4" t="str">
        <v>BUTLERBERG</v>
      </c>
      <c r="X181" s="4" t="str">
        <v>KENTUCKY</v>
      </c>
      <c r="Y181" s="4" t="str">
        <v>USA</v>
      </c>
      <c r="Z181" s="4" t="str">
        <v>PLATINUM</v>
      </c>
    </row>
    <row r="182" spans="1:26" x14ac:dyDescent="0.25">
      <c r="A182" t="s">
        <v>597</v>
      </c>
      <c r="B182" t="s">
        <v>598</v>
      </c>
      <c r="C182">
        <v>33</v>
      </c>
      <c r="D182" t="s">
        <v>16</v>
      </c>
      <c r="E182" t="s">
        <v>599</v>
      </c>
      <c r="F182" t="s">
        <v>321</v>
      </c>
      <c r="G182" t="s">
        <v>13</v>
      </c>
      <c r="H182" t="s">
        <v>28</v>
      </c>
      <c r="J182" s="4" t="str">
        <v>CUST1178</v>
      </c>
      <c r="K182" s="4" t="str">
        <v>Michelle Myers</v>
      </c>
      <c r="L182" s="4" t="str">
        <v>33</v>
      </c>
      <c r="M182" s="4" t="str">
        <v>Female</v>
      </c>
      <c r="N182" s="4" t="str">
        <v>West Daniel</v>
      </c>
      <c r="O182" s="4" t="str">
        <v>South Carolina</v>
      </c>
      <c r="P182" s="4" t="str">
        <v>USA</v>
      </c>
      <c r="Q182" s="4" t="str">
        <v>Bronze</v>
      </c>
      <c r="S182" s="4" t="str">
        <v>CUST1178</v>
      </c>
      <c r="T182" s="4" t="str">
        <v>MICHELLE MYERS</v>
      </c>
      <c r="U182" s="4" t="str">
        <v>33</v>
      </c>
      <c r="V182" s="4" t="str">
        <v>FEMALE</v>
      </c>
      <c r="W182" s="4" t="str">
        <v>WEST DANIEL</v>
      </c>
      <c r="X182" s="4" t="str">
        <v>SOUTH CAROLINA</v>
      </c>
      <c r="Y182" s="4" t="str">
        <v>USA</v>
      </c>
      <c r="Z182" s="4" t="str">
        <v>BRONZE</v>
      </c>
    </row>
    <row r="183" spans="1:26" x14ac:dyDescent="0.25">
      <c r="A183" t="s">
        <v>600</v>
      </c>
      <c r="B183" t="s">
        <v>601</v>
      </c>
      <c r="C183">
        <v>43</v>
      </c>
      <c r="D183" t="s">
        <v>16</v>
      </c>
      <c r="E183" t="s">
        <v>602</v>
      </c>
      <c r="F183" t="s">
        <v>121</v>
      </c>
      <c r="G183" t="s">
        <v>13</v>
      </c>
      <c r="H183" t="s">
        <v>33</v>
      </c>
      <c r="J183" s="4" t="str">
        <v>CUST1179</v>
      </c>
      <c r="K183" s="4" t="str">
        <v>Nicholas Bradshaw</v>
      </c>
      <c r="L183" s="4" t="str">
        <v>43</v>
      </c>
      <c r="M183" s="4" t="str">
        <v>Female</v>
      </c>
      <c r="N183" s="4" t="str">
        <v>Murphyfurt</v>
      </c>
      <c r="O183" s="4" t="str">
        <v>Utah</v>
      </c>
      <c r="P183" s="4" t="str">
        <v>USA</v>
      </c>
      <c r="Q183" s="4" t="str">
        <v>Silver</v>
      </c>
      <c r="S183" s="4" t="str">
        <v>CUST1179</v>
      </c>
      <c r="T183" s="4" t="str">
        <v>NICHOLAS BRADSHAW</v>
      </c>
      <c r="U183" s="4" t="str">
        <v>43</v>
      </c>
      <c r="V183" s="4" t="str">
        <v>FEMALE</v>
      </c>
      <c r="W183" s="4" t="str">
        <v>MURPHYFURT</v>
      </c>
      <c r="X183" s="4" t="str">
        <v>UTAH</v>
      </c>
      <c r="Y183" s="4" t="str">
        <v>USA</v>
      </c>
      <c r="Z183" s="4" t="str">
        <v>SILVER</v>
      </c>
    </row>
    <row r="184" spans="1:26" x14ac:dyDescent="0.25">
      <c r="A184" t="s">
        <v>603</v>
      </c>
      <c r="B184" t="s">
        <v>604</v>
      </c>
      <c r="C184">
        <v>38</v>
      </c>
      <c r="D184" t="s">
        <v>10</v>
      </c>
      <c r="E184" t="s">
        <v>605</v>
      </c>
      <c r="F184" t="s">
        <v>439</v>
      </c>
      <c r="G184" t="s">
        <v>13</v>
      </c>
      <c r="H184" t="s">
        <v>28</v>
      </c>
      <c r="J184" s="4" t="str">
        <v>CUST1180</v>
      </c>
      <c r="K184" s="4" t="str">
        <v>Wesley Thompson</v>
      </c>
      <c r="L184" s="4" t="str">
        <v>38</v>
      </c>
      <c r="M184" s="4" t="str">
        <v>Male</v>
      </c>
      <c r="N184" s="4" t="str">
        <v>East Davidmouth</v>
      </c>
      <c r="O184" s="4" t="str">
        <v>Maine</v>
      </c>
      <c r="P184" s="4" t="str">
        <v>USA</v>
      </c>
      <c r="Q184" s="4" t="str">
        <v>Bronze</v>
      </c>
      <c r="S184" s="4" t="str">
        <v>CUST1180</v>
      </c>
      <c r="T184" s="4" t="str">
        <v>WESLEY THOMPSON</v>
      </c>
      <c r="U184" s="4" t="str">
        <v>38</v>
      </c>
      <c r="V184" s="4" t="str">
        <v>MALE</v>
      </c>
      <c r="W184" s="4" t="str">
        <v>EAST DAVIDMOUTH</v>
      </c>
      <c r="X184" s="4" t="str">
        <v>MAINE</v>
      </c>
      <c r="Y184" s="4" t="str">
        <v>USA</v>
      </c>
      <c r="Z184" s="4" t="str">
        <v>BRONZE</v>
      </c>
    </row>
    <row r="185" spans="1:26" x14ac:dyDescent="0.25">
      <c r="A185" t="s">
        <v>606</v>
      </c>
      <c r="B185" t="s">
        <v>607</v>
      </c>
      <c r="C185">
        <v>60</v>
      </c>
      <c r="D185" t="s">
        <v>10</v>
      </c>
      <c r="E185" t="s">
        <v>608</v>
      </c>
      <c r="F185" t="s">
        <v>61</v>
      </c>
      <c r="G185" t="s">
        <v>13</v>
      </c>
      <c r="H185" t="s">
        <v>28</v>
      </c>
      <c r="J185" s="4" t="str">
        <v>CUST1181</v>
      </c>
      <c r="K185" s="4" t="str">
        <v>Erin Ward</v>
      </c>
      <c r="L185" s="4" t="str">
        <v>60</v>
      </c>
      <c r="M185" s="4" t="str">
        <v>Male</v>
      </c>
      <c r="N185" s="4" t="str">
        <v>New Brianchester</v>
      </c>
      <c r="O185" s="4" t="str">
        <v>New York</v>
      </c>
      <c r="P185" s="4" t="str">
        <v>USA</v>
      </c>
      <c r="Q185" s="4" t="str">
        <v>Bronze</v>
      </c>
      <c r="S185" s="4" t="str">
        <v>CUST1181</v>
      </c>
      <c r="T185" s="4" t="str">
        <v>ERIN WARD</v>
      </c>
      <c r="U185" s="4" t="str">
        <v>60</v>
      </c>
      <c r="V185" s="4" t="str">
        <v>MALE</v>
      </c>
      <c r="W185" s="4" t="str">
        <v>NEW BRIANCHESTER</v>
      </c>
      <c r="X185" s="4" t="str">
        <v>NEW YORK</v>
      </c>
      <c r="Y185" s="4" t="str">
        <v>USA</v>
      </c>
      <c r="Z185" s="4" t="str">
        <v>BRONZE</v>
      </c>
    </row>
    <row r="186" spans="1:26" x14ac:dyDescent="0.25">
      <c r="A186" t="s">
        <v>609</v>
      </c>
      <c r="B186" t="s">
        <v>610</v>
      </c>
      <c r="C186">
        <v>23</v>
      </c>
      <c r="D186" t="s">
        <v>16</v>
      </c>
      <c r="E186" t="s">
        <v>611</v>
      </c>
      <c r="F186" t="s">
        <v>99</v>
      </c>
      <c r="G186" t="s">
        <v>13</v>
      </c>
      <c r="H186" t="s">
        <v>33</v>
      </c>
      <c r="J186" s="4" t="str">
        <v>CUST1182</v>
      </c>
      <c r="K186" s="4" t="str">
        <v>Melissa Hamilton</v>
      </c>
      <c r="L186" s="4" t="str">
        <v>23</v>
      </c>
      <c r="M186" s="4" t="str">
        <v>Female</v>
      </c>
      <c r="N186" s="4" t="str">
        <v>Hutchinsonville</v>
      </c>
      <c r="O186" s="4" t="str">
        <v>Oklahoma</v>
      </c>
      <c r="P186" s="4" t="str">
        <v>USA</v>
      </c>
      <c r="Q186" s="4" t="str">
        <v>Silver</v>
      </c>
      <c r="S186" s="4" t="str">
        <v>CUST1182</v>
      </c>
      <c r="T186" s="4" t="str">
        <v>MELISSA HAMILTON</v>
      </c>
      <c r="U186" s="4" t="str">
        <v>23</v>
      </c>
      <c r="V186" s="4" t="str">
        <v>FEMALE</v>
      </c>
      <c r="W186" s="4" t="str">
        <v>HUTCHINSONVILLE</v>
      </c>
      <c r="X186" s="4" t="str">
        <v>OKLAHOMA</v>
      </c>
      <c r="Y186" s="4" t="str">
        <v>USA</v>
      </c>
      <c r="Z186" s="4" t="str">
        <v>SILVER</v>
      </c>
    </row>
    <row r="187" spans="1:26" x14ac:dyDescent="0.25">
      <c r="A187" t="s">
        <v>612</v>
      </c>
      <c r="B187" t="s">
        <v>613</v>
      </c>
      <c r="C187">
        <v>18</v>
      </c>
      <c r="D187" t="s">
        <v>10</v>
      </c>
      <c r="E187" t="s">
        <v>614</v>
      </c>
      <c r="F187" t="s">
        <v>61</v>
      </c>
      <c r="G187" t="s">
        <v>13</v>
      </c>
      <c r="H187" t="s">
        <v>19</v>
      </c>
      <c r="J187" s="4" t="str">
        <v>CUST1183</v>
      </c>
      <c r="K187" s="4" t="str">
        <v>Mario Jacobs</v>
      </c>
      <c r="L187" s="4" t="str">
        <v>18</v>
      </c>
      <c r="M187" s="4" t="str">
        <v>Male</v>
      </c>
      <c r="N187" s="4" t="str">
        <v>Port James</v>
      </c>
      <c r="O187" s="4" t="str">
        <v>New York</v>
      </c>
      <c r="P187" s="4" t="str">
        <v>USA</v>
      </c>
      <c r="Q187" s="4" t="str">
        <v>Platinum</v>
      </c>
      <c r="S187" s="4" t="str">
        <v>CUST1183</v>
      </c>
      <c r="T187" s="4" t="str">
        <v>MARIO JACOBS</v>
      </c>
      <c r="U187" s="4" t="str">
        <v>18</v>
      </c>
      <c r="V187" s="4" t="str">
        <v>MALE</v>
      </c>
      <c r="W187" s="4" t="str">
        <v>PORT JAMES</v>
      </c>
      <c r="X187" s="4" t="str">
        <v>NEW YORK</v>
      </c>
      <c r="Y187" s="4" t="str">
        <v>USA</v>
      </c>
      <c r="Z187" s="4" t="str">
        <v>PLATINUM</v>
      </c>
    </row>
    <row r="188" spans="1:26" x14ac:dyDescent="0.25">
      <c r="A188" t="s">
        <v>615</v>
      </c>
      <c r="B188" t="s">
        <v>616</v>
      </c>
      <c r="C188">
        <v>46</v>
      </c>
      <c r="D188" t="s">
        <v>16</v>
      </c>
      <c r="E188" t="s">
        <v>617</v>
      </c>
      <c r="F188" t="s">
        <v>18</v>
      </c>
      <c r="G188" t="s">
        <v>13</v>
      </c>
      <c r="H188" t="s">
        <v>33</v>
      </c>
      <c r="J188" s="4" t="str">
        <v>CUST1184</v>
      </c>
      <c r="K188" s="4" t="str">
        <v>Leonard Cochran</v>
      </c>
      <c r="L188" s="4" t="str">
        <v>46</v>
      </c>
      <c r="M188" s="4" t="str">
        <v>Female</v>
      </c>
      <c r="N188" s="4" t="str">
        <v>Port Sherryview</v>
      </c>
      <c r="O188" s="4" t="str">
        <v>North Dakota</v>
      </c>
      <c r="P188" s="4" t="str">
        <v>USA</v>
      </c>
      <c r="Q188" s="4" t="str">
        <v>Silver</v>
      </c>
      <c r="S188" s="4" t="str">
        <v>CUST1184</v>
      </c>
      <c r="T188" s="4" t="str">
        <v>LEONARD COCHRAN</v>
      </c>
      <c r="U188" s="4" t="str">
        <v>46</v>
      </c>
      <c r="V188" s="4" t="str">
        <v>FEMALE</v>
      </c>
      <c r="W188" s="4" t="str">
        <v>PORT SHERRYVIEW</v>
      </c>
      <c r="X188" s="4" t="str">
        <v>NORTH DAKOTA</v>
      </c>
      <c r="Y188" s="4" t="str">
        <v>USA</v>
      </c>
      <c r="Z188" s="4" t="str">
        <v>SILVER</v>
      </c>
    </row>
    <row r="189" spans="1:26" x14ac:dyDescent="0.25">
      <c r="A189" t="s">
        <v>618</v>
      </c>
      <c r="B189" t="s">
        <v>619</v>
      </c>
      <c r="C189">
        <v>54</v>
      </c>
      <c r="D189" t="s">
        <v>16</v>
      </c>
      <c r="E189" t="s">
        <v>620</v>
      </c>
      <c r="F189" t="s">
        <v>91</v>
      </c>
      <c r="G189" t="s">
        <v>13</v>
      </c>
      <c r="H189" t="s">
        <v>19</v>
      </c>
      <c r="J189" s="4" t="str">
        <v>CUST1185</v>
      </c>
      <c r="K189" s="4" t="str">
        <v>Brent Rivas</v>
      </c>
      <c r="L189" s="4" t="str">
        <v>54</v>
      </c>
      <c r="M189" s="4" t="str">
        <v>Female</v>
      </c>
      <c r="N189" s="4" t="str">
        <v>North Kellyberg</v>
      </c>
      <c r="O189" s="4" t="str">
        <v>New Jersey</v>
      </c>
      <c r="P189" s="4" t="str">
        <v>USA</v>
      </c>
      <c r="Q189" s="4" t="str">
        <v>Platinum</v>
      </c>
      <c r="S189" s="4" t="str">
        <v>CUST1185</v>
      </c>
      <c r="T189" s="4" t="str">
        <v>BRENT RIVAS</v>
      </c>
      <c r="U189" s="4" t="str">
        <v>54</v>
      </c>
      <c r="V189" s="4" t="str">
        <v>FEMALE</v>
      </c>
      <c r="W189" s="4" t="str">
        <v>NORTH KELLYBERG</v>
      </c>
      <c r="X189" s="4" t="str">
        <v>NEW JERSEY</v>
      </c>
      <c r="Y189" s="4" t="str">
        <v>USA</v>
      </c>
      <c r="Z189" s="4" t="str">
        <v>PLATINUM</v>
      </c>
    </row>
    <row r="190" spans="1:26" x14ac:dyDescent="0.25">
      <c r="A190" t="s">
        <v>621</v>
      </c>
      <c r="B190" t="s">
        <v>622</v>
      </c>
      <c r="C190">
        <v>53</v>
      </c>
      <c r="D190" t="s">
        <v>10</v>
      </c>
      <c r="E190" t="s">
        <v>623</v>
      </c>
      <c r="F190" t="s">
        <v>117</v>
      </c>
      <c r="G190" t="s">
        <v>13</v>
      </c>
      <c r="H190" t="s">
        <v>33</v>
      </c>
      <c r="J190" s="4" t="str">
        <v>CUST1186</v>
      </c>
      <c r="K190" s="4" t="str">
        <v>Jennifer Pruitt</v>
      </c>
      <c r="L190" s="4" t="str">
        <v>53</v>
      </c>
      <c r="M190" s="4" t="str">
        <v>Male</v>
      </c>
      <c r="N190" s="4" t="str">
        <v>East Justin</v>
      </c>
      <c r="O190" s="4" t="str">
        <v>Missouri</v>
      </c>
      <c r="P190" s="4" t="str">
        <v>USA</v>
      </c>
      <c r="Q190" s="4" t="str">
        <v>Silver</v>
      </c>
      <c r="S190" s="4" t="str">
        <v>CUST1186</v>
      </c>
      <c r="T190" s="4" t="str">
        <v>JENNIFER PRUITT</v>
      </c>
      <c r="U190" s="4" t="str">
        <v>53</v>
      </c>
      <c r="V190" s="4" t="str">
        <v>MALE</v>
      </c>
      <c r="W190" s="4" t="str">
        <v>EAST JUSTIN</v>
      </c>
      <c r="X190" s="4" t="str">
        <v>MISSOURI</v>
      </c>
      <c r="Y190" s="4" t="str">
        <v>USA</v>
      </c>
      <c r="Z190" s="4" t="str">
        <v>SILVER</v>
      </c>
    </row>
    <row r="191" spans="1:26" x14ac:dyDescent="0.25">
      <c r="A191" t="s">
        <v>624</v>
      </c>
      <c r="B191" t="s">
        <v>625</v>
      </c>
      <c r="C191">
        <v>60</v>
      </c>
      <c r="D191" t="s">
        <v>16</v>
      </c>
      <c r="E191" t="s">
        <v>626</v>
      </c>
      <c r="F191" t="s">
        <v>23</v>
      </c>
      <c r="G191" t="s">
        <v>13</v>
      </c>
      <c r="H191" t="s">
        <v>19</v>
      </c>
      <c r="J191" s="4" t="str">
        <v>CUST1187</v>
      </c>
      <c r="K191" s="4" t="str">
        <v>Dr. Suzanne Bullock</v>
      </c>
      <c r="L191" s="4" t="str">
        <v>60</v>
      </c>
      <c r="M191" s="4" t="str">
        <v>Female</v>
      </c>
      <c r="N191" s="4" t="str">
        <v>Lake Blaketon</v>
      </c>
      <c r="O191" s="4" t="str">
        <v>Alabama</v>
      </c>
      <c r="P191" s="4" t="str">
        <v>USA</v>
      </c>
      <c r="Q191" s="4" t="str">
        <v>Platinum</v>
      </c>
      <c r="S191" s="4" t="str">
        <v>CUST1187</v>
      </c>
      <c r="T191" s="4" t="str">
        <v>DR. SUZANNE BULLOCK</v>
      </c>
      <c r="U191" s="4" t="str">
        <v>60</v>
      </c>
      <c r="V191" s="4" t="str">
        <v>FEMALE</v>
      </c>
      <c r="W191" s="4" t="str">
        <v>LAKE BLAKETON</v>
      </c>
      <c r="X191" s="4" t="str">
        <v>ALABAMA</v>
      </c>
      <c r="Y191" s="4" t="str">
        <v>USA</v>
      </c>
      <c r="Z191" s="4" t="str">
        <v>PLATINUM</v>
      </c>
    </row>
    <row r="192" spans="1:26" x14ac:dyDescent="0.25">
      <c r="A192" t="s">
        <v>627</v>
      </c>
      <c r="B192" t="s">
        <v>628</v>
      </c>
      <c r="C192">
        <v>42</v>
      </c>
      <c r="D192" t="s">
        <v>10</v>
      </c>
      <c r="E192" t="s">
        <v>629</v>
      </c>
      <c r="F192" t="s">
        <v>237</v>
      </c>
      <c r="G192" t="s">
        <v>13</v>
      </c>
      <c r="H192" t="s">
        <v>33</v>
      </c>
      <c r="J192" s="4" t="str">
        <v>CUST1188</v>
      </c>
      <c r="K192" s="4" t="str">
        <v>Kimberly Brooks</v>
      </c>
      <c r="L192" s="4" t="str">
        <v>42</v>
      </c>
      <c r="M192" s="4" t="str">
        <v>Male</v>
      </c>
      <c r="N192" s="4" t="str">
        <v>Kingfort</v>
      </c>
      <c r="O192" s="4" t="str">
        <v>New Mexico</v>
      </c>
      <c r="P192" s="4" t="str">
        <v>USA</v>
      </c>
      <c r="Q192" s="4" t="str">
        <v>Silver</v>
      </c>
      <c r="S192" s="4" t="str">
        <v>CUST1188</v>
      </c>
      <c r="T192" s="4" t="str">
        <v>KIMBERLY BROOKS</v>
      </c>
      <c r="U192" s="4" t="str">
        <v>42</v>
      </c>
      <c r="V192" s="4" t="str">
        <v>MALE</v>
      </c>
      <c r="W192" s="4" t="str">
        <v>KINGFORT</v>
      </c>
      <c r="X192" s="4" t="str">
        <v>NEW MEXICO</v>
      </c>
      <c r="Y192" s="4" t="str">
        <v>USA</v>
      </c>
      <c r="Z192" s="4" t="str">
        <v>SILVER</v>
      </c>
    </row>
    <row r="193" spans="1:26" x14ac:dyDescent="0.25">
      <c r="A193" t="s">
        <v>630</v>
      </c>
      <c r="B193" t="s">
        <v>631</v>
      </c>
      <c r="C193">
        <v>29</v>
      </c>
      <c r="D193" t="s">
        <v>10</v>
      </c>
      <c r="E193" t="s">
        <v>632</v>
      </c>
      <c r="F193" t="s">
        <v>596</v>
      </c>
      <c r="G193" t="s">
        <v>13</v>
      </c>
      <c r="H193" t="s">
        <v>50</v>
      </c>
      <c r="J193" s="4" t="str">
        <v>CUST1189</v>
      </c>
      <c r="K193" s="4" t="str">
        <v>Daniel Austin</v>
      </c>
      <c r="L193" s="4" t="str">
        <v>29</v>
      </c>
      <c r="M193" s="4" t="str">
        <v>Male</v>
      </c>
      <c r="N193" s="4" t="str">
        <v>Lake Howardberg</v>
      </c>
      <c r="O193" s="4" t="str">
        <v>Kentucky</v>
      </c>
      <c r="P193" s="4" t="str">
        <v>USA</v>
      </c>
      <c r="Q193" s="4" t="str">
        <v>Gold</v>
      </c>
      <c r="S193" s="4" t="str">
        <v>CUST1189</v>
      </c>
      <c r="T193" s="4" t="str">
        <v>DANIEL AUSTIN</v>
      </c>
      <c r="U193" s="4" t="str">
        <v>29</v>
      </c>
      <c r="V193" s="4" t="str">
        <v>MALE</v>
      </c>
      <c r="W193" s="4" t="str">
        <v>LAKE HOWARDBERG</v>
      </c>
      <c r="X193" s="4" t="str">
        <v>KENTUCKY</v>
      </c>
      <c r="Y193" s="4" t="str">
        <v>USA</v>
      </c>
      <c r="Z193" s="4" t="str">
        <v>GOLD</v>
      </c>
    </row>
    <row r="194" spans="1:26" x14ac:dyDescent="0.25">
      <c r="A194" t="s">
        <v>633</v>
      </c>
      <c r="B194" t="s">
        <v>634</v>
      </c>
      <c r="C194">
        <v>21</v>
      </c>
      <c r="D194" t="s">
        <v>10</v>
      </c>
      <c r="E194" t="s">
        <v>635</v>
      </c>
      <c r="F194" t="s">
        <v>61</v>
      </c>
      <c r="G194" t="s">
        <v>13</v>
      </c>
      <c r="H194" t="s">
        <v>28</v>
      </c>
      <c r="J194" s="4" t="str">
        <v>CUST1190</v>
      </c>
      <c r="K194" s="4" t="str">
        <v>Christopher Stewart</v>
      </c>
      <c r="L194" s="4" t="str">
        <v>21</v>
      </c>
      <c r="M194" s="4" t="str">
        <v>Male</v>
      </c>
      <c r="N194" s="4" t="str">
        <v>Amandaside</v>
      </c>
      <c r="O194" s="4" t="str">
        <v>New York</v>
      </c>
      <c r="P194" s="4" t="str">
        <v>USA</v>
      </c>
      <c r="Q194" s="4" t="str">
        <v>Bronze</v>
      </c>
      <c r="S194" s="4" t="str">
        <v>CUST1190</v>
      </c>
      <c r="T194" s="4" t="str">
        <v>CHRISTOPHER STEWART</v>
      </c>
      <c r="U194" s="4" t="str">
        <v>21</v>
      </c>
      <c r="V194" s="4" t="str">
        <v>MALE</v>
      </c>
      <c r="W194" s="4" t="str">
        <v>AMANDASIDE</v>
      </c>
      <c r="X194" s="4" t="str">
        <v>NEW YORK</v>
      </c>
      <c r="Y194" s="4" t="str">
        <v>USA</v>
      </c>
      <c r="Z194" s="4" t="str">
        <v>BRONZE</v>
      </c>
    </row>
    <row r="195" spans="1:26" x14ac:dyDescent="0.25">
      <c r="A195" t="s">
        <v>636</v>
      </c>
      <c r="B195" t="s">
        <v>637</v>
      </c>
      <c r="C195">
        <v>29</v>
      </c>
      <c r="D195" t="s">
        <v>16</v>
      </c>
      <c r="E195" t="s">
        <v>638</v>
      </c>
      <c r="F195" t="s">
        <v>27</v>
      </c>
      <c r="G195" t="s">
        <v>13</v>
      </c>
      <c r="H195" t="s">
        <v>28</v>
      </c>
      <c r="J195" s="4" t="str">
        <v>CUST1191</v>
      </c>
      <c r="K195" s="4" t="str">
        <v>Todd Poole</v>
      </c>
      <c r="L195" s="4" t="str">
        <v>29</v>
      </c>
      <c r="M195" s="4" t="str">
        <v>Female</v>
      </c>
      <c r="N195" s="4" t="str">
        <v>Johnsonshire</v>
      </c>
      <c r="O195" s="4" t="str">
        <v>Ohio</v>
      </c>
      <c r="P195" s="4" t="str">
        <v>USA</v>
      </c>
      <c r="Q195" s="4" t="str">
        <v>Bronze</v>
      </c>
      <c r="S195" s="4" t="str">
        <v>CUST1191</v>
      </c>
      <c r="T195" s="4" t="str">
        <v>TODD POOLE</v>
      </c>
      <c r="U195" s="4" t="str">
        <v>29</v>
      </c>
      <c r="V195" s="4" t="str">
        <v>FEMALE</v>
      </c>
      <c r="W195" s="4" t="str">
        <v>JOHNSONSHIRE</v>
      </c>
      <c r="X195" s="4" t="str">
        <v>OHIO</v>
      </c>
      <c r="Y195" s="4" t="str">
        <v>USA</v>
      </c>
      <c r="Z195" s="4" t="str">
        <v>BRONZE</v>
      </c>
    </row>
    <row r="196" spans="1:26" x14ac:dyDescent="0.25">
      <c r="A196" t="s">
        <v>639</v>
      </c>
      <c r="B196" t="s">
        <v>640</v>
      </c>
      <c r="C196">
        <v>26</v>
      </c>
      <c r="D196" t="s">
        <v>10</v>
      </c>
      <c r="E196" t="s">
        <v>641</v>
      </c>
      <c r="F196" t="s">
        <v>110</v>
      </c>
      <c r="G196" t="s">
        <v>13</v>
      </c>
      <c r="H196" t="s">
        <v>50</v>
      </c>
      <c r="J196" s="4" t="str">
        <v>CUST1192</v>
      </c>
      <c r="K196" s="4" t="str">
        <v>Jacob Wood</v>
      </c>
      <c r="L196" s="4" t="str">
        <v>26</v>
      </c>
      <c r="M196" s="4" t="str">
        <v>Male</v>
      </c>
      <c r="N196" s="4" t="str">
        <v>Lake Samanthafort</v>
      </c>
      <c r="O196" s="4" t="str">
        <v>Idaho</v>
      </c>
      <c r="P196" s="4" t="str">
        <v>USA</v>
      </c>
      <c r="Q196" s="4" t="str">
        <v>Gold</v>
      </c>
      <c r="S196" s="4" t="str">
        <v>CUST1192</v>
      </c>
      <c r="T196" s="4" t="str">
        <v>JACOB WOOD</v>
      </c>
      <c r="U196" s="4" t="str">
        <v>26</v>
      </c>
      <c r="V196" s="4" t="str">
        <v>MALE</v>
      </c>
      <c r="W196" s="4" t="str">
        <v>LAKE SAMANTHAFORT</v>
      </c>
      <c r="X196" s="4" t="str">
        <v>IDAHO</v>
      </c>
      <c r="Y196" s="4" t="str">
        <v>USA</v>
      </c>
      <c r="Z196" s="4" t="str">
        <v>GOLD</v>
      </c>
    </row>
    <row r="197" spans="1:26" x14ac:dyDescent="0.25">
      <c r="A197" t="s">
        <v>642</v>
      </c>
      <c r="B197" t="s">
        <v>643</v>
      </c>
      <c r="C197">
        <v>38</v>
      </c>
      <c r="D197" t="s">
        <v>10</v>
      </c>
      <c r="E197" t="s">
        <v>644</v>
      </c>
      <c r="F197" t="s">
        <v>84</v>
      </c>
      <c r="G197" t="s">
        <v>13</v>
      </c>
      <c r="H197" t="s">
        <v>50</v>
      </c>
      <c r="J197" s="4" t="str">
        <v>CUST1193</v>
      </c>
      <c r="K197" s="4" t="str">
        <v>David Roberts</v>
      </c>
      <c r="L197" s="4" t="str">
        <v>38</v>
      </c>
      <c r="M197" s="4" t="str">
        <v>Male</v>
      </c>
      <c r="N197" s="4" t="str">
        <v>Port Amanda</v>
      </c>
      <c r="O197" s="4" t="str">
        <v>Georgia</v>
      </c>
      <c r="P197" s="4" t="str">
        <v>USA</v>
      </c>
      <c r="Q197" s="4" t="str">
        <v>Gold</v>
      </c>
      <c r="S197" s="4" t="str">
        <v>CUST1193</v>
      </c>
      <c r="T197" s="4" t="str">
        <v>DAVID ROBERTS</v>
      </c>
      <c r="U197" s="4" t="str">
        <v>38</v>
      </c>
      <c r="V197" s="4" t="str">
        <v>MALE</v>
      </c>
      <c r="W197" s="4" t="str">
        <v>PORT AMANDA</v>
      </c>
      <c r="X197" s="4" t="str">
        <v>GEORGIA</v>
      </c>
      <c r="Y197" s="4" t="str">
        <v>USA</v>
      </c>
      <c r="Z197" s="4" t="str">
        <v>GOLD</v>
      </c>
    </row>
    <row r="198" spans="1:26" x14ac:dyDescent="0.25">
      <c r="A198" t="s">
        <v>645</v>
      </c>
      <c r="B198" t="s">
        <v>646</v>
      </c>
      <c r="C198">
        <v>46</v>
      </c>
      <c r="D198" t="s">
        <v>10</v>
      </c>
      <c r="E198" t="s">
        <v>647</v>
      </c>
      <c r="F198" t="s">
        <v>54</v>
      </c>
      <c r="G198" t="s">
        <v>13</v>
      </c>
      <c r="H198" t="s">
        <v>50</v>
      </c>
      <c r="J198" s="4" t="str">
        <v>CUST1194</v>
      </c>
      <c r="K198" s="4" t="str">
        <v>Ashley Ferguson</v>
      </c>
      <c r="L198" s="4" t="str">
        <v>46</v>
      </c>
      <c r="M198" s="4" t="str">
        <v>Male</v>
      </c>
      <c r="N198" s="4" t="str">
        <v>Sarahmouth</v>
      </c>
      <c r="O198" s="4" t="str">
        <v>Pennsylvania</v>
      </c>
      <c r="P198" s="4" t="str">
        <v>USA</v>
      </c>
      <c r="Q198" s="4" t="str">
        <v>Gold</v>
      </c>
      <c r="S198" s="4" t="str">
        <v>CUST1194</v>
      </c>
      <c r="T198" s="4" t="str">
        <v>ASHLEY FERGUSON</v>
      </c>
      <c r="U198" s="4" t="str">
        <v>46</v>
      </c>
      <c r="V198" s="4" t="str">
        <v>MALE</v>
      </c>
      <c r="W198" s="4" t="str">
        <v>SARAHMOUTH</v>
      </c>
      <c r="X198" s="4" t="str">
        <v>PENNSYLVANIA</v>
      </c>
      <c r="Y198" s="4" t="str">
        <v>USA</v>
      </c>
      <c r="Z198" s="4" t="str">
        <v>GOLD</v>
      </c>
    </row>
    <row r="199" spans="1:26" x14ac:dyDescent="0.25">
      <c r="A199" t="s">
        <v>648</v>
      </c>
      <c r="B199" t="s">
        <v>649</v>
      </c>
      <c r="C199">
        <v>60</v>
      </c>
      <c r="D199" t="s">
        <v>10</v>
      </c>
      <c r="E199" t="s">
        <v>650</v>
      </c>
      <c r="F199" t="s">
        <v>137</v>
      </c>
      <c r="G199" t="s">
        <v>13</v>
      </c>
      <c r="H199" t="s">
        <v>33</v>
      </c>
      <c r="J199" s="4" t="str">
        <v>CUST1195</v>
      </c>
      <c r="K199" s="4" t="str">
        <v>Anthony Garcia</v>
      </c>
      <c r="L199" s="4" t="str">
        <v>60</v>
      </c>
      <c r="M199" s="4" t="str">
        <v>Male</v>
      </c>
      <c r="N199" s="4" t="str">
        <v>Taraberg</v>
      </c>
      <c r="O199" s="4" t="str">
        <v>Arizona</v>
      </c>
      <c r="P199" s="4" t="str">
        <v>USA</v>
      </c>
      <c r="Q199" s="4" t="str">
        <v>Silver</v>
      </c>
      <c r="S199" s="4" t="str">
        <v>CUST1195</v>
      </c>
      <c r="T199" s="4" t="str">
        <v>ANTHONY GARCIA</v>
      </c>
      <c r="U199" s="4" t="str">
        <v>60</v>
      </c>
      <c r="V199" s="4" t="str">
        <v>MALE</v>
      </c>
      <c r="W199" s="4" t="str">
        <v>TARABERG</v>
      </c>
      <c r="X199" s="4" t="str">
        <v>ARIZONA</v>
      </c>
      <c r="Y199" s="4" t="str">
        <v>USA</v>
      </c>
      <c r="Z199" s="4" t="str">
        <v>SILVER</v>
      </c>
    </row>
    <row r="200" spans="1:26" x14ac:dyDescent="0.25">
      <c r="A200" t="s">
        <v>651</v>
      </c>
      <c r="B200" t="s">
        <v>652</v>
      </c>
      <c r="C200">
        <v>18</v>
      </c>
      <c r="D200" t="s">
        <v>16</v>
      </c>
      <c r="E200" t="s">
        <v>653</v>
      </c>
      <c r="F200" t="s">
        <v>167</v>
      </c>
      <c r="G200" t="s">
        <v>13</v>
      </c>
      <c r="H200" t="s">
        <v>19</v>
      </c>
      <c r="J200" s="4" t="str">
        <v>CUST1196</v>
      </c>
      <c r="K200" s="4" t="str">
        <v>Megan Greer</v>
      </c>
      <c r="L200" s="4" t="str">
        <v>18</v>
      </c>
      <c r="M200" s="4" t="str">
        <v>Female</v>
      </c>
      <c r="N200" s="4" t="str">
        <v>West John</v>
      </c>
      <c r="O200" s="4" t="str">
        <v>Alaska</v>
      </c>
      <c r="P200" s="4" t="str">
        <v>USA</v>
      </c>
      <c r="Q200" s="4" t="str">
        <v>Platinum</v>
      </c>
      <c r="S200" s="4" t="str">
        <v>CUST1196</v>
      </c>
      <c r="T200" s="4" t="str">
        <v>MEGAN GREER</v>
      </c>
      <c r="U200" s="4" t="str">
        <v>18</v>
      </c>
      <c r="V200" s="4" t="str">
        <v>FEMALE</v>
      </c>
      <c r="W200" s="4" t="str">
        <v>WEST JOHN</v>
      </c>
      <c r="X200" s="4" t="str">
        <v>ALASKA</v>
      </c>
      <c r="Y200" s="4" t="str">
        <v>USA</v>
      </c>
      <c r="Z200" s="4" t="str">
        <v>PLATINUM</v>
      </c>
    </row>
    <row r="201" spans="1:26" x14ac:dyDescent="0.25">
      <c r="A201" t="s">
        <v>654</v>
      </c>
      <c r="B201" t="s">
        <v>655</v>
      </c>
      <c r="C201">
        <v>45</v>
      </c>
      <c r="D201" t="s">
        <v>16</v>
      </c>
      <c r="E201" t="s">
        <v>211</v>
      </c>
      <c r="F201" t="s">
        <v>205</v>
      </c>
      <c r="G201" t="s">
        <v>13</v>
      </c>
      <c r="H201" t="s">
        <v>19</v>
      </c>
      <c r="J201" s="4" t="str">
        <v>CUST1197</v>
      </c>
      <c r="K201" s="4" t="str">
        <v>Andrea Jacobs</v>
      </c>
      <c r="L201" s="4" t="str">
        <v>45</v>
      </c>
      <c r="M201" s="4" t="str">
        <v>Female</v>
      </c>
      <c r="N201" s="4" t="str">
        <v>Christopherland</v>
      </c>
      <c r="O201" s="4" t="str">
        <v>Minnesota</v>
      </c>
      <c r="P201" s="4" t="str">
        <v>USA</v>
      </c>
      <c r="Q201" s="4" t="str">
        <v>Platinum</v>
      </c>
      <c r="S201" s="4" t="str">
        <v>CUST1197</v>
      </c>
      <c r="T201" s="4" t="str">
        <v>ANDREA JACOBS</v>
      </c>
      <c r="U201" s="4" t="str">
        <v>45</v>
      </c>
      <c r="V201" s="4" t="str">
        <v>FEMALE</v>
      </c>
      <c r="W201" s="4" t="str">
        <v>CHRISTOPHERLAND</v>
      </c>
      <c r="X201" s="4" t="str">
        <v>MINNESOTA</v>
      </c>
      <c r="Y201" s="4" t="str">
        <v>USA</v>
      </c>
      <c r="Z201" s="4" t="str">
        <v>PLATINUM</v>
      </c>
    </row>
    <row r="202" spans="1:26" x14ac:dyDescent="0.25">
      <c r="A202" t="s">
        <v>656</v>
      </c>
      <c r="B202" t="s">
        <v>657</v>
      </c>
      <c r="C202">
        <v>54</v>
      </c>
      <c r="D202" t="s">
        <v>10</v>
      </c>
      <c r="E202" t="s">
        <v>658</v>
      </c>
      <c r="F202" t="s">
        <v>175</v>
      </c>
      <c r="G202" t="s">
        <v>13</v>
      </c>
      <c r="H202" t="s">
        <v>28</v>
      </c>
      <c r="J202" s="4" t="str">
        <v>CUST1198</v>
      </c>
      <c r="K202" s="4" t="str">
        <v>Wanda Snyder</v>
      </c>
      <c r="L202" s="4" t="str">
        <v>54</v>
      </c>
      <c r="M202" s="4" t="str">
        <v>Male</v>
      </c>
      <c r="N202" s="4" t="str">
        <v>Frostmouth</v>
      </c>
      <c r="O202" s="4" t="str">
        <v>Vermont</v>
      </c>
      <c r="P202" s="4" t="str">
        <v>USA</v>
      </c>
      <c r="Q202" s="4" t="str">
        <v>Bronze</v>
      </c>
      <c r="S202" s="4" t="str">
        <v>CUST1198</v>
      </c>
      <c r="T202" s="4" t="str">
        <v>WANDA SNYDER</v>
      </c>
      <c r="U202" s="4" t="str">
        <v>54</v>
      </c>
      <c r="V202" s="4" t="str">
        <v>MALE</v>
      </c>
      <c r="W202" s="4" t="str">
        <v>FROSTMOUTH</v>
      </c>
      <c r="X202" s="4" t="str">
        <v>VERMONT</v>
      </c>
      <c r="Y202" s="4" t="str">
        <v>USA</v>
      </c>
      <c r="Z202" s="4" t="str">
        <v>BRONZE</v>
      </c>
    </row>
    <row r="203" spans="1:26" x14ac:dyDescent="0.25">
      <c r="A203" t="s">
        <v>659</v>
      </c>
      <c r="B203" t="s">
        <v>660</v>
      </c>
      <c r="C203">
        <v>46</v>
      </c>
      <c r="D203" t="s">
        <v>10</v>
      </c>
      <c r="E203" t="s">
        <v>661</v>
      </c>
      <c r="F203" t="s">
        <v>241</v>
      </c>
      <c r="G203" t="s">
        <v>13</v>
      </c>
      <c r="H203" t="s">
        <v>28</v>
      </c>
      <c r="J203" s="4" t="str">
        <v>CUST1199</v>
      </c>
      <c r="K203" s="4" t="str">
        <v>Carmen Price</v>
      </c>
      <c r="L203" s="4" t="str">
        <v>46</v>
      </c>
      <c r="M203" s="4" t="str">
        <v>Male</v>
      </c>
      <c r="N203" s="4" t="str">
        <v>North Briannamouth</v>
      </c>
      <c r="O203" s="4" t="str">
        <v>Tennessee</v>
      </c>
      <c r="P203" s="4" t="str">
        <v>USA</v>
      </c>
      <c r="Q203" s="4" t="str">
        <v>Bronze</v>
      </c>
      <c r="S203" s="4" t="str">
        <v>CUST1199</v>
      </c>
      <c r="T203" s="4" t="str">
        <v>CARMEN PRICE</v>
      </c>
      <c r="U203" s="4" t="str">
        <v>46</v>
      </c>
      <c r="V203" s="4" t="str">
        <v>MALE</v>
      </c>
      <c r="W203" s="4" t="str">
        <v>NORTH BRIANNAMOUTH</v>
      </c>
      <c r="X203" s="4" t="str">
        <v>TENNESSEE</v>
      </c>
      <c r="Y203" s="4" t="str">
        <v>USA</v>
      </c>
      <c r="Z203" s="4" t="str">
        <v>BRONZE</v>
      </c>
    </row>
    <row r="204" spans="1:26" x14ac:dyDescent="0.25">
      <c r="A204" t="s">
        <v>662</v>
      </c>
      <c r="B204" t="s">
        <v>663</v>
      </c>
      <c r="C204">
        <v>30</v>
      </c>
      <c r="D204" t="s">
        <v>10</v>
      </c>
      <c r="E204" t="s">
        <v>664</v>
      </c>
      <c r="F204" t="s">
        <v>439</v>
      </c>
      <c r="G204" t="s">
        <v>13</v>
      </c>
      <c r="H204" t="s">
        <v>19</v>
      </c>
      <c r="J204" s="4" t="str">
        <v>CUST1200</v>
      </c>
      <c r="K204" s="4" t="str">
        <v>Anna Perez</v>
      </c>
      <c r="L204" s="4" t="str">
        <v>30</v>
      </c>
      <c r="M204" s="4" t="str">
        <v>Male</v>
      </c>
      <c r="N204" s="4" t="str">
        <v>South Jerry</v>
      </c>
      <c r="O204" s="4" t="str">
        <v>Maine</v>
      </c>
      <c r="P204" s="4" t="str">
        <v>USA</v>
      </c>
      <c r="Q204" s="4" t="str">
        <v>Platinum</v>
      </c>
      <c r="S204" s="4" t="str">
        <v>CUST1200</v>
      </c>
      <c r="T204" s="4" t="str">
        <v>ANNA PEREZ</v>
      </c>
      <c r="U204" s="4" t="str">
        <v>30</v>
      </c>
      <c r="V204" s="4" t="str">
        <v>MALE</v>
      </c>
      <c r="W204" s="4" t="str">
        <v>SOUTH JERRY</v>
      </c>
      <c r="X204" s="4" t="str">
        <v>MAINE</v>
      </c>
      <c r="Y204" s="4" t="str">
        <v>USA</v>
      </c>
      <c r="Z204" s="4" t="str">
        <v>PLATINUM</v>
      </c>
    </row>
    <row r="205" spans="1:26" x14ac:dyDescent="0.25">
      <c r="A205" t="s">
        <v>665</v>
      </c>
      <c r="B205" t="s">
        <v>666</v>
      </c>
      <c r="C205">
        <v>25</v>
      </c>
      <c r="D205" t="s">
        <v>16</v>
      </c>
      <c r="E205" t="s">
        <v>667</v>
      </c>
      <c r="F205" t="s">
        <v>160</v>
      </c>
      <c r="G205" t="s">
        <v>13</v>
      </c>
      <c r="H205" t="s">
        <v>28</v>
      </c>
      <c r="J205" s="4" t="str">
        <v>CUST1201</v>
      </c>
      <c r="K205" s="4" t="str">
        <v>Mary Boyd</v>
      </c>
      <c r="L205" s="4" t="str">
        <v>25</v>
      </c>
      <c r="M205" s="4" t="str">
        <v>Female</v>
      </c>
      <c r="N205" s="4" t="str">
        <v>New Logan</v>
      </c>
      <c r="O205" s="4" t="str">
        <v>Michigan</v>
      </c>
      <c r="P205" s="4" t="str">
        <v>USA</v>
      </c>
      <c r="Q205" s="4" t="str">
        <v>Bronze</v>
      </c>
      <c r="S205" s="4" t="str">
        <v>CUST1201</v>
      </c>
      <c r="T205" s="4" t="str">
        <v>MARY BOYD</v>
      </c>
      <c r="U205" s="4" t="str">
        <v>25</v>
      </c>
      <c r="V205" s="4" t="str">
        <v>FEMALE</v>
      </c>
      <c r="W205" s="4" t="str">
        <v>NEW LOGAN</v>
      </c>
      <c r="X205" s="4" t="str">
        <v>MICHIGAN</v>
      </c>
      <c r="Y205" s="4" t="str">
        <v>USA</v>
      </c>
      <c r="Z205" s="4" t="str">
        <v>BRONZE</v>
      </c>
    </row>
    <row r="206" spans="1:26" x14ac:dyDescent="0.25">
      <c r="A206" t="s">
        <v>668</v>
      </c>
      <c r="B206" t="s">
        <v>669</v>
      </c>
      <c r="C206">
        <v>37</v>
      </c>
      <c r="D206" t="s">
        <v>16</v>
      </c>
      <c r="E206" t="s">
        <v>670</v>
      </c>
      <c r="F206" t="s">
        <v>65</v>
      </c>
      <c r="G206" t="s">
        <v>13</v>
      </c>
      <c r="H206" t="s">
        <v>19</v>
      </c>
      <c r="J206" s="4" t="str">
        <v>CUST1202</v>
      </c>
      <c r="K206" s="4" t="str">
        <v>Christina Garcia</v>
      </c>
      <c r="L206" s="4" t="str">
        <v>37</v>
      </c>
      <c r="M206" s="4" t="str">
        <v>Female</v>
      </c>
      <c r="N206" s="4" t="str">
        <v>Clarkeside</v>
      </c>
      <c r="O206" s="4" t="str">
        <v>Kansas</v>
      </c>
      <c r="P206" s="4" t="str">
        <v>USA</v>
      </c>
      <c r="Q206" s="4" t="str">
        <v>Platinum</v>
      </c>
      <c r="S206" s="4" t="str">
        <v>CUST1202</v>
      </c>
      <c r="T206" s="4" t="str">
        <v>CHRISTINA GARCIA</v>
      </c>
      <c r="U206" s="4" t="str">
        <v>37</v>
      </c>
      <c r="V206" s="4" t="str">
        <v>FEMALE</v>
      </c>
      <c r="W206" s="4" t="str">
        <v>CLARKESIDE</v>
      </c>
      <c r="X206" s="4" t="str">
        <v>KANSAS</v>
      </c>
      <c r="Y206" s="4" t="str">
        <v>USA</v>
      </c>
      <c r="Z206" s="4" t="str">
        <v>PLATINUM</v>
      </c>
    </row>
    <row r="207" spans="1:26" x14ac:dyDescent="0.25">
      <c r="A207" t="s">
        <v>671</v>
      </c>
      <c r="B207" t="s">
        <v>672</v>
      </c>
      <c r="C207">
        <v>47</v>
      </c>
      <c r="D207" t="s">
        <v>10</v>
      </c>
      <c r="E207" t="s">
        <v>673</v>
      </c>
      <c r="F207" t="s">
        <v>271</v>
      </c>
      <c r="G207" t="s">
        <v>13</v>
      </c>
      <c r="H207" t="s">
        <v>19</v>
      </c>
      <c r="J207" s="4" t="str">
        <v>CUST1203</v>
      </c>
      <c r="K207" s="4" t="str">
        <v>Sarah Brady</v>
      </c>
      <c r="L207" s="4" t="str">
        <v>47</v>
      </c>
      <c r="M207" s="4" t="str">
        <v>Male</v>
      </c>
      <c r="N207" s="4" t="str">
        <v>Johnsonland</v>
      </c>
      <c r="O207" s="4" t="str">
        <v>Iowa</v>
      </c>
      <c r="P207" s="4" t="str">
        <v>USA</v>
      </c>
      <c r="Q207" s="4" t="str">
        <v>Platinum</v>
      </c>
      <c r="S207" s="4" t="str">
        <v>CUST1203</v>
      </c>
      <c r="T207" s="4" t="str">
        <v>SARAH BRADY</v>
      </c>
      <c r="U207" s="4" t="str">
        <v>47</v>
      </c>
      <c r="V207" s="4" t="str">
        <v>MALE</v>
      </c>
      <c r="W207" s="4" t="str">
        <v>JOHNSONLAND</v>
      </c>
      <c r="X207" s="4" t="str">
        <v>IOWA</v>
      </c>
      <c r="Y207" s="4" t="str">
        <v>USA</v>
      </c>
      <c r="Z207" s="4" t="str">
        <v>PLATINUM</v>
      </c>
    </row>
    <row r="208" spans="1:26" x14ac:dyDescent="0.25">
      <c r="A208" t="s">
        <v>674</v>
      </c>
      <c r="B208" t="s">
        <v>675</v>
      </c>
      <c r="C208">
        <v>52</v>
      </c>
      <c r="D208" t="s">
        <v>10</v>
      </c>
      <c r="E208" t="s">
        <v>676</v>
      </c>
      <c r="F208" t="s">
        <v>291</v>
      </c>
      <c r="G208" t="s">
        <v>13</v>
      </c>
      <c r="H208" t="s">
        <v>19</v>
      </c>
      <c r="J208" s="4" t="str">
        <v>CUST1204</v>
      </c>
      <c r="K208" s="4" t="str">
        <v>Tiffany Herrera</v>
      </c>
      <c r="L208" s="4" t="str">
        <v>52</v>
      </c>
      <c r="M208" s="4" t="str">
        <v>Male</v>
      </c>
      <c r="N208" s="4" t="str">
        <v>New Dianebury</v>
      </c>
      <c r="O208" s="4" t="str">
        <v>Virginia</v>
      </c>
      <c r="P208" s="4" t="str">
        <v>USA</v>
      </c>
      <c r="Q208" s="4" t="str">
        <v>Platinum</v>
      </c>
      <c r="S208" s="4" t="str">
        <v>CUST1204</v>
      </c>
      <c r="T208" s="4" t="str">
        <v>TIFFANY HERRERA</v>
      </c>
      <c r="U208" s="4" t="str">
        <v>52</v>
      </c>
      <c r="V208" s="4" t="str">
        <v>MALE</v>
      </c>
      <c r="W208" s="4" t="str">
        <v>NEW DIANEBURY</v>
      </c>
      <c r="X208" s="4" t="str">
        <v>VIRGINIA</v>
      </c>
      <c r="Y208" s="4" t="str">
        <v>USA</v>
      </c>
      <c r="Z208" s="4" t="str">
        <v>PLATINUM</v>
      </c>
    </row>
    <row r="209" spans="1:26" x14ac:dyDescent="0.25">
      <c r="A209" t="s">
        <v>677</v>
      </c>
      <c r="B209" t="s">
        <v>678</v>
      </c>
      <c r="C209">
        <v>44</v>
      </c>
      <c r="D209" t="s">
        <v>16</v>
      </c>
      <c r="E209" t="s">
        <v>679</v>
      </c>
      <c r="F209" t="s">
        <v>91</v>
      </c>
      <c r="G209" t="s">
        <v>13</v>
      </c>
      <c r="H209" t="s">
        <v>50</v>
      </c>
      <c r="J209" s="4" t="str">
        <v>CUST1205</v>
      </c>
      <c r="K209" s="4" t="str">
        <v>Michelle Carpenter</v>
      </c>
      <c r="L209" s="4" t="str">
        <v>44</v>
      </c>
      <c r="M209" s="4" t="str">
        <v>Female</v>
      </c>
      <c r="N209" s="4" t="str">
        <v>Lake Danielleton</v>
      </c>
      <c r="O209" s="4" t="str">
        <v>New Jersey</v>
      </c>
      <c r="P209" s="4" t="str">
        <v>USA</v>
      </c>
      <c r="Q209" s="4" t="str">
        <v>Gold</v>
      </c>
      <c r="S209" s="4" t="str">
        <v>CUST1205</v>
      </c>
      <c r="T209" s="4" t="str">
        <v>MICHELLE CARPENTER</v>
      </c>
      <c r="U209" s="4" t="str">
        <v>44</v>
      </c>
      <c r="V209" s="4" t="str">
        <v>FEMALE</v>
      </c>
      <c r="W209" s="4" t="str">
        <v>LAKE DANIELLETON</v>
      </c>
      <c r="X209" s="4" t="str">
        <v>NEW JERSEY</v>
      </c>
      <c r="Y209" s="4" t="str">
        <v>USA</v>
      </c>
      <c r="Z209" s="4" t="str">
        <v>GOLD</v>
      </c>
    </row>
    <row r="210" spans="1:26" x14ac:dyDescent="0.25">
      <c r="A210" t="s">
        <v>680</v>
      </c>
      <c r="B210" t="s">
        <v>681</v>
      </c>
      <c r="C210">
        <v>26</v>
      </c>
      <c r="D210" t="s">
        <v>16</v>
      </c>
      <c r="E210" t="s">
        <v>682</v>
      </c>
      <c r="F210" t="s">
        <v>241</v>
      </c>
      <c r="G210" t="s">
        <v>13</v>
      </c>
      <c r="H210" t="s">
        <v>33</v>
      </c>
      <c r="J210" s="4" t="str">
        <v>CUST1206</v>
      </c>
      <c r="K210" s="4" t="str">
        <v>Ronald Jones</v>
      </c>
      <c r="L210" s="4" t="str">
        <v>26</v>
      </c>
      <c r="M210" s="4" t="str">
        <v>Female</v>
      </c>
      <c r="N210" s="4" t="str">
        <v>Brownshire</v>
      </c>
      <c r="O210" s="4" t="str">
        <v>Tennessee</v>
      </c>
      <c r="P210" s="4" t="str">
        <v>USA</v>
      </c>
      <c r="Q210" s="4" t="str">
        <v>Silver</v>
      </c>
      <c r="S210" s="4" t="str">
        <v>CUST1206</v>
      </c>
      <c r="T210" s="4" t="str">
        <v>RONALD JONES</v>
      </c>
      <c r="U210" s="4" t="str">
        <v>26</v>
      </c>
      <c r="V210" s="4" t="str">
        <v>FEMALE</v>
      </c>
      <c r="W210" s="4" t="str">
        <v>BROWNSHIRE</v>
      </c>
      <c r="X210" s="4" t="str">
        <v>TENNESSEE</v>
      </c>
      <c r="Y210" s="4" t="str">
        <v>USA</v>
      </c>
      <c r="Z210" s="4" t="str">
        <v>SILVER</v>
      </c>
    </row>
    <row r="211" spans="1:26" x14ac:dyDescent="0.25">
      <c r="A211" t="s">
        <v>683</v>
      </c>
      <c r="B211" t="s">
        <v>684</v>
      </c>
      <c r="C211">
        <v>28</v>
      </c>
      <c r="D211" t="s">
        <v>16</v>
      </c>
      <c r="E211" t="s">
        <v>685</v>
      </c>
      <c r="F211" t="s">
        <v>91</v>
      </c>
      <c r="G211" t="s">
        <v>13</v>
      </c>
      <c r="H211" t="s">
        <v>28</v>
      </c>
      <c r="J211" s="4" t="str">
        <v>CUST1207</v>
      </c>
      <c r="K211" s="4" t="str">
        <v>Jacqueline Pacheco</v>
      </c>
      <c r="L211" s="4" t="str">
        <v>28</v>
      </c>
      <c r="M211" s="4" t="str">
        <v>Female</v>
      </c>
      <c r="N211" s="4" t="str">
        <v>South Emily</v>
      </c>
      <c r="O211" s="4" t="str">
        <v>New Jersey</v>
      </c>
      <c r="P211" s="4" t="str">
        <v>USA</v>
      </c>
      <c r="Q211" s="4" t="str">
        <v>Bronze</v>
      </c>
      <c r="S211" s="4" t="str">
        <v>CUST1207</v>
      </c>
      <c r="T211" s="4" t="str">
        <v>JACQUELINE PACHECO</v>
      </c>
      <c r="U211" s="4" t="str">
        <v>28</v>
      </c>
      <c r="V211" s="4" t="str">
        <v>FEMALE</v>
      </c>
      <c r="W211" s="4" t="str">
        <v>SOUTH EMILY</v>
      </c>
      <c r="X211" s="4" t="str">
        <v>NEW JERSEY</v>
      </c>
      <c r="Y211" s="4" t="str">
        <v>USA</v>
      </c>
      <c r="Z211" s="4" t="str">
        <v>BRONZE</v>
      </c>
    </row>
    <row r="212" spans="1:26" x14ac:dyDescent="0.25">
      <c r="A212" t="s">
        <v>686</v>
      </c>
      <c r="B212" t="s">
        <v>687</v>
      </c>
      <c r="C212">
        <v>54</v>
      </c>
      <c r="D212" t="s">
        <v>10</v>
      </c>
      <c r="E212" t="s">
        <v>688</v>
      </c>
      <c r="F212" t="s">
        <v>332</v>
      </c>
      <c r="G212" t="s">
        <v>13</v>
      </c>
      <c r="H212" t="s">
        <v>19</v>
      </c>
      <c r="J212" s="4" t="str">
        <v>CUST1208</v>
      </c>
      <c r="K212" s="4" t="str">
        <v>John Perez</v>
      </c>
      <c r="L212" s="4" t="str">
        <v>54</v>
      </c>
      <c r="M212" s="4" t="str">
        <v>Male</v>
      </c>
      <c r="N212" s="4" t="str">
        <v>Kathrynview</v>
      </c>
      <c r="O212" s="4" t="str">
        <v>Louisiana</v>
      </c>
      <c r="P212" s="4" t="str">
        <v>USA</v>
      </c>
      <c r="Q212" s="4" t="str">
        <v>Platinum</v>
      </c>
      <c r="S212" s="4" t="str">
        <v>CUST1208</v>
      </c>
      <c r="T212" s="4" t="str">
        <v>JOHN PEREZ</v>
      </c>
      <c r="U212" s="4" t="str">
        <v>54</v>
      </c>
      <c r="V212" s="4" t="str">
        <v>MALE</v>
      </c>
      <c r="W212" s="4" t="str">
        <v>KATHRYNVIEW</v>
      </c>
      <c r="X212" s="4" t="str">
        <v>LOUISIANA</v>
      </c>
      <c r="Y212" s="4" t="str">
        <v>USA</v>
      </c>
      <c r="Z212" s="4" t="str">
        <v>PLATINUM</v>
      </c>
    </row>
    <row r="213" spans="1:26" x14ac:dyDescent="0.25">
      <c r="A213" t="s">
        <v>689</v>
      </c>
      <c r="B213" t="s">
        <v>690</v>
      </c>
      <c r="C213">
        <v>50</v>
      </c>
      <c r="D213" t="s">
        <v>16</v>
      </c>
      <c r="E213" t="s">
        <v>691</v>
      </c>
      <c r="F213" t="s">
        <v>439</v>
      </c>
      <c r="G213" t="s">
        <v>13</v>
      </c>
      <c r="H213" t="s">
        <v>19</v>
      </c>
      <c r="J213" s="4" t="str">
        <v>CUST1209</v>
      </c>
      <c r="K213" s="4" t="str">
        <v>Joan Johnson</v>
      </c>
      <c r="L213" s="4" t="str">
        <v>50</v>
      </c>
      <c r="M213" s="4" t="str">
        <v>Female</v>
      </c>
      <c r="N213" s="4" t="str">
        <v>Lake Josephport</v>
      </c>
      <c r="O213" s="4" t="str">
        <v>Maine</v>
      </c>
      <c r="P213" s="4" t="str">
        <v>USA</v>
      </c>
      <c r="Q213" s="4" t="str">
        <v>Platinum</v>
      </c>
      <c r="S213" s="4" t="str">
        <v>CUST1209</v>
      </c>
      <c r="T213" s="4" t="str">
        <v>JOAN JOHNSON</v>
      </c>
      <c r="U213" s="4" t="str">
        <v>50</v>
      </c>
      <c r="V213" s="4" t="str">
        <v>FEMALE</v>
      </c>
      <c r="W213" s="4" t="str">
        <v>LAKE JOSEPHPORT</v>
      </c>
      <c r="X213" s="4" t="str">
        <v>MAINE</v>
      </c>
      <c r="Y213" s="4" t="str">
        <v>USA</v>
      </c>
      <c r="Z213" s="4" t="str">
        <v>PLATINUM</v>
      </c>
    </row>
    <row r="214" spans="1:26" x14ac:dyDescent="0.25">
      <c r="A214" t="s">
        <v>692</v>
      </c>
      <c r="B214" t="s">
        <v>693</v>
      </c>
      <c r="C214">
        <v>48</v>
      </c>
      <c r="D214" t="s">
        <v>10</v>
      </c>
      <c r="E214" t="s">
        <v>694</v>
      </c>
      <c r="F214" t="s">
        <v>84</v>
      </c>
      <c r="G214" t="s">
        <v>13</v>
      </c>
      <c r="H214" t="s">
        <v>33</v>
      </c>
      <c r="J214" s="4" t="str">
        <v>CUST1210</v>
      </c>
      <c r="K214" s="4" t="str">
        <v>Antonio Jones</v>
      </c>
      <c r="L214" s="4" t="str">
        <v>48</v>
      </c>
      <c r="M214" s="4" t="str">
        <v>Male</v>
      </c>
      <c r="N214" s="4" t="str">
        <v>Matthewborough</v>
      </c>
      <c r="O214" s="4" t="str">
        <v>Georgia</v>
      </c>
      <c r="P214" s="4" t="str">
        <v>USA</v>
      </c>
      <c r="Q214" s="4" t="str">
        <v>Silver</v>
      </c>
      <c r="S214" s="4" t="str">
        <v>CUST1210</v>
      </c>
      <c r="T214" s="4" t="str">
        <v>ANTONIO JONES</v>
      </c>
      <c r="U214" s="4" t="str">
        <v>48</v>
      </c>
      <c r="V214" s="4" t="str">
        <v>MALE</v>
      </c>
      <c r="W214" s="4" t="str">
        <v>MATTHEWBOROUGH</v>
      </c>
      <c r="X214" s="4" t="str">
        <v>GEORGIA</v>
      </c>
      <c r="Y214" s="4" t="str">
        <v>USA</v>
      </c>
      <c r="Z214" s="4" t="str">
        <v>SILVER</v>
      </c>
    </row>
    <row r="215" spans="1:26" x14ac:dyDescent="0.25">
      <c r="A215" t="s">
        <v>695</v>
      </c>
      <c r="B215" t="s">
        <v>696</v>
      </c>
      <c r="C215">
        <v>20</v>
      </c>
      <c r="D215" t="s">
        <v>16</v>
      </c>
      <c r="E215" t="s">
        <v>697</v>
      </c>
      <c r="F215" t="s">
        <v>95</v>
      </c>
      <c r="G215" t="s">
        <v>13</v>
      </c>
      <c r="H215" t="s">
        <v>33</v>
      </c>
      <c r="J215" s="4" t="str">
        <v>CUST1211</v>
      </c>
      <c r="K215" s="4" t="str">
        <v>Rodney Huffman</v>
      </c>
      <c r="L215" s="4" t="str">
        <v>20</v>
      </c>
      <c r="M215" s="4" t="str">
        <v>Female</v>
      </c>
      <c r="N215" s="4" t="str">
        <v>Garzafort</v>
      </c>
      <c r="O215" s="4" t="str">
        <v>Delaware</v>
      </c>
      <c r="P215" s="4" t="str">
        <v>USA</v>
      </c>
      <c r="Q215" s="4" t="str">
        <v>Silver</v>
      </c>
      <c r="S215" s="4" t="str">
        <v>CUST1211</v>
      </c>
      <c r="T215" s="4" t="str">
        <v>RODNEY HUFFMAN</v>
      </c>
      <c r="U215" s="4" t="str">
        <v>20</v>
      </c>
      <c r="V215" s="4" t="str">
        <v>FEMALE</v>
      </c>
      <c r="W215" s="4" t="str">
        <v>GARZAFORT</v>
      </c>
      <c r="X215" s="4" t="str">
        <v>DELAWARE</v>
      </c>
      <c r="Y215" s="4" t="str">
        <v>USA</v>
      </c>
      <c r="Z215" s="4" t="str">
        <v>SILVER</v>
      </c>
    </row>
    <row r="216" spans="1:26" x14ac:dyDescent="0.25">
      <c r="A216" t="s">
        <v>698</v>
      </c>
      <c r="B216" t="s">
        <v>699</v>
      </c>
      <c r="C216">
        <v>63</v>
      </c>
      <c r="D216" t="s">
        <v>16</v>
      </c>
      <c r="E216" t="s">
        <v>700</v>
      </c>
      <c r="F216" t="s">
        <v>77</v>
      </c>
      <c r="G216" t="s">
        <v>13</v>
      </c>
      <c r="H216" t="s">
        <v>19</v>
      </c>
      <c r="J216" s="4" t="str">
        <v>CUST1212</v>
      </c>
      <c r="K216" s="4" t="str">
        <v>Blake Harrison</v>
      </c>
      <c r="L216" s="4" t="str">
        <v>63</v>
      </c>
      <c r="M216" s="4" t="str">
        <v>Female</v>
      </c>
      <c r="N216" s="4" t="str">
        <v>Lyonsfort</v>
      </c>
      <c r="O216" s="4" t="str">
        <v>Washington</v>
      </c>
      <c r="P216" s="4" t="str">
        <v>USA</v>
      </c>
      <c r="Q216" s="4" t="str">
        <v>Platinum</v>
      </c>
      <c r="S216" s="4" t="str">
        <v>CUST1212</v>
      </c>
      <c r="T216" s="4" t="str">
        <v>BLAKE HARRISON</v>
      </c>
      <c r="U216" s="4" t="str">
        <v>63</v>
      </c>
      <c r="V216" s="4" t="str">
        <v>FEMALE</v>
      </c>
      <c r="W216" s="4" t="str">
        <v>LYONSFORT</v>
      </c>
      <c r="X216" s="4" t="str">
        <v>WASHINGTON</v>
      </c>
      <c r="Y216" s="4" t="str">
        <v>USA</v>
      </c>
      <c r="Z216" s="4" t="str">
        <v>PLATINUM</v>
      </c>
    </row>
    <row r="217" spans="1:26" x14ac:dyDescent="0.25">
      <c r="A217" t="s">
        <v>701</v>
      </c>
      <c r="B217" t="s">
        <v>702</v>
      </c>
      <c r="C217">
        <v>42</v>
      </c>
      <c r="D217" t="s">
        <v>16</v>
      </c>
      <c r="E217" t="s">
        <v>703</v>
      </c>
      <c r="F217" t="s">
        <v>18</v>
      </c>
      <c r="G217" t="s">
        <v>13</v>
      </c>
      <c r="H217" t="s">
        <v>19</v>
      </c>
      <c r="J217" s="4" t="str">
        <v>CUST1213</v>
      </c>
      <c r="K217" s="4" t="str">
        <v>Stuart Johnson</v>
      </c>
      <c r="L217" s="4" t="str">
        <v>42</v>
      </c>
      <c r="M217" s="4" t="str">
        <v>Female</v>
      </c>
      <c r="N217" s="4" t="str">
        <v>West Markport</v>
      </c>
      <c r="O217" s="4" t="str">
        <v>North Dakota</v>
      </c>
      <c r="P217" s="4" t="str">
        <v>USA</v>
      </c>
      <c r="Q217" s="4" t="str">
        <v>Platinum</v>
      </c>
      <c r="S217" s="4" t="str">
        <v>CUST1213</v>
      </c>
      <c r="T217" s="4" t="str">
        <v>STUART JOHNSON</v>
      </c>
      <c r="U217" s="4" t="str">
        <v>42</v>
      </c>
      <c r="V217" s="4" t="str">
        <v>FEMALE</v>
      </c>
      <c r="W217" s="4" t="str">
        <v>WEST MARKPORT</v>
      </c>
      <c r="X217" s="4" t="str">
        <v>NORTH DAKOTA</v>
      </c>
      <c r="Y217" s="4" t="str">
        <v>USA</v>
      </c>
      <c r="Z217" s="4" t="str">
        <v>PLATINUM</v>
      </c>
    </row>
    <row r="218" spans="1:26" x14ac:dyDescent="0.25">
      <c r="A218" t="s">
        <v>704</v>
      </c>
      <c r="B218" t="s">
        <v>705</v>
      </c>
      <c r="C218">
        <v>61</v>
      </c>
      <c r="D218" t="s">
        <v>10</v>
      </c>
      <c r="E218" t="s">
        <v>706</v>
      </c>
      <c r="F218" t="s">
        <v>69</v>
      </c>
      <c r="G218" t="s">
        <v>13</v>
      </c>
      <c r="H218" t="s">
        <v>50</v>
      </c>
      <c r="J218" s="4" t="str">
        <v>CUST1214</v>
      </c>
      <c r="K218" s="4" t="str">
        <v>Eric Todd</v>
      </c>
      <c r="L218" s="4" t="str">
        <v>61</v>
      </c>
      <c r="M218" s="4" t="str">
        <v>Male</v>
      </c>
      <c r="N218" s="4" t="str">
        <v>Danielstad</v>
      </c>
      <c r="O218" s="4" t="str">
        <v>Montana</v>
      </c>
      <c r="P218" s="4" t="str">
        <v>USA</v>
      </c>
      <c r="Q218" s="4" t="str">
        <v>Gold</v>
      </c>
      <c r="S218" s="4" t="str">
        <v>CUST1214</v>
      </c>
      <c r="T218" s="4" t="str">
        <v>ERIC TODD</v>
      </c>
      <c r="U218" s="4" t="str">
        <v>61</v>
      </c>
      <c r="V218" s="4" t="str">
        <v>MALE</v>
      </c>
      <c r="W218" s="4" t="str">
        <v>DANIELSTAD</v>
      </c>
      <c r="X218" s="4" t="str">
        <v>MONTANA</v>
      </c>
      <c r="Y218" s="4" t="str">
        <v>USA</v>
      </c>
      <c r="Z218" s="4" t="str">
        <v>GOLD</v>
      </c>
    </row>
    <row r="219" spans="1:26" x14ac:dyDescent="0.25">
      <c r="A219" t="s">
        <v>707</v>
      </c>
      <c r="B219" t="s">
        <v>708</v>
      </c>
      <c r="C219">
        <v>50</v>
      </c>
      <c r="D219" t="s">
        <v>16</v>
      </c>
      <c r="E219" t="s">
        <v>709</v>
      </c>
      <c r="F219" t="s">
        <v>37</v>
      </c>
      <c r="G219" t="s">
        <v>13</v>
      </c>
      <c r="H219" t="s">
        <v>50</v>
      </c>
      <c r="J219" s="4" t="str">
        <v>CUST1215</v>
      </c>
      <c r="K219" s="4" t="str">
        <v>Steve Medina</v>
      </c>
      <c r="L219" s="4" t="str">
        <v>50</v>
      </c>
      <c r="M219" s="4" t="str">
        <v>Female</v>
      </c>
      <c r="N219" s="4" t="str">
        <v>East Josephside</v>
      </c>
      <c r="O219" s="4" t="str">
        <v>Oregon</v>
      </c>
      <c r="P219" s="4" t="str">
        <v>USA</v>
      </c>
      <c r="Q219" s="4" t="str">
        <v>Gold</v>
      </c>
      <c r="S219" s="4" t="str">
        <v>CUST1215</v>
      </c>
      <c r="T219" s="4" t="str">
        <v>STEVE MEDINA</v>
      </c>
      <c r="U219" s="4" t="str">
        <v>50</v>
      </c>
      <c r="V219" s="4" t="str">
        <v>FEMALE</v>
      </c>
      <c r="W219" s="4" t="str">
        <v>EAST JOSEPHSIDE</v>
      </c>
      <c r="X219" s="4" t="str">
        <v>OREGON</v>
      </c>
      <c r="Y219" s="4" t="str">
        <v>USA</v>
      </c>
      <c r="Z219" s="4" t="str">
        <v>GOLD</v>
      </c>
    </row>
    <row r="220" spans="1:26" x14ac:dyDescent="0.25">
      <c r="A220" t="s">
        <v>710</v>
      </c>
      <c r="B220" t="s">
        <v>711</v>
      </c>
      <c r="C220">
        <v>44</v>
      </c>
      <c r="D220" t="s">
        <v>10</v>
      </c>
      <c r="E220" t="s">
        <v>712</v>
      </c>
      <c r="F220" t="s">
        <v>32</v>
      </c>
      <c r="G220" t="s">
        <v>13</v>
      </c>
      <c r="H220" t="s">
        <v>19</v>
      </c>
      <c r="J220" s="4" t="str">
        <v>CUST1216</v>
      </c>
      <c r="K220" s="4" t="str">
        <v>Kathryn Garcia</v>
      </c>
      <c r="L220" s="4" t="str">
        <v>44</v>
      </c>
      <c r="M220" s="4" t="str">
        <v>Male</v>
      </c>
      <c r="N220" s="4" t="str">
        <v>Morrismouth</v>
      </c>
      <c r="O220" s="4" t="str">
        <v>California</v>
      </c>
      <c r="P220" s="4" t="str">
        <v>USA</v>
      </c>
      <c r="Q220" s="4" t="str">
        <v>Platinum</v>
      </c>
      <c r="S220" s="4" t="str">
        <v>CUST1216</v>
      </c>
      <c r="T220" s="4" t="str">
        <v>KATHRYN GARCIA</v>
      </c>
      <c r="U220" s="4" t="str">
        <v>44</v>
      </c>
      <c r="V220" s="4" t="str">
        <v>MALE</v>
      </c>
      <c r="W220" s="4" t="str">
        <v>MORRISMOUTH</v>
      </c>
      <c r="X220" s="4" t="str">
        <v>CALIFORNIA</v>
      </c>
      <c r="Y220" s="4" t="str">
        <v>USA</v>
      </c>
      <c r="Z220" s="4" t="str">
        <v>PLATINUM</v>
      </c>
    </row>
    <row r="221" spans="1:26" x14ac:dyDescent="0.25">
      <c r="A221" t="s">
        <v>713</v>
      </c>
      <c r="B221" t="s">
        <v>714</v>
      </c>
      <c r="C221">
        <v>42</v>
      </c>
      <c r="D221" t="s">
        <v>10</v>
      </c>
      <c r="E221" t="s">
        <v>715</v>
      </c>
      <c r="F221" t="s">
        <v>117</v>
      </c>
      <c r="G221" t="s">
        <v>13</v>
      </c>
      <c r="H221" t="s">
        <v>33</v>
      </c>
      <c r="J221" s="4" t="str">
        <v>CUST1217</v>
      </c>
      <c r="K221" s="4" t="str">
        <v>Kathy Copeland</v>
      </c>
      <c r="L221" s="4" t="str">
        <v>42</v>
      </c>
      <c r="M221" s="4" t="str">
        <v>Male</v>
      </c>
      <c r="N221" s="4" t="str">
        <v>North Christinemouth</v>
      </c>
      <c r="O221" s="4" t="str">
        <v>Missouri</v>
      </c>
      <c r="P221" s="4" t="str">
        <v>USA</v>
      </c>
      <c r="Q221" s="4" t="str">
        <v>Silver</v>
      </c>
      <c r="S221" s="4" t="str">
        <v>CUST1217</v>
      </c>
      <c r="T221" s="4" t="str">
        <v>KATHY COPELAND</v>
      </c>
      <c r="U221" s="4" t="str">
        <v>42</v>
      </c>
      <c r="V221" s="4" t="str">
        <v>MALE</v>
      </c>
      <c r="W221" s="4" t="str">
        <v>NORTH CHRISTINEMOUTH</v>
      </c>
      <c r="X221" s="4" t="str">
        <v>MISSOURI</v>
      </c>
      <c r="Y221" s="4" t="str">
        <v>USA</v>
      </c>
      <c r="Z221" s="4" t="str">
        <v>SILVER</v>
      </c>
    </row>
    <row r="222" spans="1:26" x14ac:dyDescent="0.25">
      <c r="A222" t="s">
        <v>716</v>
      </c>
      <c r="B222" t="s">
        <v>717</v>
      </c>
      <c r="C222">
        <v>46</v>
      </c>
      <c r="D222" t="s">
        <v>10</v>
      </c>
      <c r="E222" t="s">
        <v>718</v>
      </c>
      <c r="F222" t="s">
        <v>32</v>
      </c>
      <c r="G222" t="s">
        <v>13</v>
      </c>
      <c r="H222" t="s">
        <v>19</v>
      </c>
      <c r="J222" s="4" t="str">
        <v>CUST1218</v>
      </c>
      <c r="K222" s="4" t="str">
        <v>Julia Jackson</v>
      </c>
      <c r="L222" s="4" t="str">
        <v>46</v>
      </c>
      <c r="M222" s="4" t="str">
        <v>Male</v>
      </c>
      <c r="N222" s="4" t="str">
        <v>Edwardland</v>
      </c>
      <c r="O222" s="4" t="str">
        <v>California</v>
      </c>
      <c r="P222" s="4" t="str">
        <v>USA</v>
      </c>
      <c r="Q222" s="4" t="str">
        <v>Platinum</v>
      </c>
      <c r="S222" s="4" t="str">
        <v>CUST1218</v>
      </c>
      <c r="T222" s="4" t="str">
        <v>JULIA JACKSON</v>
      </c>
      <c r="U222" s="4" t="str">
        <v>46</v>
      </c>
      <c r="V222" s="4" t="str">
        <v>MALE</v>
      </c>
      <c r="W222" s="4" t="str">
        <v>EDWARDLAND</v>
      </c>
      <c r="X222" s="4" t="str">
        <v>CALIFORNIA</v>
      </c>
      <c r="Y222" s="4" t="str">
        <v>USA</v>
      </c>
      <c r="Z222" s="4" t="str">
        <v>PLATINUM</v>
      </c>
    </row>
    <row r="223" spans="1:26" x14ac:dyDescent="0.25">
      <c r="A223" t="s">
        <v>719</v>
      </c>
      <c r="B223" t="s">
        <v>720</v>
      </c>
      <c r="C223">
        <v>47</v>
      </c>
      <c r="D223" t="s">
        <v>16</v>
      </c>
      <c r="E223" t="s">
        <v>721</v>
      </c>
      <c r="F223" t="s">
        <v>91</v>
      </c>
      <c r="G223" t="s">
        <v>13</v>
      </c>
      <c r="H223" t="s">
        <v>50</v>
      </c>
      <c r="J223" s="4" t="str">
        <v>CUST1219</v>
      </c>
      <c r="K223" s="4" t="str">
        <v>Jordan Wells</v>
      </c>
      <c r="L223" s="4" t="str">
        <v>47</v>
      </c>
      <c r="M223" s="4" t="str">
        <v>Female</v>
      </c>
      <c r="N223" s="4" t="str">
        <v>Phillipschester</v>
      </c>
      <c r="O223" s="4" t="str">
        <v>New Jersey</v>
      </c>
      <c r="P223" s="4" t="str">
        <v>USA</v>
      </c>
      <c r="Q223" s="4" t="str">
        <v>Gold</v>
      </c>
      <c r="S223" s="4" t="str">
        <v>CUST1219</v>
      </c>
      <c r="T223" s="4" t="str">
        <v>JORDAN WELLS</v>
      </c>
      <c r="U223" s="4" t="str">
        <v>47</v>
      </c>
      <c r="V223" s="4" t="str">
        <v>FEMALE</v>
      </c>
      <c r="W223" s="4" t="str">
        <v>PHILLIPSCHESTER</v>
      </c>
      <c r="X223" s="4" t="str">
        <v>NEW JERSEY</v>
      </c>
      <c r="Y223" s="4" t="str">
        <v>USA</v>
      </c>
      <c r="Z223" s="4" t="str">
        <v>GOLD</v>
      </c>
    </row>
    <row r="224" spans="1:26" x14ac:dyDescent="0.25">
      <c r="A224" t="s">
        <v>722</v>
      </c>
      <c r="B224" t="s">
        <v>723</v>
      </c>
      <c r="C224">
        <v>50</v>
      </c>
      <c r="D224" t="s">
        <v>16</v>
      </c>
      <c r="E224" t="s">
        <v>724</v>
      </c>
      <c r="F224" t="s">
        <v>725</v>
      </c>
      <c r="G224" t="s">
        <v>583</v>
      </c>
      <c r="H224" t="s">
        <v>28</v>
      </c>
      <c r="J224" s="4" t="str">
        <v>CUST1220</v>
      </c>
      <c r="K224" s="4" t="str">
        <v>George Davis</v>
      </c>
      <c r="L224" s="4" t="str">
        <v>50</v>
      </c>
      <c r="M224" s="4" t="str">
        <v>Female</v>
      </c>
      <c r="N224" s="4" t="str">
        <v>lake lisa</v>
      </c>
      <c r="O224" s="4" t="str">
        <v>Massachusetts</v>
      </c>
      <c r="P224" s="4" t="str">
        <v>usa</v>
      </c>
      <c r="Q224" s="4" t="str">
        <v>Bronze</v>
      </c>
      <c r="S224" s="4" t="str">
        <v>CUST1220</v>
      </c>
      <c r="T224" s="4" t="str">
        <v>GEORGE DAVIS</v>
      </c>
      <c r="U224" s="4" t="str">
        <v>50</v>
      </c>
      <c r="V224" s="4" t="str">
        <v>FEMALE</v>
      </c>
      <c r="W224" s="4" t="str">
        <v>LAKE LISA</v>
      </c>
      <c r="X224" s="4" t="str">
        <v>MASSACHUSETTS</v>
      </c>
      <c r="Y224" s="4" t="str">
        <v>USA</v>
      </c>
      <c r="Z224" s="4" t="str">
        <v>BRONZE</v>
      </c>
    </row>
    <row r="225" spans="1:26" x14ac:dyDescent="0.25">
      <c r="A225" t="s">
        <v>726</v>
      </c>
      <c r="B225" t="s">
        <v>727</v>
      </c>
      <c r="C225">
        <v>38</v>
      </c>
      <c r="D225" t="s">
        <v>10</v>
      </c>
      <c r="E225" t="s">
        <v>728</v>
      </c>
      <c r="F225" t="s">
        <v>84</v>
      </c>
      <c r="G225" t="s">
        <v>13</v>
      </c>
      <c r="H225" t="s">
        <v>19</v>
      </c>
      <c r="J225" s="4" t="str">
        <v>CUST1221</v>
      </c>
      <c r="K225" s="4" t="str">
        <v>Lisa Young</v>
      </c>
      <c r="L225" s="4" t="str">
        <v>38</v>
      </c>
      <c r="M225" s="4" t="str">
        <v>Male</v>
      </c>
      <c r="N225" s="4" t="str">
        <v>Maybury</v>
      </c>
      <c r="O225" s="4" t="str">
        <v>Georgia</v>
      </c>
      <c r="P225" s="4" t="str">
        <v>USA</v>
      </c>
      <c r="Q225" s="4" t="str">
        <v>Platinum</v>
      </c>
      <c r="S225" s="4" t="str">
        <v>CUST1221</v>
      </c>
      <c r="T225" s="4" t="str">
        <v>LISA YOUNG</v>
      </c>
      <c r="U225" s="4" t="str">
        <v>38</v>
      </c>
      <c r="V225" s="4" t="str">
        <v>MALE</v>
      </c>
      <c r="W225" s="4" t="str">
        <v>MAYBURY</v>
      </c>
      <c r="X225" s="4" t="str">
        <v>GEORGIA</v>
      </c>
      <c r="Y225" s="4" t="str">
        <v>USA</v>
      </c>
      <c r="Z225" s="4" t="str">
        <v>PLATINUM</v>
      </c>
    </row>
    <row r="226" spans="1:26" x14ac:dyDescent="0.25">
      <c r="A226" t="s">
        <v>729</v>
      </c>
      <c r="B226" t="s">
        <v>730</v>
      </c>
      <c r="C226">
        <v>35</v>
      </c>
      <c r="D226" t="s">
        <v>10</v>
      </c>
      <c r="E226" t="s">
        <v>731</v>
      </c>
      <c r="F226" t="s">
        <v>237</v>
      </c>
      <c r="G226" t="s">
        <v>13</v>
      </c>
      <c r="H226" t="s">
        <v>19</v>
      </c>
      <c r="J226" s="4" t="str">
        <v>CUST1222</v>
      </c>
      <c r="K226" s="4" t="str">
        <v>Alejandro Doyle</v>
      </c>
      <c r="L226" s="4" t="str">
        <v>35</v>
      </c>
      <c r="M226" s="4" t="str">
        <v>Male</v>
      </c>
      <c r="N226" s="4" t="str">
        <v>East Crystalton</v>
      </c>
      <c r="O226" s="4" t="str">
        <v>New Mexico</v>
      </c>
      <c r="P226" s="4" t="str">
        <v>USA</v>
      </c>
      <c r="Q226" s="4" t="str">
        <v>Platinum</v>
      </c>
      <c r="S226" s="4" t="str">
        <v>CUST1222</v>
      </c>
      <c r="T226" s="4" t="str">
        <v>ALEJANDRO DOYLE</v>
      </c>
      <c r="U226" s="4" t="str">
        <v>35</v>
      </c>
      <c r="V226" s="4" t="str">
        <v>MALE</v>
      </c>
      <c r="W226" s="4" t="str">
        <v>EAST CRYSTALTON</v>
      </c>
      <c r="X226" s="4" t="str">
        <v>NEW MEXICO</v>
      </c>
      <c r="Y226" s="4" t="str">
        <v>USA</v>
      </c>
      <c r="Z226" s="4" t="str">
        <v>PLATINUM</v>
      </c>
    </row>
    <row r="227" spans="1:26" x14ac:dyDescent="0.25">
      <c r="A227" t="s">
        <v>732</v>
      </c>
      <c r="B227" t="s">
        <v>733</v>
      </c>
      <c r="C227">
        <v>50</v>
      </c>
      <c r="D227" t="s">
        <v>10</v>
      </c>
      <c r="E227" t="s">
        <v>734</v>
      </c>
      <c r="F227" t="s">
        <v>271</v>
      </c>
      <c r="G227" t="s">
        <v>13</v>
      </c>
      <c r="H227" t="s">
        <v>19</v>
      </c>
      <c r="J227" s="4" t="str">
        <v>CUST1223</v>
      </c>
      <c r="K227" s="4" t="str">
        <v>Robert Harris</v>
      </c>
      <c r="L227" s="4" t="str">
        <v>50</v>
      </c>
      <c r="M227" s="4" t="str">
        <v>Male</v>
      </c>
      <c r="N227" s="4" t="str">
        <v>East jeremy</v>
      </c>
      <c r="O227" s="4" t="str">
        <v>Iowa</v>
      </c>
      <c r="P227" s="4" t="str">
        <v>USA</v>
      </c>
      <c r="Q227" s="4" t="str">
        <v>Platinum</v>
      </c>
      <c r="S227" s="4" t="str">
        <v>CUST1223</v>
      </c>
      <c r="T227" s="4" t="str">
        <v>ROBERT HARRIS</v>
      </c>
      <c r="U227" s="4" t="str">
        <v>50</v>
      </c>
      <c r="V227" s="4" t="str">
        <v>MALE</v>
      </c>
      <c r="W227" s="4" t="str">
        <v>EAST JEREMY</v>
      </c>
      <c r="X227" s="4" t="str">
        <v>IOWA</v>
      </c>
      <c r="Y227" s="4" t="str">
        <v>USA</v>
      </c>
      <c r="Z227" s="4" t="str">
        <v>PLATINUM</v>
      </c>
    </row>
    <row r="228" spans="1:26" x14ac:dyDescent="0.25">
      <c r="A228" t="s">
        <v>735</v>
      </c>
      <c r="B228" t="s">
        <v>736</v>
      </c>
      <c r="C228">
        <v>29</v>
      </c>
      <c r="D228" t="s">
        <v>10</v>
      </c>
      <c r="E228" t="s">
        <v>737</v>
      </c>
      <c r="F228" t="s">
        <v>117</v>
      </c>
      <c r="G228" t="s">
        <v>13</v>
      </c>
      <c r="H228" t="s">
        <v>33</v>
      </c>
      <c r="J228" s="4" t="str">
        <v>CUST1224</v>
      </c>
      <c r="K228" s="4" t="str">
        <v>Anthony Morgan</v>
      </c>
      <c r="L228" s="4" t="str">
        <v>29</v>
      </c>
      <c r="M228" s="4" t="str">
        <v>Male</v>
      </c>
      <c r="N228" s="4" t="str">
        <v>New Anthonyfurt</v>
      </c>
      <c r="O228" s="4" t="str">
        <v>Missouri</v>
      </c>
      <c r="P228" s="4" t="str">
        <v>USA</v>
      </c>
      <c r="Q228" s="4" t="str">
        <v>Silver</v>
      </c>
      <c r="S228" s="4" t="str">
        <v>CUST1224</v>
      </c>
      <c r="T228" s="4" t="str">
        <v>ANTHONY MORGAN</v>
      </c>
      <c r="U228" s="4" t="str">
        <v>29</v>
      </c>
      <c r="V228" s="4" t="str">
        <v>MALE</v>
      </c>
      <c r="W228" s="4" t="str">
        <v>NEW ANTHONYFURT</v>
      </c>
      <c r="X228" s="4" t="str">
        <v>MISSOURI</v>
      </c>
      <c r="Y228" s="4" t="str">
        <v>USA</v>
      </c>
      <c r="Z228" s="4" t="str">
        <v>SILVER</v>
      </c>
    </row>
    <row r="229" spans="1:26" x14ac:dyDescent="0.25">
      <c r="A229" t="s">
        <v>738</v>
      </c>
      <c r="B229" t="s">
        <v>739</v>
      </c>
      <c r="C229">
        <v>46</v>
      </c>
      <c r="D229" t="s">
        <v>16</v>
      </c>
      <c r="E229" t="s">
        <v>740</v>
      </c>
      <c r="F229" t="s">
        <v>121</v>
      </c>
      <c r="G229" t="s">
        <v>13</v>
      </c>
      <c r="H229" t="s">
        <v>19</v>
      </c>
      <c r="J229" s="4" t="str">
        <v>CUST1225</v>
      </c>
      <c r="K229" s="4" t="str">
        <v>Elizabeth Stanley</v>
      </c>
      <c r="L229" s="4" t="str">
        <v>46</v>
      </c>
      <c r="M229" s="4" t="str">
        <v>Female</v>
      </c>
      <c r="N229" s="4" t="str">
        <v>Bethanyton</v>
      </c>
      <c r="O229" s="4" t="str">
        <v>Utah</v>
      </c>
      <c r="P229" s="4" t="str">
        <v>USA</v>
      </c>
      <c r="Q229" s="4" t="str">
        <v>Platinum</v>
      </c>
      <c r="S229" s="4" t="str">
        <v>CUST1225</v>
      </c>
      <c r="T229" s="4" t="str">
        <v>ELIZABETH STANLEY</v>
      </c>
      <c r="U229" s="4" t="str">
        <v>46</v>
      </c>
      <c r="V229" s="4" t="str">
        <v>FEMALE</v>
      </c>
      <c r="W229" s="4" t="str">
        <v>BETHANYTON</v>
      </c>
      <c r="X229" s="4" t="str">
        <v>UTAH</v>
      </c>
      <c r="Y229" s="4" t="str">
        <v>USA</v>
      </c>
      <c r="Z229" s="4" t="str">
        <v>PLATINUM</v>
      </c>
    </row>
    <row r="230" spans="1:26" x14ac:dyDescent="0.25">
      <c r="A230" t="s">
        <v>741</v>
      </c>
      <c r="B230" t="s">
        <v>742</v>
      </c>
      <c r="C230">
        <v>54</v>
      </c>
      <c r="D230" t="s">
        <v>10</v>
      </c>
      <c r="E230" t="s">
        <v>220</v>
      </c>
      <c r="F230" t="s">
        <v>167</v>
      </c>
      <c r="G230" t="s">
        <v>13</v>
      </c>
      <c r="H230" t="s">
        <v>50</v>
      </c>
      <c r="J230" s="4" t="str">
        <v>CUST1226</v>
      </c>
      <c r="K230" s="4" t="str">
        <v>Alexis Castaneda</v>
      </c>
      <c r="L230" s="4" t="str">
        <v>54</v>
      </c>
      <c r="M230" s="4" t="str">
        <v>Male</v>
      </c>
      <c r="N230" s="4" t="str">
        <v>Morrisbury</v>
      </c>
      <c r="O230" s="4" t="str">
        <v>Alaska</v>
      </c>
      <c r="P230" s="4" t="str">
        <v>USA</v>
      </c>
      <c r="Q230" s="4" t="str">
        <v>Gold</v>
      </c>
      <c r="S230" s="4" t="str">
        <v>CUST1226</v>
      </c>
      <c r="T230" s="4" t="str">
        <v>ALEXIS CASTANEDA</v>
      </c>
      <c r="U230" s="4" t="str">
        <v>54</v>
      </c>
      <c r="V230" s="4" t="str">
        <v>MALE</v>
      </c>
      <c r="W230" s="4" t="str">
        <v>MORRISBURY</v>
      </c>
      <c r="X230" s="4" t="str">
        <v>ALASKA</v>
      </c>
      <c r="Y230" s="4" t="str">
        <v>USA</v>
      </c>
      <c r="Z230" s="4" t="str">
        <v>GOLD</v>
      </c>
    </row>
    <row r="231" spans="1:26" x14ac:dyDescent="0.25">
      <c r="A231" t="s">
        <v>743</v>
      </c>
      <c r="B231" t="s">
        <v>744</v>
      </c>
      <c r="C231">
        <v>63</v>
      </c>
      <c r="D231" t="s">
        <v>16</v>
      </c>
      <c r="E231" t="s">
        <v>745</v>
      </c>
      <c r="F231" t="s">
        <v>65</v>
      </c>
      <c r="G231" t="s">
        <v>13</v>
      </c>
      <c r="H231" t="s">
        <v>50</v>
      </c>
      <c r="J231" s="4" t="str">
        <v>CUST1227</v>
      </c>
      <c r="K231" s="4" t="str">
        <v>Gregory Pham</v>
      </c>
      <c r="L231" s="4" t="str">
        <v>63</v>
      </c>
      <c r="M231" s="4" t="str">
        <v>Female</v>
      </c>
      <c r="N231" s="4" t="str">
        <v>Pollardton</v>
      </c>
      <c r="O231" s="4" t="str">
        <v>Kansas</v>
      </c>
      <c r="P231" s="4" t="str">
        <v>USA</v>
      </c>
      <c r="Q231" s="4" t="str">
        <v>Gold</v>
      </c>
      <c r="S231" s="4" t="str">
        <v>CUST1227</v>
      </c>
      <c r="T231" s="4" t="str">
        <v>GREGORY PHAM</v>
      </c>
      <c r="U231" s="4" t="str">
        <v>63</v>
      </c>
      <c r="V231" s="4" t="str">
        <v>FEMALE</v>
      </c>
      <c r="W231" s="4" t="str">
        <v>POLLARDTON</v>
      </c>
      <c r="X231" s="4" t="str">
        <v>KANSAS</v>
      </c>
      <c r="Y231" s="4" t="str">
        <v>USA</v>
      </c>
      <c r="Z231" s="4" t="str">
        <v>GOLD</v>
      </c>
    </row>
    <row r="232" spans="1:26" x14ac:dyDescent="0.25">
      <c r="A232" t="s">
        <v>746</v>
      </c>
      <c r="B232" t="s">
        <v>747</v>
      </c>
      <c r="C232">
        <v>52</v>
      </c>
      <c r="D232" t="s">
        <v>16</v>
      </c>
      <c r="E232" t="s">
        <v>399</v>
      </c>
      <c r="F232" t="s">
        <v>121</v>
      </c>
      <c r="G232" t="s">
        <v>13</v>
      </c>
      <c r="H232" t="s">
        <v>50</v>
      </c>
      <c r="J232" s="4" t="str">
        <v>CUST1228</v>
      </c>
      <c r="K232" s="4" t="str">
        <v>Casey Flores</v>
      </c>
      <c r="L232" s="4" t="str">
        <v>52</v>
      </c>
      <c r="M232" s="4" t="str">
        <v>Female</v>
      </c>
      <c r="N232" s="4" t="str">
        <v>Lake Michael</v>
      </c>
      <c r="O232" s="4" t="str">
        <v>Utah</v>
      </c>
      <c r="P232" s="4" t="str">
        <v>USA</v>
      </c>
      <c r="Q232" s="4" t="str">
        <v>Gold</v>
      </c>
      <c r="S232" s="4" t="str">
        <v>CUST1228</v>
      </c>
      <c r="T232" s="4" t="str">
        <v>CASEY FLORES</v>
      </c>
      <c r="U232" s="4" t="str">
        <v>52</v>
      </c>
      <c r="V232" s="4" t="str">
        <v>FEMALE</v>
      </c>
      <c r="W232" s="4" t="str">
        <v>LAKE MICHAEL</v>
      </c>
      <c r="X232" s="4" t="str">
        <v>UTAH</v>
      </c>
      <c r="Y232" s="4" t="str">
        <v>USA</v>
      </c>
      <c r="Z232" s="4" t="str">
        <v>GOLD</v>
      </c>
    </row>
    <row r="233" spans="1:26" x14ac:dyDescent="0.25">
      <c r="A233" t="s">
        <v>748</v>
      </c>
      <c r="B233" t="s">
        <v>749</v>
      </c>
      <c r="C233">
        <v>32</v>
      </c>
      <c r="D233" t="s">
        <v>16</v>
      </c>
      <c r="E233" t="s">
        <v>750</v>
      </c>
      <c r="F233" t="s">
        <v>144</v>
      </c>
      <c r="G233" t="s">
        <v>13</v>
      </c>
      <c r="H233" t="s">
        <v>28</v>
      </c>
      <c r="J233" s="4" t="str">
        <v>CUST1229</v>
      </c>
      <c r="K233" s="4" t="str">
        <v>Tanner Thompson</v>
      </c>
      <c r="L233" s="4" t="str">
        <v>32</v>
      </c>
      <c r="M233" s="4" t="str">
        <v>Female</v>
      </c>
      <c r="N233" s="4" t="str">
        <v>Port Lisashire</v>
      </c>
      <c r="O233" s="4" t="str">
        <v>Maryland</v>
      </c>
      <c r="P233" s="4" t="str">
        <v>USA</v>
      </c>
      <c r="Q233" s="4" t="str">
        <v>Bronze</v>
      </c>
      <c r="S233" s="4" t="str">
        <v>CUST1229</v>
      </c>
      <c r="T233" s="4" t="str">
        <v>TANNER THOMPSON</v>
      </c>
      <c r="U233" s="4" t="str">
        <v>32</v>
      </c>
      <c r="V233" s="4" t="str">
        <v>FEMALE</v>
      </c>
      <c r="W233" s="4" t="str">
        <v>PORT LISASHIRE</v>
      </c>
      <c r="X233" s="4" t="str">
        <v>MARYLAND</v>
      </c>
      <c r="Y233" s="4" t="str">
        <v>USA</v>
      </c>
      <c r="Z233" s="4" t="str">
        <v>BRONZE</v>
      </c>
    </row>
    <row r="234" spans="1:26" x14ac:dyDescent="0.25">
      <c r="A234" t="s">
        <v>751</v>
      </c>
      <c r="B234" t="s">
        <v>752</v>
      </c>
      <c r="C234">
        <v>29</v>
      </c>
      <c r="D234" t="s">
        <v>10</v>
      </c>
      <c r="E234" t="s">
        <v>753</v>
      </c>
      <c r="F234" t="s">
        <v>254</v>
      </c>
      <c r="G234" t="s">
        <v>13</v>
      </c>
      <c r="H234" t="s">
        <v>28</v>
      </c>
      <c r="J234" s="4" t="str">
        <v>CUST1230</v>
      </c>
      <c r="K234" s="4" t="str">
        <v>Timothy Sanders</v>
      </c>
      <c r="L234" s="4" t="str">
        <v>29</v>
      </c>
      <c r="M234" s="4" t="str">
        <v>Male</v>
      </c>
      <c r="N234" s="4" t="str">
        <v>Aaronmouth</v>
      </c>
      <c r="O234" s="4" t="str">
        <v>Florida</v>
      </c>
      <c r="P234" s="4" t="str">
        <v>USA</v>
      </c>
      <c r="Q234" s="4" t="str">
        <v>Bronze</v>
      </c>
      <c r="S234" s="4" t="str">
        <v>CUST1230</v>
      </c>
      <c r="T234" s="4" t="str">
        <v>TIMOTHY SANDERS</v>
      </c>
      <c r="U234" s="4" t="str">
        <v>29</v>
      </c>
      <c r="V234" s="4" t="str">
        <v>MALE</v>
      </c>
      <c r="W234" s="4" t="str">
        <v>AARONMOUTH</v>
      </c>
      <c r="X234" s="4" t="str">
        <v>FLORIDA</v>
      </c>
      <c r="Y234" s="4" t="str">
        <v>USA</v>
      </c>
      <c r="Z234" s="4" t="str">
        <v>BRONZE</v>
      </c>
    </row>
    <row r="235" spans="1:26" x14ac:dyDescent="0.25">
      <c r="A235" t="s">
        <v>754</v>
      </c>
      <c r="B235" t="s">
        <v>755</v>
      </c>
      <c r="C235">
        <v>22</v>
      </c>
      <c r="D235" t="s">
        <v>16</v>
      </c>
      <c r="E235" t="s">
        <v>756</v>
      </c>
      <c r="F235" t="s">
        <v>321</v>
      </c>
      <c r="G235" t="s">
        <v>13</v>
      </c>
      <c r="H235" t="s">
        <v>28</v>
      </c>
      <c r="J235" s="4" t="str">
        <v>CUST1231</v>
      </c>
      <c r="K235" s="4" t="str">
        <v>Timothy Juarez</v>
      </c>
      <c r="L235" s="4" t="str">
        <v>22</v>
      </c>
      <c r="M235" s="4" t="str">
        <v>Female</v>
      </c>
      <c r="N235" s="4" t="str">
        <v>Grahamstad</v>
      </c>
      <c r="O235" s="4" t="str">
        <v>South Carolina</v>
      </c>
      <c r="P235" s="4" t="str">
        <v>USA</v>
      </c>
      <c r="Q235" s="4" t="str">
        <v>Bronze</v>
      </c>
      <c r="S235" s="4" t="str">
        <v>CUST1231</v>
      </c>
      <c r="T235" s="4" t="str">
        <v>TIMOTHY JUAREZ</v>
      </c>
      <c r="U235" s="4" t="str">
        <v>22</v>
      </c>
      <c r="V235" s="4" t="str">
        <v>FEMALE</v>
      </c>
      <c r="W235" s="4" t="str">
        <v>GRAHAMSTAD</v>
      </c>
      <c r="X235" s="4" t="str">
        <v>SOUTH CAROLINA</v>
      </c>
      <c r="Y235" s="4" t="str">
        <v>USA</v>
      </c>
      <c r="Z235" s="4" t="str">
        <v>BRONZE</v>
      </c>
    </row>
    <row r="236" spans="1:26" x14ac:dyDescent="0.25">
      <c r="A236" t="s">
        <v>757</v>
      </c>
      <c r="B236" t="s">
        <v>758</v>
      </c>
      <c r="C236">
        <v>27</v>
      </c>
      <c r="D236" t="s">
        <v>16</v>
      </c>
      <c r="E236" t="s">
        <v>759</v>
      </c>
      <c r="F236" t="s">
        <v>91</v>
      </c>
      <c r="G236" t="s">
        <v>13</v>
      </c>
      <c r="H236" t="s">
        <v>19</v>
      </c>
      <c r="J236" s="4" t="str">
        <v>CUST1232</v>
      </c>
      <c r="K236" s="4" t="str">
        <v>Christy Hill</v>
      </c>
      <c r="L236" s="4" t="str">
        <v>27</v>
      </c>
      <c r="M236" s="4" t="str">
        <v>Female</v>
      </c>
      <c r="N236" s="4" t="str">
        <v>Tammyton</v>
      </c>
      <c r="O236" s="4" t="str">
        <v>New Jersey</v>
      </c>
      <c r="P236" s="4" t="str">
        <v>USA</v>
      </c>
      <c r="Q236" s="4" t="str">
        <v>Platinum</v>
      </c>
      <c r="S236" s="4" t="str">
        <v>CUST1232</v>
      </c>
      <c r="T236" s="4" t="str">
        <v>CHRISTY HILL</v>
      </c>
      <c r="U236" s="4" t="str">
        <v>27</v>
      </c>
      <c r="V236" s="4" t="str">
        <v>FEMALE</v>
      </c>
      <c r="W236" s="4" t="str">
        <v>TAMMYTON</v>
      </c>
      <c r="X236" s="4" t="str">
        <v>NEW JERSEY</v>
      </c>
      <c r="Y236" s="4" t="str">
        <v>USA</v>
      </c>
      <c r="Z236" s="4" t="str">
        <v>PLATINUM</v>
      </c>
    </row>
    <row r="237" spans="1:26" x14ac:dyDescent="0.25">
      <c r="A237" t="s">
        <v>760</v>
      </c>
      <c r="B237" t="s">
        <v>761</v>
      </c>
      <c r="C237">
        <v>59</v>
      </c>
      <c r="D237" t="s">
        <v>10</v>
      </c>
      <c r="E237" t="s">
        <v>762</v>
      </c>
      <c r="F237" t="s">
        <v>45</v>
      </c>
      <c r="G237" t="s">
        <v>13</v>
      </c>
      <c r="H237" t="s">
        <v>33</v>
      </c>
      <c r="J237" s="4" t="str">
        <v>CUST1233</v>
      </c>
      <c r="K237" s="4" t="str">
        <v>Michelle Gonzalez</v>
      </c>
      <c r="L237" s="4" t="str">
        <v>59</v>
      </c>
      <c r="M237" s="4" t="str">
        <v>Male</v>
      </c>
      <c r="N237" s="4" t="str">
        <v>Clarkport</v>
      </c>
      <c r="O237" s="4" t="str">
        <v>West Virginia</v>
      </c>
      <c r="P237" s="4" t="str">
        <v>USA</v>
      </c>
      <c r="Q237" s="4" t="str">
        <v>Silver</v>
      </c>
      <c r="S237" s="4" t="str">
        <v>CUST1233</v>
      </c>
      <c r="T237" s="4" t="str">
        <v>MICHELLE GONZALEZ</v>
      </c>
      <c r="U237" s="4" t="str">
        <v>59</v>
      </c>
      <c r="V237" s="4" t="str">
        <v>MALE</v>
      </c>
      <c r="W237" s="4" t="str">
        <v>CLARKPORT</v>
      </c>
      <c r="X237" s="4" t="str">
        <v>WEST VIRGINIA</v>
      </c>
      <c r="Y237" s="4" t="str">
        <v>USA</v>
      </c>
      <c r="Z237" s="4" t="str">
        <v>SILVER</v>
      </c>
    </row>
    <row r="238" spans="1:26" x14ac:dyDescent="0.25">
      <c r="A238" t="s">
        <v>763</v>
      </c>
      <c r="B238" t="s">
        <v>764</v>
      </c>
      <c r="C238">
        <v>43</v>
      </c>
      <c r="D238" t="s">
        <v>16</v>
      </c>
      <c r="E238" t="s">
        <v>765</v>
      </c>
      <c r="F238" t="s">
        <v>65</v>
      </c>
      <c r="G238" t="s">
        <v>13</v>
      </c>
      <c r="H238" t="s">
        <v>50</v>
      </c>
      <c r="J238" s="4" t="str">
        <v>CUST1234</v>
      </c>
      <c r="K238" s="4" t="str">
        <v>Nathaniel Hill</v>
      </c>
      <c r="L238" s="4" t="str">
        <v>43</v>
      </c>
      <c r="M238" s="4" t="str">
        <v>Female</v>
      </c>
      <c r="N238" s="4" t="str">
        <v>Lake Mark</v>
      </c>
      <c r="O238" s="4" t="str">
        <v>Kansas</v>
      </c>
      <c r="P238" s="4" t="str">
        <v>USA</v>
      </c>
      <c r="Q238" s="4" t="str">
        <v>Gold</v>
      </c>
      <c r="S238" s="4" t="str">
        <v>CUST1234</v>
      </c>
      <c r="T238" s="4" t="str">
        <v>NATHANIEL HILL</v>
      </c>
      <c r="U238" s="4" t="str">
        <v>43</v>
      </c>
      <c r="V238" s="4" t="str">
        <v>FEMALE</v>
      </c>
      <c r="W238" s="4" t="str">
        <v>LAKE MARK</v>
      </c>
      <c r="X238" s="4" t="str">
        <v>KANSAS</v>
      </c>
      <c r="Y238" s="4" t="str">
        <v>USA</v>
      </c>
      <c r="Z238" s="4" t="str">
        <v>GOLD</v>
      </c>
    </row>
    <row r="239" spans="1:26" x14ac:dyDescent="0.25">
      <c r="A239" t="s">
        <v>766</v>
      </c>
      <c r="B239" t="s">
        <v>767</v>
      </c>
      <c r="C239">
        <v>28</v>
      </c>
      <c r="D239" t="s">
        <v>16</v>
      </c>
      <c r="E239" t="s">
        <v>768</v>
      </c>
      <c r="F239" t="s">
        <v>95</v>
      </c>
      <c r="G239" t="s">
        <v>13</v>
      </c>
      <c r="H239" t="s">
        <v>28</v>
      </c>
      <c r="J239" s="4" t="str">
        <v>CUST1235</v>
      </c>
      <c r="K239" s="4" t="str">
        <v>Jon Ortiz</v>
      </c>
      <c r="L239" s="4" t="str">
        <v>28</v>
      </c>
      <c r="M239" s="4" t="str">
        <v>Female</v>
      </c>
      <c r="N239" s="4" t="str">
        <v>South Angelaport</v>
      </c>
      <c r="O239" s="4" t="str">
        <v>Delaware</v>
      </c>
      <c r="P239" s="4" t="str">
        <v>USA</v>
      </c>
      <c r="Q239" s="4" t="str">
        <v>Bronze</v>
      </c>
      <c r="S239" s="4" t="str">
        <v>CUST1235</v>
      </c>
      <c r="T239" s="4" t="str">
        <v>JON ORTIZ</v>
      </c>
      <c r="U239" s="4" t="str">
        <v>28</v>
      </c>
      <c r="V239" s="4" t="str">
        <v>FEMALE</v>
      </c>
      <c r="W239" s="4" t="str">
        <v>SOUTH ANGELAPORT</v>
      </c>
      <c r="X239" s="4" t="str">
        <v>DELAWARE</v>
      </c>
      <c r="Y239" s="4" t="str">
        <v>USA</v>
      </c>
      <c r="Z239" s="4" t="str">
        <v>BRONZE</v>
      </c>
    </row>
    <row r="240" spans="1:26" x14ac:dyDescent="0.25">
      <c r="A240" t="s">
        <v>769</v>
      </c>
      <c r="B240" t="s">
        <v>770</v>
      </c>
      <c r="C240">
        <v>42</v>
      </c>
      <c r="D240" t="s">
        <v>16</v>
      </c>
      <c r="E240" t="s">
        <v>771</v>
      </c>
      <c r="F240" t="s">
        <v>291</v>
      </c>
      <c r="G240" t="s">
        <v>13</v>
      </c>
      <c r="H240" t="s">
        <v>28</v>
      </c>
      <c r="J240" s="4" t="str">
        <v>CUST1236</v>
      </c>
      <c r="K240" s="4" t="str">
        <v>Joshua Wilson</v>
      </c>
      <c r="L240" s="4" t="str">
        <v>42</v>
      </c>
      <c r="M240" s="4" t="str">
        <v>Female</v>
      </c>
      <c r="N240" s="4" t="str">
        <v>North Larryport</v>
      </c>
      <c r="O240" s="4" t="str">
        <v>Virginia</v>
      </c>
      <c r="P240" s="4" t="str">
        <v>USA</v>
      </c>
      <c r="Q240" s="4" t="str">
        <v>Bronze</v>
      </c>
      <c r="S240" s="4" t="str">
        <v>CUST1236</v>
      </c>
      <c r="T240" s="4" t="str">
        <v>JOSHUA WILSON</v>
      </c>
      <c r="U240" s="4" t="str">
        <v>42</v>
      </c>
      <c r="V240" s="4" t="str">
        <v>FEMALE</v>
      </c>
      <c r="W240" s="4" t="str">
        <v>NORTH LARRYPORT</v>
      </c>
      <c r="X240" s="4" t="str">
        <v>VIRGINIA</v>
      </c>
      <c r="Y240" s="4" t="str">
        <v>USA</v>
      </c>
      <c r="Z240" s="4" t="str">
        <v>BRONZE</v>
      </c>
    </row>
    <row r="241" spans="1:26" x14ac:dyDescent="0.25">
      <c r="A241" t="s">
        <v>772</v>
      </c>
      <c r="B241" t="s">
        <v>773</v>
      </c>
      <c r="C241">
        <v>41</v>
      </c>
      <c r="D241" t="s">
        <v>16</v>
      </c>
      <c r="E241" t="s">
        <v>774</v>
      </c>
      <c r="F241" t="s">
        <v>69</v>
      </c>
      <c r="G241" t="s">
        <v>13</v>
      </c>
      <c r="H241" t="s">
        <v>50</v>
      </c>
      <c r="J241" s="4" t="str">
        <v>CUST1237</v>
      </c>
      <c r="K241" s="4" t="str">
        <v>Wesley Short</v>
      </c>
      <c r="L241" s="4" t="str">
        <v>41</v>
      </c>
      <c r="M241" s="4" t="str">
        <v>Female</v>
      </c>
      <c r="N241" s="4" t="str">
        <v>Susanstad</v>
      </c>
      <c r="O241" s="4" t="str">
        <v>Montana</v>
      </c>
      <c r="P241" s="4" t="str">
        <v>USA</v>
      </c>
      <c r="Q241" s="4" t="str">
        <v>Gold</v>
      </c>
      <c r="S241" s="4" t="str">
        <v>CUST1237</v>
      </c>
      <c r="T241" s="4" t="str">
        <v>WESLEY SHORT</v>
      </c>
      <c r="U241" s="4" t="str">
        <v>41</v>
      </c>
      <c r="V241" s="4" t="str">
        <v>FEMALE</v>
      </c>
      <c r="W241" s="4" t="str">
        <v>SUSANSTAD</v>
      </c>
      <c r="X241" s="4" t="str">
        <v>MONTANA</v>
      </c>
      <c r="Y241" s="4" t="str">
        <v>USA</v>
      </c>
      <c r="Z241" s="4" t="str">
        <v>GOLD</v>
      </c>
    </row>
    <row r="242" spans="1:26" x14ac:dyDescent="0.25">
      <c r="A242" t="s">
        <v>775</v>
      </c>
      <c r="B242" t="s">
        <v>776</v>
      </c>
      <c r="C242">
        <v>40</v>
      </c>
      <c r="D242" t="s">
        <v>10</v>
      </c>
      <c r="E242" t="s">
        <v>777</v>
      </c>
      <c r="F242" t="s">
        <v>45</v>
      </c>
      <c r="G242" t="s">
        <v>13</v>
      </c>
      <c r="H242" t="s">
        <v>19</v>
      </c>
      <c r="J242" s="4" t="str">
        <v>CUST1238</v>
      </c>
      <c r="K242" s="4" t="str">
        <v>Steven Smith</v>
      </c>
      <c r="L242" s="4" t="str">
        <v>40</v>
      </c>
      <c r="M242" s="4" t="str">
        <v>Male</v>
      </c>
      <c r="N242" s="4" t="str">
        <v>Port Krista</v>
      </c>
      <c r="O242" s="4" t="str">
        <v>West Virginia</v>
      </c>
      <c r="P242" s="4" t="str">
        <v>USA</v>
      </c>
      <c r="Q242" s="4" t="str">
        <v>Platinum</v>
      </c>
      <c r="S242" s="4" t="str">
        <v>CUST1238</v>
      </c>
      <c r="T242" s="4" t="str">
        <v>STEVEN SMITH</v>
      </c>
      <c r="U242" s="4" t="str">
        <v>40</v>
      </c>
      <c r="V242" s="4" t="str">
        <v>MALE</v>
      </c>
      <c r="W242" s="4" t="str">
        <v>PORT KRISTA</v>
      </c>
      <c r="X242" s="4" t="str">
        <v>WEST VIRGINIA</v>
      </c>
      <c r="Y242" s="4" t="str">
        <v>USA</v>
      </c>
      <c r="Z242" s="4" t="str">
        <v>PLATINUM</v>
      </c>
    </row>
    <row r="243" spans="1:26" x14ac:dyDescent="0.25">
      <c r="A243" t="s">
        <v>778</v>
      </c>
      <c r="B243" t="s">
        <v>779</v>
      </c>
      <c r="C243">
        <v>58</v>
      </c>
      <c r="D243" t="s">
        <v>16</v>
      </c>
      <c r="E243" t="s">
        <v>780</v>
      </c>
      <c r="F243" t="s">
        <v>188</v>
      </c>
      <c r="G243" t="s">
        <v>13</v>
      </c>
      <c r="H243" t="s">
        <v>19</v>
      </c>
      <c r="J243" s="4" t="str">
        <v>CUST1239</v>
      </c>
      <c r="K243" s="4" t="str">
        <v>Maria Hill</v>
      </c>
      <c r="L243" s="4" t="str">
        <v>58</v>
      </c>
      <c r="M243" s="4" t="str">
        <v>Female</v>
      </c>
      <c r="N243" s="4" t="str">
        <v>Zamoraborough</v>
      </c>
      <c r="O243" s="4" t="str">
        <v>Nevada</v>
      </c>
      <c r="P243" s="4" t="str">
        <v>USA</v>
      </c>
      <c r="Q243" s="4" t="str">
        <v>Platinum</v>
      </c>
      <c r="S243" s="4" t="str">
        <v>CUST1239</v>
      </c>
      <c r="T243" s="4" t="str">
        <v>MARIA HILL</v>
      </c>
      <c r="U243" s="4" t="str">
        <v>58</v>
      </c>
      <c r="V243" s="4" t="str">
        <v>FEMALE</v>
      </c>
      <c r="W243" s="4" t="str">
        <v>ZAMORABOROUGH</v>
      </c>
      <c r="X243" s="4" t="str">
        <v>NEVADA</v>
      </c>
      <c r="Y243" s="4" t="str">
        <v>USA</v>
      </c>
      <c r="Z243" s="4" t="str">
        <v>PLATINUM</v>
      </c>
    </row>
    <row r="244" spans="1:26" x14ac:dyDescent="0.25">
      <c r="A244" t="s">
        <v>781</v>
      </c>
      <c r="B244" t="s">
        <v>782</v>
      </c>
      <c r="C244">
        <v>59</v>
      </c>
      <c r="D244" t="s">
        <v>16</v>
      </c>
      <c r="E244" t="s">
        <v>783</v>
      </c>
      <c r="F244" t="s">
        <v>160</v>
      </c>
      <c r="G244" t="s">
        <v>13</v>
      </c>
      <c r="H244" t="s">
        <v>19</v>
      </c>
      <c r="J244" s="4" t="str">
        <v>CUST1240</v>
      </c>
      <c r="K244" s="4" t="str">
        <v>William Hull</v>
      </c>
      <c r="L244" s="4" t="str">
        <v>59</v>
      </c>
      <c r="M244" s="4" t="str">
        <v>Female</v>
      </c>
      <c r="N244" s="4" t="str">
        <v>Heathfort</v>
      </c>
      <c r="O244" s="4" t="str">
        <v>Michigan</v>
      </c>
      <c r="P244" s="4" t="str">
        <v>USA</v>
      </c>
      <c r="Q244" s="4" t="str">
        <v>Platinum</v>
      </c>
      <c r="S244" s="4" t="str">
        <v>CUST1240</v>
      </c>
      <c r="T244" s="4" t="str">
        <v>WILLIAM HULL</v>
      </c>
      <c r="U244" s="4" t="str">
        <v>59</v>
      </c>
      <c r="V244" s="4" t="str">
        <v>FEMALE</v>
      </c>
      <c r="W244" s="4" t="str">
        <v>HEATHFORT</v>
      </c>
      <c r="X244" s="4" t="str">
        <v>MICHIGAN</v>
      </c>
      <c r="Y244" s="4" t="str">
        <v>USA</v>
      </c>
      <c r="Z244" s="4" t="str">
        <v>PLATINUM</v>
      </c>
    </row>
    <row r="245" spans="1:26" x14ac:dyDescent="0.25">
      <c r="A245" t="s">
        <v>784</v>
      </c>
      <c r="B245" t="s">
        <v>785</v>
      </c>
      <c r="C245">
        <v>31</v>
      </c>
      <c r="D245" t="s">
        <v>10</v>
      </c>
      <c r="E245" t="s">
        <v>786</v>
      </c>
      <c r="F245" t="s">
        <v>291</v>
      </c>
      <c r="G245" t="s">
        <v>13</v>
      </c>
      <c r="H245" t="s">
        <v>19</v>
      </c>
      <c r="J245" s="4" t="str">
        <v>CUST1241</v>
      </c>
      <c r="K245" s="4" t="str">
        <v>Mr. William Horton</v>
      </c>
      <c r="L245" s="4" t="str">
        <v>31</v>
      </c>
      <c r="M245" s="4" t="str">
        <v>Male</v>
      </c>
      <c r="N245" s="4" t="str">
        <v>Dawsonchester</v>
      </c>
      <c r="O245" s="4" t="str">
        <v>Virginia</v>
      </c>
      <c r="P245" s="4" t="str">
        <v>USA</v>
      </c>
      <c r="Q245" s="4" t="str">
        <v>Platinum</v>
      </c>
      <c r="S245" s="4" t="str">
        <v>CUST1241</v>
      </c>
      <c r="T245" s="4" t="str">
        <v>MR. WILLIAM HORTON</v>
      </c>
      <c r="U245" s="4" t="str">
        <v>31</v>
      </c>
      <c r="V245" s="4" t="str">
        <v>MALE</v>
      </c>
      <c r="W245" s="4" t="str">
        <v>DAWSONCHESTER</v>
      </c>
      <c r="X245" s="4" t="str">
        <v>VIRGINIA</v>
      </c>
      <c r="Y245" s="4" t="str">
        <v>USA</v>
      </c>
      <c r="Z245" s="4" t="str">
        <v>PLATINUM</v>
      </c>
    </row>
    <row r="246" spans="1:26" x14ac:dyDescent="0.25">
      <c r="A246" t="s">
        <v>787</v>
      </c>
      <c r="B246" t="s">
        <v>788</v>
      </c>
      <c r="C246">
        <v>58</v>
      </c>
      <c r="D246" t="s">
        <v>16</v>
      </c>
      <c r="E246" t="s">
        <v>789</v>
      </c>
      <c r="F246" t="s">
        <v>171</v>
      </c>
      <c r="G246" t="s">
        <v>13</v>
      </c>
      <c r="H246" t="s">
        <v>33</v>
      </c>
      <c r="J246" s="4" t="str">
        <v>CUST1242</v>
      </c>
      <c r="K246" s="4" t="str">
        <v>William Jackson</v>
      </c>
      <c r="L246" s="4" t="str">
        <v>58</v>
      </c>
      <c r="M246" s="4" t="str">
        <v>Female</v>
      </c>
      <c r="N246" s="4" t="str">
        <v>New Tina</v>
      </c>
      <c r="O246" s="4" t="str">
        <v>Connecticut</v>
      </c>
      <c r="P246" s="4" t="str">
        <v>USA</v>
      </c>
      <c r="Q246" s="4" t="str">
        <v>Silver</v>
      </c>
      <c r="S246" s="4" t="str">
        <v>CUST1242</v>
      </c>
      <c r="T246" s="4" t="str">
        <v>WILLIAM JACKSON</v>
      </c>
      <c r="U246" s="4" t="str">
        <v>58</v>
      </c>
      <c r="V246" s="4" t="str">
        <v>FEMALE</v>
      </c>
      <c r="W246" s="4" t="str">
        <v>NEW TINA</v>
      </c>
      <c r="X246" s="4" t="str">
        <v>CONNECTICUT</v>
      </c>
      <c r="Y246" s="4" t="str">
        <v>USA</v>
      </c>
      <c r="Z246" s="4" t="str">
        <v>SILVER</v>
      </c>
    </row>
    <row r="247" spans="1:26" x14ac:dyDescent="0.25">
      <c r="A247" t="s">
        <v>790</v>
      </c>
      <c r="B247" t="s">
        <v>791</v>
      </c>
      <c r="C247">
        <v>56</v>
      </c>
      <c r="D247" t="s">
        <v>16</v>
      </c>
      <c r="E247" t="s">
        <v>792</v>
      </c>
      <c r="F247" t="s">
        <v>363</v>
      </c>
      <c r="G247" t="s">
        <v>13</v>
      </c>
      <c r="H247" t="s">
        <v>50</v>
      </c>
      <c r="J247" s="4" t="str">
        <v>CUST1243</v>
      </c>
      <c r="K247" s="4" t="str">
        <v>Brian Hammond</v>
      </c>
      <c r="L247" s="4" t="str">
        <v>56</v>
      </c>
      <c r="M247" s="4" t="str">
        <v>Female</v>
      </c>
      <c r="N247" s="4" t="str">
        <v>North Nicholas</v>
      </c>
      <c r="O247" s="4" t="str">
        <v>Texas</v>
      </c>
      <c r="P247" s="4" t="str">
        <v>USA</v>
      </c>
      <c r="Q247" s="4" t="str">
        <v>Gold</v>
      </c>
      <c r="S247" s="4" t="str">
        <v>CUST1243</v>
      </c>
      <c r="T247" s="4" t="str">
        <v>BRIAN HAMMOND</v>
      </c>
      <c r="U247" s="4" t="str">
        <v>56</v>
      </c>
      <c r="V247" s="4" t="str">
        <v>FEMALE</v>
      </c>
      <c r="W247" s="4" t="str">
        <v>NORTH NICHOLAS</v>
      </c>
      <c r="X247" s="4" t="str">
        <v>TEXAS</v>
      </c>
      <c r="Y247" s="4" t="str">
        <v>USA</v>
      </c>
      <c r="Z247" s="4" t="str">
        <v>GOLD</v>
      </c>
    </row>
    <row r="248" spans="1:26" x14ac:dyDescent="0.25">
      <c r="A248" t="s">
        <v>793</v>
      </c>
      <c r="B248" t="s">
        <v>794</v>
      </c>
      <c r="C248">
        <v>19</v>
      </c>
      <c r="D248" t="s">
        <v>10</v>
      </c>
      <c r="E248" t="s">
        <v>795</v>
      </c>
      <c r="F248" t="s">
        <v>121</v>
      </c>
      <c r="G248" t="s">
        <v>13</v>
      </c>
      <c r="H248" t="s">
        <v>28</v>
      </c>
      <c r="J248" s="4" t="str">
        <v>CUST1244</v>
      </c>
      <c r="K248" s="4" t="str">
        <v>Nancy Page</v>
      </c>
      <c r="L248" s="4" t="str">
        <v>19</v>
      </c>
      <c r="M248" s="4" t="str">
        <v>Male</v>
      </c>
      <c r="N248" s="4" t="str">
        <v>West Julia</v>
      </c>
      <c r="O248" s="4" t="str">
        <v>Utah</v>
      </c>
      <c r="P248" s="4" t="str">
        <v>USA</v>
      </c>
      <c r="Q248" s="4" t="str">
        <v>Bronze</v>
      </c>
      <c r="S248" s="4" t="str">
        <v>CUST1244</v>
      </c>
      <c r="T248" s="4" t="str">
        <v>NANCY PAGE</v>
      </c>
      <c r="U248" s="4" t="str">
        <v>19</v>
      </c>
      <c r="V248" s="4" t="str">
        <v>MALE</v>
      </c>
      <c r="W248" s="4" t="str">
        <v>WEST JULIA</v>
      </c>
      <c r="X248" s="4" t="str">
        <v>UTAH</v>
      </c>
      <c r="Y248" s="4" t="str">
        <v>USA</v>
      </c>
      <c r="Z248" s="4" t="str">
        <v>BRONZE</v>
      </c>
    </row>
    <row r="249" spans="1:26" x14ac:dyDescent="0.25">
      <c r="A249" t="s">
        <v>796</v>
      </c>
      <c r="B249" t="s">
        <v>797</v>
      </c>
      <c r="C249">
        <v>57</v>
      </c>
      <c r="D249" t="s">
        <v>16</v>
      </c>
      <c r="E249" t="s">
        <v>798</v>
      </c>
      <c r="F249" t="s">
        <v>160</v>
      </c>
      <c r="G249" t="s">
        <v>13</v>
      </c>
      <c r="H249" t="s">
        <v>19</v>
      </c>
      <c r="J249" s="4" t="str">
        <v>CUST1245</v>
      </c>
      <c r="K249" s="4" t="str">
        <v>Laura Soto</v>
      </c>
      <c r="L249" s="4" t="str">
        <v>57</v>
      </c>
      <c r="M249" s="4" t="str">
        <v>Female</v>
      </c>
      <c r="N249" s="4" t="str">
        <v>Rodriguezton</v>
      </c>
      <c r="O249" s="4" t="str">
        <v>Michigan</v>
      </c>
      <c r="P249" s="4" t="str">
        <v>USA</v>
      </c>
      <c r="Q249" s="4" t="str">
        <v>Platinum</v>
      </c>
      <c r="S249" s="4" t="str">
        <v>CUST1245</v>
      </c>
      <c r="T249" s="4" t="str">
        <v>LAURA SOTO</v>
      </c>
      <c r="U249" s="4" t="str">
        <v>57</v>
      </c>
      <c r="V249" s="4" t="str">
        <v>FEMALE</v>
      </c>
      <c r="W249" s="4" t="str">
        <v>RODRIGUEZTON</v>
      </c>
      <c r="X249" s="4" t="str">
        <v>MICHIGAN</v>
      </c>
      <c r="Y249" s="4" t="str">
        <v>USA</v>
      </c>
      <c r="Z249" s="4" t="str">
        <v>PLATINUM</v>
      </c>
    </row>
    <row r="250" spans="1:26" x14ac:dyDescent="0.25">
      <c r="A250" t="s">
        <v>799</v>
      </c>
      <c r="B250" t="s">
        <v>800</v>
      </c>
      <c r="C250">
        <v>58</v>
      </c>
      <c r="D250" t="s">
        <v>10</v>
      </c>
      <c r="E250" t="s">
        <v>801</v>
      </c>
      <c r="F250" t="s">
        <v>295</v>
      </c>
      <c r="G250" t="s">
        <v>13</v>
      </c>
      <c r="H250" t="s">
        <v>28</v>
      </c>
      <c r="J250" s="4" t="str">
        <v>CUST1246</v>
      </c>
      <c r="K250" s="4" t="str">
        <v>Mary Russell</v>
      </c>
      <c r="L250" s="4" t="str">
        <v>58</v>
      </c>
      <c r="M250" s="4" t="str">
        <v>Male</v>
      </c>
      <c r="N250" s="4" t="str">
        <v>South Regina</v>
      </c>
      <c r="O250" s="4" t="str">
        <v>Arkansas</v>
      </c>
      <c r="P250" s="4" t="str">
        <v>USA</v>
      </c>
      <c r="Q250" s="4" t="str">
        <v>Bronze</v>
      </c>
      <c r="S250" s="4" t="str">
        <v>CUST1246</v>
      </c>
      <c r="T250" s="4" t="str">
        <v>MARY RUSSELL</v>
      </c>
      <c r="U250" s="4" t="str">
        <v>58</v>
      </c>
      <c r="V250" s="4" t="str">
        <v>MALE</v>
      </c>
      <c r="W250" s="4" t="str">
        <v>SOUTH REGINA</v>
      </c>
      <c r="X250" s="4" t="str">
        <v>ARKANSAS</v>
      </c>
      <c r="Y250" s="4" t="str">
        <v>USA</v>
      </c>
      <c r="Z250" s="4" t="str">
        <v>BRONZE</v>
      </c>
    </row>
    <row r="251" spans="1:26" x14ac:dyDescent="0.25">
      <c r="A251" t="s">
        <v>802</v>
      </c>
      <c r="B251" t="s">
        <v>803</v>
      </c>
      <c r="C251">
        <v>32</v>
      </c>
      <c r="D251" t="s">
        <v>10</v>
      </c>
      <c r="E251" t="s">
        <v>804</v>
      </c>
      <c r="F251" t="s">
        <v>49</v>
      </c>
      <c r="G251" t="s">
        <v>13</v>
      </c>
      <c r="H251" t="s">
        <v>19</v>
      </c>
      <c r="J251" s="4" t="str">
        <v>CUST1247</v>
      </c>
      <c r="K251" s="4" t="str">
        <v>Douglas Rhodes</v>
      </c>
      <c r="L251" s="4" t="str">
        <v>32</v>
      </c>
      <c r="M251" s="4" t="str">
        <v>Male</v>
      </c>
      <c r="N251" s="4" t="str">
        <v>Mikehaven</v>
      </c>
      <c r="O251" s="4" t="str">
        <v>New Hampshire</v>
      </c>
      <c r="P251" s="4" t="str">
        <v>USA</v>
      </c>
      <c r="Q251" s="4" t="str">
        <v>Platinum</v>
      </c>
      <c r="S251" s="4" t="str">
        <v>CUST1247</v>
      </c>
      <c r="T251" s="4" t="str">
        <v>DOUGLAS RHODES</v>
      </c>
      <c r="U251" s="4" t="str">
        <v>32</v>
      </c>
      <c r="V251" s="4" t="str">
        <v>MALE</v>
      </c>
      <c r="W251" s="4" t="str">
        <v>MIKEHAVEN</v>
      </c>
      <c r="X251" s="4" t="str">
        <v>NEW HAMPSHIRE</v>
      </c>
      <c r="Y251" s="4" t="str">
        <v>USA</v>
      </c>
      <c r="Z251" s="4" t="str">
        <v>PLATINUM</v>
      </c>
    </row>
    <row r="252" spans="1:26" x14ac:dyDescent="0.25">
      <c r="A252" t="s">
        <v>805</v>
      </c>
      <c r="B252" t="s">
        <v>806</v>
      </c>
      <c r="C252">
        <v>19</v>
      </c>
      <c r="D252" t="s">
        <v>10</v>
      </c>
      <c r="E252" t="s">
        <v>807</v>
      </c>
      <c r="F252" t="s">
        <v>188</v>
      </c>
      <c r="G252" t="s">
        <v>13</v>
      </c>
      <c r="H252" t="s">
        <v>50</v>
      </c>
      <c r="J252" s="4" t="str">
        <v>CUST1248</v>
      </c>
      <c r="K252" s="4" t="str">
        <v>Nicholas Webb</v>
      </c>
      <c r="L252" s="4" t="str">
        <v>19</v>
      </c>
      <c r="M252" s="4" t="str">
        <v>Male</v>
      </c>
      <c r="N252" s="4" t="str">
        <v>Lake Timothy</v>
      </c>
      <c r="O252" s="4" t="str">
        <v>Nevada</v>
      </c>
      <c r="P252" s="4" t="str">
        <v>USA</v>
      </c>
      <c r="Q252" s="4" t="str">
        <v>Gold</v>
      </c>
      <c r="S252" s="4" t="str">
        <v>CUST1248</v>
      </c>
      <c r="T252" s="4" t="str">
        <v>NICHOLAS WEBB</v>
      </c>
      <c r="U252" s="4" t="str">
        <v>19</v>
      </c>
      <c r="V252" s="4" t="str">
        <v>MALE</v>
      </c>
      <c r="W252" s="4" t="str">
        <v>LAKE TIMOTHY</v>
      </c>
      <c r="X252" s="4" t="str">
        <v>NEVADA</v>
      </c>
      <c r="Y252" s="4" t="str">
        <v>USA</v>
      </c>
      <c r="Z252" s="4" t="str">
        <v>GOLD</v>
      </c>
    </row>
    <row r="253" spans="1:26" x14ac:dyDescent="0.25">
      <c r="A253" t="s">
        <v>808</v>
      </c>
      <c r="B253" t="s">
        <v>809</v>
      </c>
      <c r="C253">
        <v>41</v>
      </c>
      <c r="D253" t="s">
        <v>16</v>
      </c>
      <c r="E253" t="s">
        <v>810</v>
      </c>
      <c r="F253" t="s">
        <v>61</v>
      </c>
      <c r="G253" t="s">
        <v>13</v>
      </c>
      <c r="H253" t="s">
        <v>50</v>
      </c>
      <c r="J253" s="4" t="str">
        <v>CUST1249</v>
      </c>
      <c r="K253" s="4" t="str">
        <v>Lauren George</v>
      </c>
      <c r="L253" s="4" t="str">
        <v>41</v>
      </c>
      <c r="M253" s="4" t="str">
        <v>Female</v>
      </c>
      <c r="N253" s="4" t="str">
        <v>Garciamouth</v>
      </c>
      <c r="O253" s="4" t="str">
        <v>New York</v>
      </c>
      <c r="P253" s="4" t="str">
        <v>USA</v>
      </c>
      <c r="Q253" s="4" t="str">
        <v>Gold</v>
      </c>
      <c r="S253" s="4" t="str">
        <v>CUST1249</v>
      </c>
      <c r="T253" s="4" t="str">
        <v>LAUREN GEORGE</v>
      </c>
      <c r="U253" s="4" t="str">
        <v>41</v>
      </c>
      <c r="V253" s="4" t="str">
        <v>FEMALE</v>
      </c>
      <c r="W253" s="4" t="str">
        <v>GARCIAMOUTH</v>
      </c>
      <c r="X253" s="4" t="str">
        <v>NEW YORK</v>
      </c>
      <c r="Y253" s="4" t="str">
        <v>USA</v>
      </c>
      <c r="Z253" s="4" t="str">
        <v>GOLD</v>
      </c>
    </row>
    <row r="254" spans="1:26" x14ac:dyDescent="0.25">
      <c r="A254" t="s">
        <v>811</v>
      </c>
      <c r="B254" t="s">
        <v>812</v>
      </c>
      <c r="C254">
        <v>48</v>
      </c>
      <c r="D254" t="s">
        <v>10</v>
      </c>
      <c r="E254" t="s">
        <v>813</v>
      </c>
      <c r="F254" t="s">
        <v>95</v>
      </c>
      <c r="G254" t="s">
        <v>13</v>
      </c>
      <c r="H254" t="s">
        <v>19</v>
      </c>
      <c r="J254" s="4" t="str">
        <v>CUST1250</v>
      </c>
      <c r="K254" s="4" t="str">
        <v>Veronica Newman</v>
      </c>
      <c r="L254" s="4" t="str">
        <v>48</v>
      </c>
      <c r="M254" s="4" t="str">
        <v>Male</v>
      </c>
      <c r="N254" s="4" t="str">
        <v>New Daniel</v>
      </c>
      <c r="O254" s="4" t="str">
        <v>Delaware</v>
      </c>
      <c r="P254" s="4" t="str">
        <v>USA</v>
      </c>
      <c r="Q254" s="4" t="str">
        <v>Platinum</v>
      </c>
      <c r="S254" s="4" t="str">
        <v>CUST1250</v>
      </c>
      <c r="T254" s="4" t="str">
        <v>VERONICA NEWMAN</v>
      </c>
      <c r="U254" s="4" t="str">
        <v>48</v>
      </c>
      <c r="V254" s="4" t="str">
        <v>MALE</v>
      </c>
      <c r="W254" s="4" t="str">
        <v>NEW DANIEL</v>
      </c>
      <c r="X254" s="4" t="str">
        <v>DELAWARE</v>
      </c>
      <c r="Y254" s="4" t="str">
        <v>USA</v>
      </c>
      <c r="Z254" s="4" t="str">
        <v>PLATINUM</v>
      </c>
    </row>
    <row r="255" spans="1:26" x14ac:dyDescent="0.25">
      <c r="A255" t="s">
        <v>814</v>
      </c>
      <c r="B255" t="s">
        <v>815</v>
      </c>
      <c r="C255">
        <v>64</v>
      </c>
      <c r="D255" t="s">
        <v>10</v>
      </c>
      <c r="E255" t="s">
        <v>816</v>
      </c>
      <c r="F255" t="s">
        <v>23</v>
      </c>
      <c r="G255" t="s">
        <v>13</v>
      </c>
      <c r="H255" t="s">
        <v>33</v>
      </c>
      <c r="J255" s="4" t="str">
        <v>CUST1251</v>
      </c>
      <c r="K255" s="4" t="str">
        <v>Tyler Garner</v>
      </c>
      <c r="L255" s="4" t="str">
        <v>64</v>
      </c>
      <c r="M255" s="4" t="str">
        <v>Male</v>
      </c>
      <c r="N255" s="4" t="str">
        <v>Port Coreyfort</v>
      </c>
      <c r="O255" s="4" t="str">
        <v>Alabama</v>
      </c>
      <c r="P255" s="4" t="str">
        <v>USA</v>
      </c>
      <c r="Q255" s="4" t="str">
        <v>Silver</v>
      </c>
      <c r="S255" s="4" t="str">
        <v>CUST1251</v>
      </c>
      <c r="T255" s="4" t="str">
        <v>TYLER GARNER</v>
      </c>
      <c r="U255" s="4" t="str">
        <v>64</v>
      </c>
      <c r="V255" s="4" t="str">
        <v>MALE</v>
      </c>
      <c r="W255" s="4" t="str">
        <v>PORT COREYFORT</v>
      </c>
      <c r="X255" s="4" t="str">
        <v>ALABAMA</v>
      </c>
      <c r="Y255" s="4" t="str">
        <v>USA</v>
      </c>
      <c r="Z255" s="4" t="str">
        <v>SILVER</v>
      </c>
    </row>
    <row r="256" spans="1:26" x14ac:dyDescent="0.25">
      <c r="A256" t="s">
        <v>817</v>
      </c>
      <c r="B256" t="s">
        <v>818</v>
      </c>
      <c r="C256">
        <v>26</v>
      </c>
      <c r="D256" t="s">
        <v>10</v>
      </c>
      <c r="E256" t="s">
        <v>819</v>
      </c>
      <c r="F256" t="s">
        <v>41</v>
      </c>
      <c r="G256" t="s">
        <v>13</v>
      </c>
      <c r="H256" t="s">
        <v>33</v>
      </c>
      <c r="J256" s="4" t="str">
        <v>CUST1252</v>
      </c>
      <c r="K256" s="4" t="str">
        <v>John Mccoy</v>
      </c>
      <c r="L256" s="4" t="str">
        <v>26</v>
      </c>
      <c r="M256" s="4" t="str">
        <v>Male</v>
      </c>
      <c r="N256" s="4" t="str">
        <v>Robinborough</v>
      </c>
      <c r="O256" s="4" t="str">
        <v>South Dakota</v>
      </c>
      <c r="P256" s="4" t="str">
        <v>USA</v>
      </c>
      <c r="Q256" s="4" t="str">
        <v>Silver</v>
      </c>
      <c r="S256" s="4" t="str">
        <v>CUST1252</v>
      </c>
      <c r="T256" s="4" t="str">
        <v>JOHN MCCOY</v>
      </c>
      <c r="U256" s="4" t="str">
        <v>26</v>
      </c>
      <c r="V256" s="4" t="str">
        <v>MALE</v>
      </c>
      <c r="W256" s="4" t="str">
        <v>ROBINBOROUGH</v>
      </c>
      <c r="X256" s="4" t="str">
        <v>SOUTH DAKOTA</v>
      </c>
      <c r="Y256" s="4" t="str">
        <v>USA</v>
      </c>
      <c r="Z256" s="4" t="str">
        <v>SILVER</v>
      </c>
    </row>
    <row r="257" spans="1:26" x14ac:dyDescent="0.25">
      <c r="A257" t="s">
        <v>820</v>
      </c>
      <c r="B257" t="s">
        <v>821</v>
      </c>
      <c r="C257">
        <v>32</v>
      </c>
      <c r="D257" t="s">
        <v>10</v>
      </c>
      <c r="E257" t="s">
        <v>822</v>
      </c>
      <c r="F257" t="s">
        <v>328</v>
      </c>
      <c r="G257" t="s">
        <v>13</v>
      </c>
      <c r="H257" t="s">
        <v>28</v>
      </c>
      <c r="J257" s="4" t="str">
        <v>CUST1253</v>
      </c>
      <c r="K257" s="4" t="str">
        <v>Dr. Ashley Yates MD</v>
      </c>
      <c r="L257" s="4" t="str">
        <v>32</v>
      </c>
      <c r="M257" s="4" t="str">
        <v>Male</v>
      </c>
      <c r="N257" s="4" t="str">
        <v>New Maria</v>
      </c>
      <c r="O257" s="4" t="str">
        <v>Wisconsin</v>
      </c>
      <c r="P257" s="4" t="str">
        <v>USA</v>
      </c>
      <c r="Q257" s="4" t="str">
        <v>Bronze</v>
      </c>
      <c r="S257" s="4" t="str">
        <v>CUST1253</v>
      </c>
      <c r="T257" s="4" t="str">
        <v>DR. ASHLEY YATES MD</v>
      </c>
      <c r="U257" s="4" t="str">
        <v>32</v>
      </c>
      <c r="V257" s="4" t="str">
        <v>MALE</v>
      </c>
      <c r="W257" s="4" t="str">
        <v>NEW MARIA</v>
      </c>
      <c r="X257" s="4" t="str">
        <v>WISCONSIN</v>
      </c>
      <c r="Y257" s="4" t="str">
        <v>USA</v>
      </c>
      <c r="Z257" s="4" t="str">
        <v>BRONZE</v>
      </c>
    </row>
    <row r="258" spans="1:26" x14ac:dyDescent="0.25">
      <c r="A258" t="s">
        <v>823</v>
      </c>
      <c r="B258" t="s">
        <v>824</v>
      </c>
      <c r="C258">
        <v>34</v>
      </c>
      <c r="D258" t="s">
        <v>10</v>
      </c>
      <c r="E258" t="s">
        <v>825</v>
      </c>
      <c r="F258" t="s">
        <v>167</v>
      </c>
      <c r="G258" t="s">
        <v>13</v>
      </c>
      <c r="H258" t="s">
        <v>33</v>
      </c>
      <c r="J258" s="4" t="str">
        <v>CUST1254</v>
      </c>
      <c r="K258" s="4" t="str">
        <v>Linda Kline</v>
      </c>
      <c r="L258" s="4" t="str">
        <v>34</v>
      </c>
      <c r="M258" s="4" t="str">
        <v>Male</v>
      </c>
      <c r="N258" s="4" t="str">
        <v>Masseyland</v>
      </c>
      <c r="O258" s="4" t="str">
        <v>Alaska</v>
      </c>
      <c r="P258" s="4" t="str">
        <v>USA</v>
      </c>
      <c r="Q258" s="4" t="str">
        <v>Silver</v>
      </c>
      <c r="S258" s="4" t="str">
        <v>CUST1254</v>
      </c>
      <c r="T258" s="4" t="str">
        <v>LINDA KLINE</v>
      </c>
      <c r="U258" s="4" t="str">
        <v>34</v>
      </c>
      <c r="V258" s="4" t="str">
        <v>MALE</v>
      </c>
      <c r="W258" s="4" t="str">
        <v>MASSEYLAND</v>
      </c>
      <c r="X258" s="4" t="str">
        <v>ALASKA</v>
      </c>
      <c r="Y258" s="4" t="str">
        <v>USA</v>
      </c>
      <c r="Z258" s="4" t="str">
        <v>SILVER</v>
      </c>
    </row>
    <row r="259" spans="1:26" x14ac:dyDescent="0.25">
      <c r="A259" t="s">
        <v>826</v>
      </c>
      <c r="B259" t="s">
        <v>827</v>
      </c>
      <c r="C259">
        <v>21</v>
      </c>
      <c r="D259" t="s">
        <v>10</v>
      </c>
      <c r="E259" t="s">
        <v>828</v>
      </c>
      <c r="F259" t="s">
        <v>27</v>
      </c>
      <c r="G259" t="s">
        <v>13</v>
      </c>
      <c r="H259" t="s">
        <v>50</v>
      </c>
      <c r="J259" s="4" t="str">
        <v>CUST1255</v>
      </c>
      <c r="K259" s="4" t="str">
        <v>Damon Perez</v>
      </c>
      <c r="L259" s="4" t="str">
        <v>21</v>
      </c>
      <c r="M259" s="4" t="str">
        <v>Male</v>
      </c>
      <c r="N259" s="4" t="str">
        <v>Jasonton</v>
      </c>
      <c r="O259" s="4" t="str">
        <v>Ohio</v>
      </c>
      <c r="P259" s="4" t="str">
        <v>USA</v>
      </c>
      <c r="Q259" s="4" t="str">
        <v>Gold</v>
      </c>
      <c r="S259" s="4" t="str">
        <v>CUST1255</v>
      </c>
      <c r="T259" s="4" t="str">
        <v>DAMON PEREZ</v>
      </c>
      <c r="U259" s="4" t="str">
        <v>21</v>
      </c>
      <c r="V259" s="4" t="str">
        <v>MALE</v>
      </c>
      <c r="W259" s="4" t="str">
        <v>JASONTON</v>
      </c>
      <c r="X259" s="4" t="str">
        <v>OHIO</v>
      </c>
      <c r="Y259" s="4" t="str">
        <v>USA</v>
      </c>
      <c r="Z259" s="4" t="str">
        <v>GOLD</v>
      </c>
    </row>
    <row r="260" spans="1:26" x14ac:dyDescent="0.25">
      <c r="A260" t="s">
        <v>829</v>
      </c>
      <c r="B260" t="s">
        <v>830</v>
      </c>
      <c r="C260">
        <v>57</v>
      </c>
      <c r="D260" t="s">
        <v>10</v>
      </c>
      <c r="E260" t="s">
        <v>831</v>
      </c>
      <c r="F260" t="s">
        <v>295</v>
      </c>
      <c r="G260" t="s">
        <v>13</v>
      </c>
      <c r="H260" t="s">
        <v>19</v>
      </c>
      <c r="J260" s="4" t="str">
        <v>CUST1256</v>
      </c>
      <c r="K260" s="4" t="str">
        <v>Kristen Fischer</v>
      </c>
      <c r="L260" s="4" t="str">
        <v>57</v>
      </c>
      <c r="M260" s="4" t="str">
        <v>Male</v>
      </c>
      <c r="N260" s="4" t="str">
        <v>Lake Christopher</v>
      </c>
      <c r="O260" s="4" t="str">
        <v>Arkansas</v>
      </c>
      <c r="P260" s="4" t="str">
        <v>USA</v>
      </c>
      <c r="Q260" s="4" t="str">
        <v>Platinum</v>
      </c>
      <c r="S260" s="4" t="str">
        <v>CUST1256</v>
      </c>
      <c r="T260" s="4" t="str">
        <v>KRISTEN FISCHER</v>
      </c>
      <c r="U260" s="4" t="str">
        <v>57</v>
      </c>
      <c r="V260" s="4" t="str">
        <v>MALE</v>
      </c>
      <c r="W260" s="4" t="str">
        <v>LAKE CHRISTOPHER</v>
      </c>
      <c r="X260" s="4" t="str">
        <v>ARKANSAS</v>
      </c>
      <c r="Y260" s="4" t="str">
        <v>USA</v>
      </c>
      <c r="Z260" s="4" t="str">
        <v>PLATINUM</v>
      </c>
    </row>
    <row r="261" spans="1:26" x14ac:dyDescent="0.25">
      <c r="A261" t="s">
        <v>832</v>
      </c>
      <c r="B261" t="s">
        <v>833</v>
      </c>
      <c r="C261">
        <v>42</v>
      </c>
      <c r="D261" t="s">
        <v>10</v>
      </c>
      <c r="E261" t="s">
        <v>834</v>
      </c>
      <c r="F261" t="s">
        <v>725</v>
      </c>
      <c r="G261" t="s">
        <v>13</v>
      </c>
      <c r="H261" t="s">
        <v>33</v>
      </c>
      <c r="J261" s="4" t="str">
        <v>CUST1257</v>
      </c>
      <c r="K261" s="4" t="str">
        <v>Christopher David</v>
      </c>
      <c r="L261" s="4" t="str">
        <v>42</v>
      </c>
      <c r="M261" s="4" t="str">
        <v>Male</v>
      </c>
      <c r="N261" s="4" t="str">
        <v>Karenmouth</v>
      </c>
      <c r="O261" s="4" t="str">
        <v>Massachusetts</v>
      </c>
      <c r="P261" s="4" t="str">
        <v>USA</v>
      </c>
      <c r="Q261" s="4" t="str">
        <v>Silver</v>
      </c>
      <c r="S261" s="4" t="str">
        <v>CUST1257</v>
      </c>
      <c r="T261" s="4" t="str">
        <v>CHRISTOPHER DAVID</v>
      </c>
      <c r="U261" s="4" t="str">
        <v>42</v>
      </c>
      <c r="V261" s="4" t="str">
        <v>MALE</v>
      </c>
      <c r="W261" s="4" t="str">
        <v>KARENMOUTH</v>
      </c>
      <c r="X261" s="4" t="str">
        <v>MASSACHUSETTS</v>
      </c>
      <c r="Y261" s="4" t="str">
        <v>USA</v>
      </c>
      <c r="Z261" s="4" t="str">
        <v>SILVER</v>
      </c>
    </row>
    <row r="262" spans="1:26" x14ac:dyDescent="0.25">
      <c r="A262" t="s">
        <v>835</v>
      </c>
      <c r="B262" t="s">
        <v>836</v>
      </c>
      <c r="C262">
        <v>24</v>
      </c>
      <c r="D262" t="s">
        <v>16</v>
      </c>
      <c r="E262" t="s">
        <v>837</v>
      </c>
      <c r="F262" t="s">
        <v>363</v>
      </c>
      <c r="G262" t="s">
        <v>13</v>
      </c>
      <c r="H262" t="s">
        <v>19</v>
      </c>
      <c r="J262" s="4" t="str">
        <v>CUST1258</v>
      </c>
      <c r="K262" s="4" t="str">
        <v>Sarah Stewart</v>
      </c>
      <c r="L262" s="4" t="str">
        <v>24</v>
      </c>
      <c r="M262" s="4" t="str">
        <v>Female</v>
      </c>
      <c r="N262" s="4" t="str">
        <v>East Richard</v>
      </c>
      <c r="O262" s="4" t="str">
        <v>Texas</v>
      </c>
      <c r="P262" s="4" t="str">
        <v>USA</v>
      </c>
      <c r="Q262" s="4" t="str">
        <v>Platinum</v>
      </c>
      <c r="S262" s="4" t="str">
        <v>CUST1258</v>
      </c>
      <c r="T262" s="4" t="str">
        <v>SARAH STEWART</v>
      </c>
      <c r="U262" s="4" t="str">
        <v>24</v>
      </c>
      <c r="V262" s="4" t="str">
        <v>FEMALE</v>
      </c>
      <c r="W262" s="4" t="str">
        <v>EAST RICHARD</v>
      </c>
      <c r="X262" s="4" t="str">
        <v>TEXAS</v>
      </c>
      <c r="Y262" s="4" t="str">
        <v>USA</v>
      </c>
      <c r="Z262" s="4" t="str">
        <v>PLATINUM</v>
      </c>
    </row>
    <row r="263" spans="1:26" x14ac:dyDescent="0.25">
      <c r="A263" t="s">
        <v>838</v>
      </c>
      <c r="B263" t="s">
        <v>839</v>
      </c>
      <c r="C263">
        <v>32</v>
      </c>
      <c r="D263" t="s">
        <v>16</v>
      </c>
      <c r="E263" t="s">
        <v>840</v>
      </c>
      <c r="F263" t="s">
        <v>99</v>
      </c>
      <c r="G263" t="s">
        <v>13</v>
      </c>
      <c r="H263" t="s">
        <v>33</v>
      </c>
      <c r="J263" s="4" t="str">
        <v>CUST1259</v>
      </c>
      <c r="K263" s="4" t="str">
        <v>Beth Allen</v>
      </c>
      <c r="L263" s="4" t="str">
        <v>32</v>
      </c>
      <c r="M263" s="4" t="str">
        <v>Female</v>
      </c>
      <c r="N263" s="4" t="str">
        <v>South Kathrynmouth</v>
      </c>
      <c r="O263" s="4" t="str">
        <v>Oklahoma</v>
      </c>
      <c r="P263" s="4" t="str">
        <v>USA</v>
      </c>
      <c r="Q263" s="4" t="str">
        <v>Silver</v>
      </c>
      <c r="S263" s="4" t="str">
        <v>CUST1259</v>
      </c>
      <c r="T263" s="4" t="str">
        <v>BETH ALLEN</v>
      </c>
      <c r="U263" s="4" t="str">
        <v>32</v>
      </c>
      <c r="V263" s="4" t="str">
        <v>FEMALE</v>
      </c>
      <c r="W263" s="4" t="str">
        <v>SOUTH KATHRYNMOUTH</v>
      </c>
      <c r="X263" s="4" t="str">
        <v>OKLAHOMA</v>
      </c>
      <c r="Y263" s="4" t="str">
        <v>USA</v>
      </c>
      <c r="Z263" s="4" t="str">
        <v>SILVER</v>
      </c>
    </row>
    <row r="264" spans="1:26" x14ac:dyDescent="0.25">
      <c r="A264" t="s">
        <v>841</v>
      </c>
      <c r="B264" t="s">
        <v>842</v>
      </c>
      <c r="C264">
        <v>63</v>
      </c>
      <c r="D264" t="s">
        <v>16</v>
      </c>
      <c r="E264" t="s">
        <v>843</v>
      </c>
      <c r="F264" t="s">
        <v>137</v>
      </c>
      <c r="G264" t="s">
        <v>13</v>
      </c>
      <c r="H264" t="s">
        <v>19</v>
      </c>
      <c r="J264" s="4" t="str">
        <v>CUST1260</v>
      </c>
      <c r="K264" s="4" t="str">
        <v>Russell Lamb</v>
      </c>
      <c r="L264" s="4" t="str">
        <v>63</v>
      </c>
      <c r="M264" s="4" t="str">
        <v>Female</v>
      </c>
      <c r="N264" s="4" t="str">
        <v>North Jonathon</v>
      </c>
      <c r="O264" s="4" t="str">
        <v>Arizona</v>
      </c>
      <c r="P264" s="4" t="str">
        <v>USA</v>
      </c>
      <c r="Q264" s="4" t="str">
        <v>Platinum</v>
      </c>
      <c r="S264" s="4" t="str">
        <v>CUST1260</v>
      </c>
      <c r="T264" s="4" t="str">
        <v>RUSSELL LAMB</v>
      </c>
      <c r="U264" s="4" t="str">
        <v>63</v>
      </c>
      <c r="V264" s="4" t="str">
        <v>FEMALE</v>
      </c>
      <c r="W264" s="4" t="str">
        <v>NORTH JONATHON</v>
      </c>
      <c r="X264" s="4" t="str">
        <v>ARIZONA</v>
      </c>
      <c r="Y264" s="4" t="str">
        <v>USA</v>
      </c>
      <c r="Z264" s="4" t="str">
        <v>PLATINUM</v>
      </c>
    </row>
    <row r="265" spans="1:26" x14ac:dyDescent="0.25">
      <c r="A265" t="s">
        <v>844</v>
      </c>
      <c r="B265" t="s">
        <v>845</v>
      </c>
      <c r="C265">
        <v>27</v>
      </c>
      <c r="D265" t="s">
        <v>16</v>
      </c>
      <c r="E265" t="s">
        <v>846</v>
      </c>
      <c r="F265" t="s">
        <v>37</v>
      </c>
      <c r="G265" t="s">
        <v>13</v>
      </c>
      <c r="H265" t="s">
        <v>33</v>
      </c>
      <c r="J265" s="4" t="str">
        <v>CUST1261</v>
      </c>
      <c r="K265" s="4" t="str">
        <v>Carol Bishop</v>
      </c>
      <c r="L265" s="4" t="str">
        <v>27</v>
      </c>
      <c r="M265" s="4" t="str">
        <v>Female</v>
      </c>
      <c r="N265" s="4" t="str">
        <v>Lake Saramouth</v>
      </c>
      <c r="O265" s="4" t="str">
        <v>Oregon</v>
      </c>
      <c r="P265" s="4" t="str">
        <v>USA</v>
      </c>
      <c r="Q265" s="4" t="str">
        <v>Silver</v>
      </c>
      <c r="S265" s="4" t="str">
        <v>CUST1261</v>
      </c>
      <c r="T265" s="4" t="str">
        <v>CAROL BISHOP</v>
      </c>
      <c r="U265" s="4" t="str">
        <v>27</v>
      </c>
      <c r="V265" s="4" t="str">
        <v>FEMALE</v>
      </c>
      <c r="W265" s="4" t="str">
        <v>LAKE SARAMOUTH</v>
      </c>
      <c r="X265" s="4" t="str">
        <v>OREGON</v>
      </c>
      <c r="Y265" s="4" t="str">
        <v>USA</v>
      </c>
      <c r="Z265" s="4" t="str">
        <v>SILVER</v>
      </c>
    </row>
    <row r="266" spans="1:26" x14ac:dyDescent="0.25">
      <c r="A266" t="s">
        <v>847</v>
      </c>
      <c r="B266" t="s">
        <v>848</v>
      </c>
      <c r="C266">
        <v>60</v>
      </c>
      <c r="D266" t="s">
        <v>16</v>
      </c>
      <c r="E266" t="s">
        <v>849</v>
      </c>
      <c r="F266" t="s">
        <v>69</v>
      </c>
      <c r="G266" t="s">
        <v>13</v>
      </c>
      <c r="H266" t="s">
        <v>33</v>
      </c>
      <c r="J266" s="4" t="str">
        <v>CUST1262</v>
      </c>
      <c r="K266" s="4" t="str">
        <v>Katherine Cowan</v>
      </c>
      <c r="L266" s="4" t="str">
        <v>60</v>
      </c>
      <c r="M266" s="4" t="str">
        <v>Female</v>
      </c>
      <c r="N266" s="4" t="str">
        <v>New Ana</v>
      </c>
      <c r="O266" s="4" t="str">
        <v>Montana</v>
      </c>
      <c r="P266" s="4" t="str">
        <v>USA</v>
      </c>
      <c r="Q266" s="4" t="str">
        <v>Silver</v>
      </c>
      <c r="S266" s="4" t="str">
        <v>CUST1262</v>
      </c>
      <c r="T266" s="4" t="str">
        <v>KATHERINE COWAN</v>
      </c>
      <c r="U266" s="4" t="str">
        <v>60</v>
      </c>
      <c r="V266" s="4" t="str">
        <v>FEMALE</v>
      </c>
      <c r="W266" s="4" t="str">
        <v>NEW ANA</v>
      </c>
      <c r="X266" s="4" t="str">
        <v>MONTANA</v>
      </c>
      <c r="Y266" s="4" t="str">
        <v>USA</v>
      </c>
      <c r="Z266" s="4" t="str">
        <v>SILVER</v>
      </c>
    </row>
    <row r="267" spans="1:26" x14ac:dyDescent="0.25">
      <c r="A267" t="s">
        <v>850</v>
      </c>
      <c r="B267" t="s">
        <v>851</v>
      </c>
      <c r="C267">
        <v>50</v>
      </c>
      <c r="D267" t="s">
        <v>10</v>
      </c>
      <c r="E267" t="s">
        <v>852</v>
      </c>
      <c r="F267" t="s">
        <v>332</v>
      </c>
      <c r="G267" t="s">
        <v>13</v>
      </c>
      <c r="H267" t="s">
        <v>28</v>
      </c>
      <c r="J267" s="4" t="str">
        <v>CUST1263</v>
      </c>
      <c r="K267" s="4" t="str">
        <v>Crystal Davis</v>
      </c>
      <c r="L267" s="4" t="str">
        <v>50</v>
      </c>
      <c r="M267" s="4" t="str">
        <v>Male</v>
      </c>
      <c r="N267" s="4" t="str">
        <v>Sallymouth</v>
      </c>
      <c r="O267" s="4" t="str">
        <v>Louisiana</v>
      </c>
      <c r="P267" s="4" t="str">
        <v>USA</v>
      </c>
      <c r="Q267" s="4" t="str">
        <v>Bronze</v>
      </c>
      <c r="S267" s="4" t="str">
        <v>CUST1263</v>
      </c>
      <c r="T267" s="4" t="str">
        <v>CRYSTAL DAVIS</v>
      </c>
      <c r="U267" s="4" t="str">
        <v>50</v>
      </c>
      <c r="V267" s="4" t="str">
        <v>MALE</v>
      </c>
      <c r="W267" s="4" t="str">
        <v>SALLYMOUTH</v>
      </c>
      <c r="X267" s="4" t="str">
        <v>LOUISIANA</v>
      </c>
      <c r="Y267" s="4" t="str">
        <v>USA</v>
      </c>
      <c r="Z267" s="4" t="str">
        <v>BRONZE</v>
      </c>
    </row>
    <row r="268" spans="1:26" x14ac:dyDescent="0.25">
      <c r="A268" t="s">
        <v>853</v>
      </c>
      <c r="B268" t="s">
        <v>854</v>
      </c>
      <c r="C268">
        <v>25</v>
      </c>
      <c r="D268" t="s">
        <v>10</v>
      </c>
      <c r="E268" t="s">
        <v>855</v>
      </c>
      <c r="F268" t="s">
        <v>856</v>
      </c>
      <c r="G268" t="s">
        <v>13</v>
      </c>
      <c r="H268" t="s">
        <v>50</v>
      </c>
      <c r="J268" s="4" t="str">
        <v>CUST1264</v>
      </c>
      <c r="K268" s="4" t="str">
        <v>Matthew Payne</v>
      </c>
      <c r="L268" s="4" t="str">
        <v>25</v>
      </c>
      <c r="M268" s="4" t="str">
        <v>Male</v>
      </c>
      <c r="N268" s="4" t="str">
        <v>Grahamfurt</v>
      </c>
      <c r="O268" s="4" t="str">
        <v>Wyoming</v>
      </c>
      <c r="P268" s="4" t="str">
        <v>USA</v>
      </c>
      <c r="Q268" s="4" t="str">
        <v>Gold</v>
      </c>
      <c r="S268" s="4" t="str">
        <v>CUST1264</v>
      </c>
      <c r="T268" s="4" t="str">
        <v>MATTHEW PAYNE</v>
      </c>
      <c r="U268" s="4" t="str">
        <v>25</v>
      </c>
      <c r="V268" s="4" t="str">
        <v>MALE</v>
      </c>
      <c r="W268" s="4" t="str">
        <v>GRAHAMFURT</v>
      </c>
      <c r="X268" s="4" t="str">
        <v>WYOMING</v>
      </c>
      <c r="Y268" s="4" t="str">
        <v>USA</v>
      </c>
      <c r="Z268" s="4" t="str">
        <v>GOLD</v>
      </c>
    </row>
    <row r="269" spans="1:26" x14ac:dyDescent="0.25">
      <c r="A269" t="s">
        <v>857</v>
      </c>
      <c r="B269" t="s">
        <v>858</v>
      </c>
      <c r="C269">
        <v>38</v>
      </c>
      <c r="D269" t="s">
        <v>10</v>
      </c>
      <c r="E269" t="s">
        <v>859</v>
      </c>
      <c r="F269" t="s">
        <v>241</v>
      </c>
      <c r="G269" t="s">
        <v>13</v>
      </c>
      <c r="H269" t="s">
        <v>33</v>
      </c>
      <c r="J269" s="4" t="str">
        <v>CUST1265</v>
      </c>
      <c r="K269" s="4" t="str">
        <v>Tracy Kelly</v>
      </c>
      <c r="L269" s="4" t="str">
        <v>38</v>
      </c>
      <c r="M269" s="4" t="str">
        <v>Male</v>
      </c>
      <c r="N269" s="4" t="str">
        <v>West Jamieport</v>
      </c>
      <c r="O269" s="4" t="str">
        <v>Tennessee</v>
      </c>
      <c r="P269" s="4" t="str">
        <v>USA</v>
      </c>
      <c r="Q269" s="4" t="str">
        <v>Silver</v>
      </c>
      <c r="S269" s="4" t="str">
        <v>CUST1265</v>
      </c>
      <c r="T269" s="4" t="str">
        <v>TRACY KELLY</v>
      </c>
      <c r="U269" s="4" t="str">
        <v>38</v>
      </c>
      <c r="V269" s="4" t="str">
        <v>MALE</v>
      </c>
      <c r="W269" s="4" t="str">
        <v>WEST JAMIEPORT</v>
      </c>
      <c r="X269" s="4" t="str">
        <v>TENNESSEE</v>
      </c>
      <c r="Y269" s="4" t="str">
        <v>USA</v>
      </c>
      <c r="Z269" s="4" t="str">
        <v>SILVER</v>
      </c>
    </row>
    <row r="270" spans="1:26" x14ac:dyDescent="0.25">
      <c r="A270" t="s">
        <v>860</v>
      </c>
      <c r="B270" t="s">
        <v>861</v>
      </c>
      <c r="C270">
        <v>32</v>
      </c>
      <c r="D270" t="s">
        <v>16</v>
      </c>
      <c r="E270" t="s">
        <v>862</v>
      </c>
      <c r="F270" t="s">
        <v>596</v>
      </c>
      <c r="G270" t="s">
        <v>13</v>
      </c>
      <c r="H270" t="s">
        <v>28</v>
      </c>
      <c r="J270" s="4" t="str">
        <v>CUST1266</v>
      </c>
      <c r="K270" s="4" t="str">
        <v>Cynthia Payne</v>
      </c>
      <c r="L270" s="4" t="str">
        <v>32</v>
      </c>
      <c r="M270" s="4" t="str">
        <v>Female</v>
      </c>
      <c r="N270" s="4" t="str">
        <v>South Gina</v>
      </c>
      <c r="O270" s="4" t="str">
        <v>Kentucky</v>
      </c>
      <c r="P270" s="4" t="str">
        <v>USA</v>
      </c>
      <c r="Q270" s="4" t="str">
        <v>Bronze</v>
      </c>
      <c r="S270" s="4" t="str">
        <v>CUST1266</v>
      </c>
      <c r="T270" s="4" t="str">
        <v>CYNTHIA PAYNE</v>
      </c>
      <c r="U270" s="4" t="str">
        <v>32</v>
      </c>
      <c r="V270" s="4" t="str">
        <v>FEMALE</v>
      </c>
      <c r="W270" s="4" t="str">
        <v>SOUTH GINA</v>
      </c>
      <c r="X270" s="4" t="str">
        <v>KENTUCKY</v>
      </c>
      <c r="Y270" s="4" t="str">
        <v>USA</v>
      </c>
      <c r="Z270" s="4" t="str">
        <v>BRONZE</v>
      </c>
    </row>
    <row r="271" spans="1:26" x14ac:dyDescent="0.25">
      <c r="A271" t="s">
        <v>863</v>
      </c>
      <c r="B271" t="s">
        <v>864</v>
      </c>
      <c r="C271">
        <v>18</v>
      </c>
      <c r="D271" t="s">
        <v>10</v>
      </c>
      <c r="E271" t="s">
        <v>792</v>
      </c>
      <c r="F271" t="s">
        <v>69</v>
      </c>
      <c r="G271" t="s">
        <v>13</v>
      </c>
      <c r="H271" t="s">
        <v>28</v>
      </c>
      <c r="J271" s="4" t="str">
        <v>CUST1267</v>
      </c>
      <c r="K271" s="4" t="str">
        <v>Zachary Shelton</v>
      </c>
      <c r="L271" s="4" t="str">
        <v>18</v>
      </c>
      <c r="M271" s="4" t="str">
        <v>Male</v>
      </c>
      <c r="N271" s="4" t="str">
        <v>North Nicholas</v>
      </c>
      <c r="O271" s="4" t="str">
        <v>Montana</v>
      </c>
      <c r="P271" s="4" t="str">
        <v>USA</v>
      </c>
      <c r="Q271" s="4" t="str">
        <v>Bronze</v>
      </c>
      <c r="S271" s="4" t="str">
        <v>CUST1267</v>
      </c>
      <c r="T271" s="4" t="str">
        <v>ZACHARY SHELTON</v>
      </c>
      <c r="U271" s="4" t="str">
        <v>18</v>
      </c>
      <c r="V271" s="4" t="str">
        <v>MALE</v>
      </c>
      <c r="W271" s="4" t="str">
        <v>NORTH NICHOLAS</v>
      </c>
      <c r="X271" s="4" t="str">
        <v>MONTANA</v>
      </c>
      <c r="Y271" s="4" t="str">
        <v>USA</v>
      </c>
      <c r="Z271" s="4" t="str">
        <v>BRONZE</v>
      </c>
    </row>
    <row r="272" spans="1:26" x14ac:dyDescent="0.25">
      <c r="A272" t="s">
        <v>865</v>
      </c>
      <c r="B272" t="s">
        <v>866</v>
      </c>
      <c r="C272">
        <v>53</v>
      </c>
      <c r="D272" t="s">
        <v>16</v>
      </c>
      <c r="E272" t="s">
        <v>867</v>
      </c>
      <c r="F272" t="s">
        <v>205</v>
      </c>
      <c r="G272" t="s">
        <v>13</v>
      </c>
      <c r="H272" t="s">
        <v>28</v>
      </c>
      <c r="J272" s="4" t="str">
        <v>CUST1268</v>
      </c>
      <c r="K272" s="4" t="str">
        <v>Kevin Orr</v>
      </c>
      <c r="L272" s="4" t="str">
        <v>53</v>
      </c>
      <c r="M272" s="4" t="str">
        <v>Female</v>
      </c>
      <c r="N272" s="4" t="str">
        <v>Ryanberg</v>
      </c>
      <c r="O272" s="4" t="str">
        <v>Minnesota</v>
      </c>
      <c r="P272" s="4" t="str">
        <v>USA</v>
      </c>
      <c r="Q272" s="4" t="str">
        <v>Bronze</v>
      </c>
      <c r="S272" s="4" t="str">
        <v>CUST1268</v>
      </c>
      <c r="T272" s="4" t="str">
        <v>KEVIN ORR</v>
      </c>
      <c r="U272" s="4" t="str">
        <v>53</v>
      </c>
      <c r="V272" s="4" t="str">
        <v>FEMALE</v>
      </c>
      <c r="W272" s="4" t="str">
        <v>RYANBERG</v>
      </c>
      <c r="X272" s="4" t="str">
        <v>MINNESOTA</v>
      </c>
      <c r="Y272" s="4" t="str">
        <v>USA</v>
      </c>
      <c r="Z272" s="4" t="str">
        <v>BRONZE</v>
      </c>
    </row>
    <row r="273" spans="1:26" x14ac:dyDescent="0.25">
      <c r="A273" t="s">
        <v>868</v>
      </c>
      <c r="B273" t="s">
        <v>869</v>
      </c>
      <c r="C273">
        <v>45</v>
      </c>
      <c r="D273" t="s">
        <v>16</v>
      </c>
      <c r="E273" t="s">
        <v>870</v>
      </c>
      <c r="F273" t="s">
        <v>32</v>
      </c>
      <c r="G273" t="s">
        <v>13</v>
      </c>
      <c r="H273" t="s">
        <v>33</v>
      </c>
      <c r="J273" s="4" t="str">
        <v>CUST1269</v>
      </c>
      <c r="K273" s="4" t="str">
        <v>Tyrone Olson</v>
      </c>
      <c r="L273" s="4" t="str">
        <v>45</v>
      </c>
      <c r="M273" s="4" t="str">
        <v>Female</v>
      </c>
      <c r="N273" s="4" t="str">
        <v>Emilytown</v>
      </c>
      <c r="O273" s="4" t="str">
        <v>California</v>
      </c>
      <c r="P273" s="4" t="str">
        <v>USA</v>
      </c>
      <c r="Q273" s="4" t="str">
        <v>Silver</v>
      </c>
      <c r="S273" s="4" t="str">
        <v>CUST1269</v>
      </c>
      <c r="T273" s="4" t="str">
        <v>TYRONE OLSON</v>
      </c>
      <c r="U273" s="4" t="str">
        <v>45</v>
      </c>
      <c r="V273" s="4" t="str">
        <v>FEMALE</v>
      </c>
      <c r="W273" s="4" t="str">
        <v>EMILYTOWN</v>
      </c>
      <c r="X273" s="4" t="str">
        <v>CALIFORNIA</v>
      </c>
      <c r="Y273" s="4" t="str">
        <v>USA</v>
      </c>
      <c r="Z273" s="4" t="str">
        <v>SILVER</v>
      </c>
    </row>
    <row r="274" spans="1:26" x14ac:dyDescent="0.25">
      <c r="A274" t="s">
        <v>871</v>
      </c>
      <c r="B274" t="s">
        <v>872</v>
      </c>
      <c r="C274">
        <v>31</v>
      </c>
      <c r="D274" t="s">
        <v>16</v>
      </c>
      <c r="E274" t="s">
        <v>873</v>
      </c>
      <c r="F274" t="s">
        <v>332</v>
      </c>
      <c r="G274" t="s">
        <v>13</v>
      </c>
      <c r="H274" t="s">
        <v>50</v>
      </c>
      <c r="J274" s="4" t="str">
        <v>CUST1270</v>
      </c>
      <c r="K274" s="4" t="str">
        <v>Brian Garcia</v>
      </c>
      <c r="L274" s="4" t="str">
        <v>31</v>
      </c>
      <c r="M274" s="4" t="str">
        <v>Female</v>
      </c>
      <c r="N274" s="4" t="str">
        <v>Ramosmouth</v>
      </c>
      <c r="O274" s="4" t="str">
        <v>Louisiana</v>
      </c>
      <c r="P274" s="4" t="str">
        <v>USA</v>
      </c>
      <c r="Q274" s="4" t="str">
        <v>Gold</v>
      </c>
      <c r="S274" s="4" t="str">
        <v>CUST1270</v>
      </c>
      <c r="T274" s="4" t="str">
        <v>BRIAN GARCIA</v>
      </c>
      <c r="U274" s="4" t="str">
        <v>31</v>
      </c>
      <c r="V274" s="4" t="str">
        <v>FEMALE</v>
      </c>
      <c r="W274" s="4" t="str">
        <v>RAMOSMOUTH</v>
      </c>
      <c r="X274" s="4" t="str">
        <v>LOUISIANA</v>
      </c>
      <c r="Y274" s="4" t="str">
        <v>USA</v>
      </c>
      <c r="Z274" s="4" t="str">
        <v>GOLD</v>
      </c>
    </row>
    <row r="275" spans="1:26" x14ac:dyDescent="0.25">
      <c r="A275" t="s">
        <v>874</v>
      </c>
      <c r="B275" t="s">
        <v>875</v>
      </c>
      <c r="C275">
        <v>64</v>
      </c>
      <c r="D275" t="s">
        <v>10</v>
      </c>
      <c r="E275" t="s">
        <v>876</v>
      </c>
      <c r="F275" t="s">
        <v>73</v>
      </c>
      <c r="G275" t="s">
        <v>13</v>
      </c>
      <c r="H275" t="s">
        <v>19</v>
      </c>
      <c r="J275" s="4" t="str">
        <v>CUST1271</v>
      </c>
      <c r="K275" s="4" t="str">
        <v>Daisy Johnson DDS</v>
      </c>
      <c r="L275" s="4" t="str">
        <v>64</v>
      </c>
      <c r="M275" s="4" t="str">
        <v>Male</v>
      </c>
      <c r="N275" s="4" t="str">
        <v>North Stephanie</v>
      </c>
      <c r="O275" s="4" t="str">
        <v>Nebraska</v>
      </c>
      <c r="P275" s="4" t="str">
        <v>USA</v>
      </c>
      <c r="Q275" s="4" t="str">
        <v>Platinum</v>
      </c>
      <c r="S275" s="4" t="str">
        <v>CUST1271</v>
      </c>
      <c r="T275" s="4" t="str">
        <v>DAISY JOHNSON DDS</v>
      </c>
      <c r="U275" s="4" t="str">
        <v>64</v>
      </c>
      <c r="V275" s="4" t="str">
        <v>MALE</v>
      </c>
      <c r="W275" s="4" t="str">
        <v>NORTH STEPHANIE</v>
      </c>
      <c r="X275" s="4" t="str">
        <v>NEBRASKA</v>
      </c>
      <c r="Y275" s="4" t="str">
        <v>USA</v>
      </c>
      <c r="Z275" s="4" t="str">
        <v>PLATINUM</v>
      </c>
    </row>
    <row r="276" spans="1:26" x14ac:dyDescent="0.25">
      <c r="A276" t="s">
        <v>877</v>
      </c>
      <c r="B276" t="s">
        <v>878</v>
      </c>
      <c r="C276">
        <v>48</v>
      </c>
      <c r="D276" t="s">
        <v>16</v>
      </c>
      <c r="E276" t="s">
        <v>879</v>
      </c>
      <c r="F276" t="s">
        <v>32</v>
      </c>
      <c r="G276" t="s">
        <v>13</v>
      </c>
      <c r="H276" t="s">
        <v>50</v>
      </c>
      <c r="J276" s="4" t="str">
        <v>CUST1272</v>
      </c>
      <c r="K276" s="4" t="str">
        <v>Adam Rowland</v>
      </c>
      <c r="L276" s="4" t="str">
        <v>48</v>
      </c>
      <c r="M276" s="4" t="str">
        <v>Female</v>
      </c>
      <c r="N276" s="4" t="str">
        <v>Welchview</v>
      </c>
      <c r="O276" s="4" t="str">
        <v>California</v>
      </c>
      <c r="P276" s="4" t="str">
        <v>USA</v>
      </c>
      <c r="Q276" s="4" t="str">
        <v>Gold</v>
      </c>
      <c r="S276" s="4" t="str">
        <v>CUST1272</v>
      </c>
      <c r="T276" s="4" t="str">
        <v>ADAM ROWLAND</v>
      </c>
      <c r="U276" s="4" t="str">
        <v>48</v>
      </c>
      <c r="V276" s="4" t="str">
        <v>FEMALE</v>
      </c>
      <c r="W276" s="4" t="str">
        <v>WELCHVIEW</v>
      </c>
      <c r="X276" s="4" t="str">
        <v>CALIFORNIA</v>
      </c>
      <c r="Y276" s="4" t="str">
        <v>USA</v>
      </c>
      <c r="Z276" s="4" t="str">
        <v>GOLD</v>
      </c>
    </row>
    <row r="277" spans="1:26" x14ac:dyDescent="0.25">
      <c r="A277" t="s">
        <v>880</v>
      </c>
      <c r="B277" t="s">
        <v>881</v>
      </c>
      <c r="C277">
        <v>23</v>
      </c>
      <c r="D277" t="s">
        <v>10</v>
      </c>
      <c r="E277" t="s">
        <v>882</v>
      </c>
      <c r="F277" t="s">
        <v>317</v>
      </c>
      <c r="G277" t="s">
        <v>13</v>
      </c>
      <c r="H277" t="s">
        <v>28</v>
      </c>
      <c r="J277" s="4" t="str">
        <v>CUST1273</v>
      </c>
      <c r="K277" s="4" t="str">
        <v>Samantha Robinson</v>
      </c>
      <c r="L277" s="4" t="str">
        <v>23</v>
      </c>
      <c r="M277" s="4" t="str">
        <v>Male</v>
      </c>
      <c r="N277" s="4" t="str">
        <v>North Roy</v>
      </c>
      <c r="O277" s="4" t="str">
        <v>Mississippi</v>
      </c>
      <c r="P277" s="4" t="str">
        <v>USA</v>
      </c>
      <c r="Q277" s="4" t="str">
        <v>Bronze</v>
      </c>
      <c r="S277" s="4" t="str">
        <v>CUST1273</v>
      </c>
      <c r="T277" s="4" t="str">
        <v>SAMANTHA ROBINSON</v>
      </c>
      <c r="U277" s="4" t="str">
        <v>23</v>
      </c>
      <c r="V277" s="4" t="str">
        <v>MALE</v>
      </c>
      <c r="W277" s="4" t="str">
        <v>NORTH ROY</v>
      </c>
      <c r="X277" s="4" t="str">
        <v>MISSISSIPPI</v>
      </c>
      <c r="Y277" s="4" t="str">
        <v>USA</v>
      </c>
      <c r="Z277" s="4" t="str">
        <v>BRONZE</v>
      </c>
    </row>
    <row r="278" spans="1:26" x14ac:dyDescent="0.25">
      <c r="A278" t="s">
        <v>883</v>
      </c>
      <c r="B278" t="s">
        <v>884</v>
      </c>
      <c r="C278">
        <v>38</v>
      </c>
      <c r="D278" t="s">
        <v>10</v>
      </c>
      <c r="E278" t="s">
        <v>885</v>
      </c>
      <c r="F278" t="s">
        <v>175</v>
      </c>
      <c r="G278" t="s">
        <v>13</v>
      </c>
      <c r="H278" t="s">
        <v>33</v>
      </c>
      <c r="J278" s="4" t="str">
        <v>CUST1274</v>
      </c>
      <c r="K278" s="4" t="str">
        <v>Sarah Lane</v>
      </c>
      <c r="L278" s="4" t="str">
        <v>38</v>
      </c>
      <c r="M278" s="4" t="str">
        <v>Male</v>
      </c>
      <c r="N278" s="4" t="str">
        <v>Edwardborough</v>
      </c>
      <c r="O278" s="4" t="str">
        <v>Vermont</v>
      </c>
      <c r="P278" s="4" t="str">
        <v>USA</v>
      </c>
      <c r="Q278" s="4" t="str">
        <v>Silver</v>
      </c>
      <c r="S278" s="4" t="str">
        <v>CUST1274</v>
      </c>
      <c r="T278" s="4" t="str">
        <v>SARAH LANE</v>
      </c>
      <c r="U278" s="4" t="str">
        <v>38</v>
      </c>
      <c r="V278" s="4" t="str">
        <v>MALE</v>
      </c>
      <c r="W278" s="4" t="str">
        <v>EDWARDBOROUGH</v>
      </c>
      <c r="X278" s="4" t="str">
        <v>VERMONT</v>
      </c>
      <c r="Y278" s="4" t="str">
        <v>USA</v>
      </c>
      <c r="Z278" s="4" t="str">
        <v>SILVER</v>
      </c>
    </row>
    <row r="279" spans="1:26" x14ac:dyDescent="0.25">
      <c r="A279" t="s">
        <v>886</v>
      </c>
      <c r="B279" t="s">
        <v>887</v>
      </c>
      <c r="C279">
        <v>22</v>
      </c>
      <c r="D279" t="s">
        <v>10</v>
      </c>
      <c r="E279" t="s">
        <v>888</v>
      </c>
      <c r="F279" t="s">
        <v>596</v>
      </c>
      <c r="G279" t="s">
        <v>13</v>
      </c>
      <c r="H279" t="s">
        <v>50</v>
      </c>
      <c r="J279" s="4" t="str">
        <v>CUST1275</v>
      </c>
      <c r="K279" s="4" t="str">
        <v>Shannon Miller</v>
      </c>
      <c r="L279" s="4" t="str">
        <v>22</v>
      </c>
      <c r="M279" s="4" t="str">
        <v>Male</v>
      </c>
      <c r="N279" s="4" t="str">
        <v>North Austinport</v>
      </c>
      <c r="O279" s="4" t="str">
        <v>Kentucky</v>
      </c>
      <c r="P279" s="4" t="str">
        <v>USA</v>
      </c>
      <c r="Q279" s="4" t="str">
        <v>Gold</v>
      </c>
      <c r="S279" s="4" t="str">
        <v>CUST1275</v>
      </c>
      <c r="T279" s="4" t="str">
        <v>SHANNON MILLER</v>
      </c>
      <c r="U279" s="4" t="str">
        <v>22</v>
      </c>
      <c r="V279" s="4" t="str">
        <v>MALE</v>
      </c>
      <c r="W279" s="4" t="str">
        <v>NORTH AUSTINPORT</v>
      </c>
      <c r="X279" s="4" t="str">
        <v>KENTUCKY</v>
      </c>
      <c r="Y279" s="4" t="str">
        <v>USA</v>
      </c>
      <c r="Z279" s="4" t="str">
        <v>GOLD</v>
      </c>
    </row>
    <row r="280" spans="1:26" x14ac:dyDescent="0.25">
      <c r="A280" t="s">
        <v>889</v>
      </c>
      <c r="B280" t="s">
        <v>890</v>
      </c>
      <c r="C280">
        <v>38</v>
      </c>
      <c r="D280" t="s">
        <v>10</v>
      </c>
      <c r="E280" t="s">
        <v>891</v>
      </c>
      <c r="F280" t="s">
        <v>188</v>
      </c>
      <c r="G280" t="s">
        <v>13</v>
      </c>
      <c r="H280" t="s">
        <v>50</v>
      </c>
      <c r="J280" s="4" t="str">
        <v>CUST1276</v>
      </c>
      <c r="K280" s="4" t="str">
        <v>Arthur Warren</v>
      </c>
      <c r="L280" s="4" t="str">
        <v>38</v>
      </c>
      <c r="M280" s="4" t="str">
        <v>Male</v>
      </c>
      <c r="N280" s="4" t="str">
        <v>Ericshire</v>
      </c>
      <c r="O280" s="4" t="str">
        <v>Nevada</v>
      </c>
      <c r="P280" s="4" t="str">
        <v>USA</v>
      </c>
      <c r="Q280" s="4" t="str">
        <v>Gold</v>
      </c>
      <c r="S280" s="4" t="str">
        <v>CUST1276</v>
      </c>
      <c r="T280" s="4" t="str">
        <v>ARTHUR WARREN</v>
      </c>
      <c r="U280" s="4" t="str">
        <v>38</v>
      </c>
      <c r="V280" s="4" t="str">
        <v>MALE</v>
      </c>
      <c r="W280" s="4" t="str">
        <v>ERICSHIRE</v>
      </c>
      <c r="X280" s="4" t="str">
        <v>NEVADA</v>
      </c>
      <c r="Y280" s="4" t="str">
        <v>USA</v>
      </c>
      <c r="Z280" s="4" t="str">
        <v>GOLD</v>
      </c>
    </row>
    <row r="281" spans="1:26" x14ac:dyDescent="0.25">
      <c r="A281" t="s">
        <v>892</v>
      </c>
      <c r="B281" t="s">
        <v>893</v>
      </c>
      <c r="C281">
        <v>22</v>
      </c>
      <c r="D281" t="s">
        <v>16</v>
      </c>
      <c r="E281" t="s">
        <v>894</v>
      </c>
      <c r="F281" t="s">
        <v>278</v>
      </c>
      <c r="G281" t="s">
        <v>13</v>
      </c>
      <c r="H281" t="s">
        <v>19</v>
      </c>
      <c r="J281" s="4" t="str">
        <v>CUST1277</v>
      </c>
      <c r="K281" s="4" t="str">
        <v>Jeffrey Gomez</v>
      </c>
      <c r="L281" s="4" t="str">
        <v>22</v>
      </c>
      <c r="M281" s="4" t="str">
        <v>Female</v>
      </c>
      <c r="N281" s="4" t="str">
        <v>Lake Nicole</v>
      </c>
      <c r="O281" s="4" t="str">
        <v>Colorado</v>
      </c>
      <c r="P281" s="4" t="str">
        <v>USA</v>
      </c>
      <c r="Q281" s="4" t="str">
        <v>Platinum</v>
      </c>
      <c r="S281" s="4" t="str">
        <v>CUST1277</v>
      </c>
      <c r="T281" s="4" t="str">
        <v>JEFFREY GOMEZ</v>
      </c>
      <c r="U281" s="4" t="str">
        <v>22</v>
      </c>
      <c r="V281" s="4" t="str">
        <v>FEMALE</v>
      </c>
      <c r="W281" s="4" t="str">
        <v>LAKE NICOLE</v>
      </c>
      <c r="X281" s="4" t="str">
        <v>COLORADO</v>
      </c>
      <c r="Y281" s="4" t="str">
        <v>USA</v>
      </c>
      <c r="Z281" s="4" t="str">
        <v>PLATINUM</v>
      </c>
    </row>
    <row r="282" spans="1:26" x14ac:dyDescent="0.25">
      <c r="A282" t="s">
        <v>895</v>
      </c>
      <c r="B282" t="s">
        <v>896</v>
      </c>
      <c r="C282">
        <v>42</v>
      </c>
      <c r="D282" t="s">
        <v>16</v>
      </c>
      <c r="E282" t="s">
        <v>897</v>
      </c>
      <c r="F282" t="s">
        <v>221</v>
      </c>
      <c r="G282" t="s">
        <v>13</v>
      </c>
      <c r="H282" t="s">
        <v>19</v>
      </c>
      <c r="J282" s="4" t="str">
        <v>CUST1278</v>
      </c>
      <c r="K282" s="4" t="str">
        <v>Stephen Fowler</v>
      </c>
      <c r="L282" s="4" t="str">
        <v>42</v>
      </c>
      <c r="M282" s="4" t="str">
        <v>Female</v>
      </c>
      <c r="N282" s="4" t="str">
        <v>Port Mariastad</v>
      </c>
      <c r="O282" s="4" t="str">
        <v>Rhode Island</v>
      </c>
      <c r="P282" s="4" t="str">
        <v>USA</v>
      </c>
      <c r="Q282" s="4" t="str">
        <v>Platinum</v>
      </c>
      <c r="S282" s="4" t="str">
        <v>CUST1278</v>
      </c>
      <c r="T282" s="4" t="str">
        <v>STEPHEN FOWLER</v>
      </c>
      <c r="U282" s="4" t="str">
        <v>42</v>
      </c>
      <c r="V282" s="4" t="str">
        <v>FEMALE</v>
      </c>
      <c r="W282" s="4" t="str">
        <v>PORT MARIASTAD</v>
      </c>
      <c r="X282" s="4" t="str">
        <v>RHODE ISLAND</v>
      </c>
      <c r="Y282" s="4" t="str">
        <v>USA</v>
      </c>
      <c r="Z282" s="4" t="str">
        <v>PLATINUM</v>
      </c>
    </row>
    <row r="283" spans="1:26" x14ac:dyDescent="0.25">
      <c r="A283" t="s">
        <v>898</v>
      </c>
      <c r="B283" t="s">
        <v>899</v>
      </c>
      <c r="C283">
        <v>21</v>
      </c>
      <c r="D283" t="s">
        <v>16</v>
      </c>
      <c r="E283" t="s">
        <v>900</v>
      </c>
      <c r="F283" t="s">
        <v>27</v>
      </c>
      <c r="G283" t="s">
        <v>13</v>
      </c>
      <c r="H283" t="s">
        <v>28</v>
      </c>
      <c r="J283" s="4" t="str">
        <v>CUST1279</v>
      </c>
      <c r="K283" s="4" t="str">
        <v>Aaron Luna</v>
      </c>
      <c r="L283" s="4" t="str">
        <v>21</v>
      </c>
      <c r="M283" s="4" t="str">
        <v>Female</v>
      </c>
      <c r="N283" s="4" t="str">
        <v>Gilltown</v>
      </c>
      <c r="O283" s="4" t="str">
        <v>Ohio</v>
      </c>
      <c r="P283" s="4" t="str">
        <v>USA</v>
      </c>
      <c r="Q283" s="4" t="str">
        <v>Bronze</v>
      </c>
      <c r="S283" s="4" t="str">
        <v>CUST1279</v>
      </c>
      <c r="T283" s="4" t="str">
        <v>AARON LUNA</v>
      </c>
      <c r="U283" s="4" t="str">
        <v>21</v>
      </c>
      <c r="V283" s="4" t="str">
        <v>FEMALE</v>
      </c>
      <c r="W283" s="4" t="str">
        <v>GILLTOWN</v>
      </c>
      <c r="X283" s="4" t="str">
        <v>OHIO</v>
      </c>
      <c r="Y283" s="4" t="str">
        <v>USA</v>
      </c>
      <c r="Z283" s="4" t="str">
        <v>BRONZE</v>
      </c>
    </row>
    <row r="284" spans="1:26" x14ac:dyDescent="0.25">
      <c r="A284" t="s">
        <v>901</v>
      </c>
      <c r="B284" t="s">
        <v>902</v>
      </c>
      <c r="C284">
        <v>48</v>
      </c>
      <c r="D284" t="s">
        <v>10</v>
      </c>
      <c r="E284" t="s">
        <v>903</v>
      </c>
      <c r="F284" t="s">
        <v>103</v>
      </c>
      <c r="G284" t="s">
        <v>13</v>
      </c>
      <c r="H284" t="s">
        <v>28</v>
      </c>
      <c r="J284" s="4" t="str">
        <v>CUST1280</v>
      </c>
      <c r="K284" s="4" t="str">
        <v>Antonio Leon</v>
      </c>
      <c r="L284" s="4" t="str">
        <v>48</v>
      </c>
      <c r="M284" s="4" t="str">
        <v>Male</v>
      </c>
      <c r="N284" s="4" t="str">
        <v>Morrisville</v>
      </c>
      <c r="O284" s="4" t="str">
        <v>Hawaii</v>
      </c>
      <c r="P284" s="4" t="str">
        <v>USA</v>
      </c>
      <c r="Q284" s="4" t="str">
        <v>Bronze</v>
      </c>
      <c r="S284" s="4" t="str">
        <v>CUST1280</v>
      </c>
      <c r="T284" s="4" t="str">
        <v>ANTONIO LEON</v>
      </c>
      <c r="U284" s="4" t="str">
        <v>48</v>
      </c>
      <c r="V284" s="4" t="str">
        <v>MALE</v>
      </c>
      <c r="W284" s="4" t="str">
        <v>MORRISVILLE</v>
      </c>
      <c r="X284" s="4" t="str">
        <v>HAWAII</v>
      </c>
      <c r="Y284" s="4" t="str">
        <v>USA</v>
      </c>
      <c r="Z284" s="4" t="str">
        <v>BRONZE</v>
      </c>
    </row>
    <row r="285" spans="1:26" x14ac:dyDescent="0.25">
      <c r="A285" t="s">
        <v>904</v>
      </c>
      <c r="B285" t="s">
        <v>905</v>
      </c>
      <c r="C285">
        <v>59</v>
      </c>
      <c r="D285" t="s">
        <v>10</v>
      </c>
      <c r="E285" t="s">
        <v>906</v>
      </c>
      <c r="F285" t="s">
        <v>171</v>
      </c>
      <c r="G285" t="s">
        <v>13</v>
      </c>
      <c r="H285" t="s">
        <v>19</v>
      </c>
      <c r="J285" s="4" t="str">
        <v>CUST1281</v>
      </c>
      <c r="K285" s="4" t="str">
        <v>Brittany Watson</v>
      </c>
      <c r="L285" s="4" t="str">
        <v>59</v>
      </c>
      <c r="M285" s="4" t="str">
        <v>Male</v>
      </c>
      <c r="N285" s="4" t="str">
        <v>North Joshualand</v>
      </c>
      <c r="O285" s="4" t="str">
        <v>Connecticut</v>
      </c>
      <c r="P285" s="4" t="str">
        <v>USA</v>
      </c>
      <c r="Q285" s="4" t="str">
        <v>Platinum</v>
      </c>
      <c r="S285" s="4" t="str">
        <v>CUST1281</v>
      </c>
      <c r="T285" s="4" t="str">
        <v>BRITTANY WATSON</v>
      </c>
      <c r="U285" s="4" t="str">
        <v>59</v>
      </c>
      <c r="V285" s="4" t="str">
        <v>MALE</v>
      </c>
      <c r="W285" s="4" t="str">
        <v>NORTH JOSHUALAND</v>
      </c>
      <c r="X285" s="4" t="str">
        <v>CONNECTICUT</v>
      </c>
      <c r="Y285" s="4" t="str">
        <v>USA</v>
      </c>
      <c r="Z285" s="4" t="str">
        <v>PLATINUM</v>
      </c>
    </row>
    <row r="286" spans="1:26" x14ac:dyDescent="0.25">
      <c r="A286" t="s">
        <v>907</v>
      </c>
      <c r="B286" t="s">
        <v>908</v>
      </c>
      <c r="C286">
        <v>46</v>
      </c>
      <c r="D286" t="s">
        <v>16</v>
      </c>
      <c r="E286" t="s">
        <v>909</v>
      </c>
      <c r="F286" t="s">
        <v>91</v>
      </c>
      <c r="G286" t="s">
        <v>13</v>
      </c>
      <c r="H286" t="s">
        <v>50</v>
      </c>
      <c r="J286" s="4" t="str">
        <v>CUST1282</v>
      </c>
      <c r="K286" s="4" t="str">
        <v>Kristi Lopez</v>
      </c>
      <c r="L286" s="4" t="str">
        <v>46</v>
      </c>
      <c r="M286" s="4" t="str">
        <v>Female</v>
      </c>
      <c r="N286" s="4" t="str">
        <v>Spencermouth</v>
      </c>
      <c r="O286" s="4" t="str">
        <v>New Jersey</v>
      </c>
      <c r="P286" s="4" t="str">
        <v>USA</v>
      </c>
      <c r="Q286" s="4" t="str">
        <v>Gold</v>
      </c>
      <c r="S286" s="4" t="str">
        <v>CUST1282</v>
      </c>
      <c r="T286" s="4" t="str">
        <v>KRISTI LOPEZ</v>
      </c>
      <c r="U286" s="4" t="str">
        <v>46</v>
      </c>
      <c r="V286" s="4" t="str">
        <v>FEMALE</v>
      </c>
      <c r="W286" s="4" t="str">
        <v>SPENCERMOUTH</v>
      </c>
      <c r="X286" s="4" t="str">
        <v>NEW JERSEY</v>
      </c>
      <c r="Y286" s="4" t="str">
        <v>USA</v>
      </c>
      <c r="Z286" s="4" t="str">
        <v>GOLD</v>
      </c>
    </row>
    <row r="287" spans="1:26" x14ac:dyDescent="0.25">
      <c r="A287" t="s">
        <v>910</v>
      </c>
      <c r="B287" t="s">
        <v>911</v>
      </c>
      <c r="C287">
        <v>54</v>
      </c>
      <c r="D287" t="s">
        <v>16</v>
      </c>
      <c r="E287" t="s">
        <v>912</v>
      </c>
      <c r="F287" t="s">
        <v>856</v>
      </c>
      <c r="G287" t="s">
        <v>13</v>
      </c>
      <c r="H287" t="s">
        <v>33</v>
      </c>
      <c r="J287" s="4" t="str">
        <v>CUST1283</v>
      </c>
      <c r="K287" s="4" t="str">
        <v>Bryan Garcia</v>
      </c>
      <c r="L287" s="4" t="str">
        <v>54</v>
      </c>
      <c r="M287" s="4" t="str">
        <v>Female</v>
      </c>
      <c r="N287" s="4" t="str">
        <v>Garciaborough</v>
      </c>
      <c r="O287" s="4" t="str">
        <v>Wyoming</v>
      </c>
      <c r="P287" s="4" t="str">
        <v>USA</v>
      </c>
      <c r="Q287" s="4" t="str">
        <v>Silver</v>
      </c>
      <c r="S287" s="4" t="str">
        <v>CUST1283</v>
      </c>
      <c r="T287" s="4" t="str">
        <v>BRYAN GARCIA</v>
      </c>
      <c r="U287" s="4" t="str">
        <v>54</v>
      </c>
      <c r="V287" s="4" t="str">
        <v>FEMALE</v>
      </c>
      <c r="W287" s="4" t="str">
        <v>GARCIABOROUGH</v>
      </c>
      <c r="X287" s="4" t="str">
        <v>WYOMING</v>
      </c>
      <c r="Y287" s="4" t="str">
        <v>USA</v>
      </c>
      <c r="Z287" s="4" t="str">
        <v>SILVER</v>
      </c>
    </row>
    <row r="288" spans="1:26" x14ac:dyDescent="0.25">
      <c r="A288" t="s">
        <v>913</v>
      </c>
      <c r="B288" t="s">
        <v>914</v>
      </c>
      <c r="C288">
        <v>54</v>
      </c>
      <c r="D288" t="s">
        <v>10</v>
      </c>
      <c r="E288" t="s">
        <v>915</v>
      </c>
      <c r="F288" t="s">
        <v>171</v>
      </c>
      <c r="G288" t="s">
        <v>13</v>
      </c>
      <c r="H288" t="s">
        <v>50</v>
      </c>
      <c r="J288" s="4" t="str">
        <v>CUST1284</v>
      </c>
      <c r="K288" s="4" t="str">
        <v>Hunter Sutton</v>
      </c>
      <c r="L288" s="4" t="str">
        <v>54</v>
      </c>
      <c r="M288" s="4" t="str">
        <v>Male</v>
      </c>
      <c r="N288" s="4" t="str">
        <v>Patrickshire</v>
      </c>
      <c r="O288" s="4" t="str">
        <v>Connecticut</v>
      </c>
      <c r="P288" s="4" t="str">
        <v>USA</v>
      </c>
      <c r="Q288" s="4" t="str">
        <v>Gold</v>
      </c>
      <c r="S288" s="4" t="str">
        <v>CUST1284</v>
      </c>
      <c r="T288" s="4" t="str">
        <v>HUNTER SUTTON</v>
      </c>
      <c r="U288" s="4" t="str">
        <v>54</v>
      </c>
      <c r="V288" s="4" t="str">
        <v>MALE</v>
      </c>
      <c r="W288" s="4" t="str">
        <v>PATRICKSHIRE</v>
      </c>
      <c r="X288" s="4" t="str">
        <v>CONNECTICUT</v>
      </c>
      <c r="Y288" s="4" t="str">
        <v>USA</v>
      </c>
      <c r="Z288" s="4" t="str">
        <v>GOLD</v>
      </c>
    </row>
    <row r="289" spans="1:26" x14ac:dyDescent="0.25">
      <c r="A289" t="s">
        <v>916</v>
      </c>
      <c r="B289" t="s">
        <v>917</v>
      </c>
      <c r="C289">
        <v>46</v>
      </c>
      <c r="D289" t="s">
        <v>16</v>
      </c>
      <c r="E289" t="s">
        <v>918</v>
      </c>
      <c r="F289" t="s">
        <v>725</v>
      </c>
      <c r="G289" t="s">
        <v>13</v>
      </c>
      <c r="H289" t="s">
        <v>33</v>
      </c>
      <c r="J289" s="4" t="str">
        <v>CUST1285</v>
      </c>
      <c r="K289" s="4" t="str">
        <v>Donna Guerra</v>
      </c>
      <c r="L289" s="4" t="str">
        <v>46</v>
      </c>
      <c r="M289" s="4" t="str">
        <v>Female</v>
      </c>
      <c r="N289" s="4" t="str">
        <v>North Robert</v>
      </c>
      <c r="O289" s="4" t="str">
        <v>Massachusetts</v>
      </c>
      <c r="P289" s="4" t="str">
        <v>USA</v>
      </c>
      <c r="Q289" s="4" t="str">
        <v>Silver</v>
      </c>
      <c r="S289" s="4" t="str">
        <v>CUST1285</v>
      </c>
      <c r="T289" s="4" t="str">
        <v>DONNA GUERRA</v>
      </c>
      <c r="U289" s="4" t="str">
        <v>46</v>
      </c>
      <c r="V289" s="4" t="str">
        <v>FEMALE</v>
      </c>
      <c r="W289" s="4" t="str">
        <v>NORTH ROBERT</v>
      </c>
      <c r="X289" s="4" t="str">
        <v>MASSACHUSETTS</v>
      </c>
      <c r="Y289" s="4" t="str">
        <v>USA</v>
      </c>
      <c r="Z289" s="4" t="str">
        <v>SILVER</v>
      </c>
    </row>
    <row r="290" spans="1:26" x14ac:dyDescent="0.25">
      <c r="A290" t="s">
        <v>919</v>
      </c>
      <c r="B290" t="s">
        <v>920</v>
      </c>
      <c r="C290">
        <v>22</v>
      </c>
      <c r="D290" t="s">
        <v>10</v>
      </c>
      <c r="E290" t="s">
        <v>921</v>
      </c>
      <c r="F290" t="s">
        <v>41</v>
      </c>
      <c r="G290" t="s">
        <v>13</v>
      </c>
      <c r="H290" t="s">
        <v>33</v>
      </c>
      <c r="J290" s="4" t="str">
        <v>CUST1286</v>
      </c>
      <c r="K290" s="4" t="str">
        <v>Tommy Roberts</v>
      </c>
      <c r="L290" s="4" t="str">
        <v>22</v>
      </c>
      <c r="M290" s="4" t="str">
        <v>Male</v>
      </c>
      <c r="N290" s="4" t="str">
        <v>Port Tonyfort</v>
      </c>
      <c r="O290" s="4" t="str">
        <v>South Dakota</v>
      </c>
      <c r="P290" s="4" t="str">
        <v>USA</v>
      </c>
      <c r="Q290" s="4" t="str">
        <v>Silver</v>
      </c>
      <c r="S290" s="4" t="str">
        <v>CUST1286</v>
      </c>
      <c r="T290" s="4" t="str">
        <v>TOMMY ROBERTS</v>
      </c>
      <c r="U290" s="4" t="str">
        <v>22</v>
      </c>
      <c r="V290" s="4" t="str">
        <v>MALE</v>
      </c>
      <c r="W290" s="4" t="str">
        <v>PORT TONYFORT</v>
      </c>
      <c r="X290" s="4" t="str">
        <v>SOUTH DAKOTA</v>
      </c>
      <c r="Y290" s="4" t="str">
        <v>USA</v>
      </c>
      <c r="Z290" s="4" t="str">
        <v>SILVER</v>
      </c>
    </row>
    <row r="291" spans="1:26" x14ac:dyDescent="0.25">
      <c r="A291" t="s">
        <v>922</v>
      </c>
      <c r="B291" t="s">
        <v>923</v>
      </c>
      <c r="C291">
        <v>22</v>
      </c>
      <c r="D291" t="s">
        <v>16</v>
      </c>
      <c r="E291" t="s">
        <v>924</v>
      </c>
      <c r="F291" t="s">
        <v>175</v>
      </c>
      <c r="G291" t="s">
        <v>13</v>
      </c>
      <c r="H291" t="s">
        <v>50</v>
      </c>
      <c r="J291" s="4" t="str">
        <v>CUST1287</v>
      </c>
      <c r="K291" s="4" t="str">
        <v>Cynthia Roberts</v>
      </c>
      <c r="L291" s="4" t="str">
        <v>22</v>
      </c>
      <c r="M291" s="4" t="str">
        <v>Female</v>
      </c>
      <c r="N291" s="4" t="str">
        <v>Millerfort</v>
      </c>
      <c r="O291" s="4" t="str">
        <v>Vermont</v>
      </c>
      <c r="P291" s="4" t="str">
        <v>USA</v>
      </c>
      <c r="Q291" s="4" t="str">
        <v>Gold</v>
      </c>
      <c r="S291" s="4" t="str">
        <v>CUST1287</v>
      </c>
      <c r="T291" s="4" t="str">
        <v>CYNTHIA ROBERTS</v>
      </c>
      <c r="U291" s="4" t="str">
        <v>22</v>
      </c>
      <c r="V291" s="4" t="str">
        <v>FEMALE</v>
      </c>
      <c r="W291" s="4" t="str">
        <v>MILLERFORT</v>
      </c>
      <c r="X291" s="4" t="str">
        <v>VERMONT</v>
      </c>
      <c r="Y291" s="4" t="str">
        <v>USA</v>
      </c>
      <c r="Z291" s="4" t="str">
        <v>GOLD</v>
      </c>
    </row>
    <row r="292" spans="1:26" x14ac:dyDescent="0.25">
      <c r="A292" t="s">
        <v>925</v>
      </c>
      <c r="B292" t="s">
        <v>926</v>
      </c>
      <c r="C292">
        <v>58</v>
      </c>
      <c r="D292" t="s">
        <v>10</v>
      </c>
      <c r="E292" t="s">
        <v>927</v>
      </c>
      <c r="F292" t="s">
        <v>171</v>
      </c>
      <c r="G292" t="s">
        <v>13</v>
      </c>
      <c r="H292" t="s">
        <v>50</v>
      </c>
      <c r="J292" s="4" t="str">
        <v>CUST1288</v>
      </c>
      <c r="K292" s="4" t="str">
        <v>Misty Ferguson</v>
      </c>
      <c r="L292" s="4" t="str">
        <v>58</v>
      </c>
      <c r="M292" s="4" t="str">
        <v>Male</v>
      </c>
      <c r="N292" s="4" t="str">
        <v>North Joseside</v>
      </c>
      <c r="O292" s="4" t="str">
        <v>Connecticut</v>
      </c>
      <c r="P292" s="4" t="str">
        <v>USA</v>
      </c>
      <c r="Q292" s="4" t="str">
        <v>Gold</v>
      </c>
      <c r="S292" s="4" t="str">
        <v>CUST1288</v>
      </c>
      <c r="T292" s="4" t="str">
        <v>MISTY FERGUSON</v>
      </c>
      <c r="U292" s="4" t="str">
        <v>58</v>
      </c>
      <c r="V292" s="4" t="str">
        <v>MALE</v>
      </c>
      <c r="W292" s="4" t="str">
        <v>NORTH JOSESIDE</v>
      </c>
      <c r="X292" s="4" t="str">
        <v>CONNECTICUT</v>
      </c>
      <c r="Y292" s="4" t="str">
        <v>USA</v>
      </c>
      <c r="Z292" s="4" t="str">
        <v>GOLD</v>
      </c>
    </row>
    <row r="293" spans="1:26" x14ac:dyDescent="0.25">
      <c r="A293" t="s">
        <v>928</v>
      </c>
      <c r="B293" t="s">
        <v>929</v>
      </c>
      <c r="C293">
        <v>45</v>
      </c>
      <c r="D293" t="s">
        <v>10</v>
      </c>
      <c r="E293" t="s">
        <v>930</v>
      </c>
      <c r="F293" t="s">
        <v>27</v>
      </c>
      <c r="G293" t="s">
        <v>13</v>
      </c>
      <c r="H293" t="s">
        <v>28</v>
      </c>
      <c r="J293" s="4" t="str">
        <v>CUST1289</v>
      </c>
      <c r="K293" s="4" t="str">
        <v>Jennifer Figueroa</v>
      </c>
      <c r="L293" s="4" t="str">
        <v>45</v>
      </c>
      <c r="M293" s="4" t="str">
        <v>Male</v>
      </c>
      <c r="N293" s="4" t="str">
        <v>North Brookestad</v>
      </c>
      <c r="O293" s="4" t="str">
        <v>Ohio</v>
      </c>
      <c r="P293" s="4" t="str">
        <v>USA</v>
      </c>
      <c r="Q293" s="4" t="str">
        <v>Bronze</v>
      </c>
      <c r="S293" s="4" t="str">
        <v>CUST1289</v>
      </c>
      <c r="T293" s="4" t="str">
        <v>JENNIFER FIGUEROA</v>
      </c>
      <c r="U293" s="4" t="str">
        <v>45</v>
      </c>
      <c r="V293" s="4" t="str">
        <v>MALE</v>
      </c>
      <c r="W293" s="4" t="str">
        <v>NORTH BROOKESTAD</v>
      </c>
      <c r="X293" s="4" t="str">
        <v>OHIO</v>
      </c>
      <c r="Y293" s="4" t="str">
        <v>USA</v>
      </c>
      <c r="Z293" s="4" t="str">
        <v>BRONZE</v>
      </c>
    </row>
    <row r="294" spans="1:26" x14ac:dyDescent="0.25">
      <c r="A294" t="s">
        <v>931</v>
      </c>
      <c r="B294" t="s">
        <v>932</v>
      </c>
      <c r="C294">
        <v>52</v>
      </c>
      <c r="D294" t="s">
        <v>16</v>
      </c>
      <c r="E294" t="s">
        <v>933</v>
      </c>
      <c r="F294" t="s">
        <v>291</v>
      </c>
      <c r="G294" t="s">
        <v>13</v>
      </c>
      <c r="H294" t="s">
        <v>33</v>
      </c>
      <c r="J294" s="4" t="str">
        <v>CUST1290</v>
      </c>
      <c r="K294" s="4" t="str">
        <v>Chase Williams MD</v>
      </c>
      <c r="L294" s="4" t="str">
        <v>52</v>
      </c>
      <c r="M294" s="4" t="str">
        <v>Female</v>
      </c>
      <c r="N294" s="4" t="str">
        <v>Sherimouth</v>
      </c>
      <c r="O294" s="4" t="str">
        <v>Virginia</v>
      </c>
      <c r="P294" s="4" t="str">
        <v>USA</v>
      </c>
      <c r="Q294" s="4" t="str">
        <v>Silver</v>
      </c>
      <c r="S294" s="4" t="str">
        <v>CUST1290</v>
      </c>
      <c r="T294" s="4" t="str">
        <v>CHASE WILLIAMS MD</v>
      </c>
      <c r="U294" s="4" t="str">
        <v>52</v>
      </c>
      <c r="V294" s="4" t="str">
        <v>FEMALE</v>
      </c>
      <c r="W294" s="4" t="str">
        <v>SHERIMOUTH</v>
      </c>
      <c r="X294" s="4" t="str">
        <v>VIRGINIA</v>
      </c>
      <c r="Y294" s="4" t="str">
        <v>USA</v>
      </c>
      <c r="Z294" s="4" t="str">
        <v>SILVER</v>
      </c>
    </row>
    <row r="295" spans="1:26" x14ac:dyDescent="0.25">
      <c r="A295" t="s">
        <v>934</v>
      </c>
      <c r="B295" t="s">
        <v>935</v>
      </c>
      <c r="C295">
        <v>40</v>
      </c>
      <c r="D295" t="s">
        <v>16</v>
      </c>
      <c r="E295" t="s">
        <v>936</v>
      </c>
      <c r="F295" t="s">
        <v>117</v>
      </c>
      <c r="G295" t="s">
        <v>13</v>
      </c>
      <c r="H295" t="s">
        <v>28</v>
      </c>
      <c r="J295" s="4" t="str">
        <v>CUST1291</v>
      </c>
      <c r="K295" s="4" t="str">
        <v>James Powell</v>
      </c>
      <c r="L295" s="4" t="str">
        <v>40</v>
      </c>
      <c r="M295" s="4" t="str">
        <v>Female</v>
      </c>
      <c r="N295" s="4" t="str">
        <v>West Beverlymouth</v>
      </c>
      <c r="O295" s="4" t="str">
        <v>Missouri</v>
      </c>
      <c r="P295" s="4" t="str">
        <v>USA</v>
      </c>
      <c r="Q295" s="4" t="str">
        <v>Bronze</v>
      </c>
      <c r="S295" s="4" t="str">
        <v>CUST1291</v>
      </c>
      <c r="T295" s="4" t="str">
        <v>JAMES POWELL</v>
      </c>
      <c r="U295" s="4" t="str">
        <v>40</v>
      </c>
      <c r="V295" s="4" t="str">
        <v>FEMALE</v>
      </c>
      <c r="W295" s="4" t="str">
        <v>WEST BEVERLYMOUTH</v>
      </c>
      <c r="X295" s="4" t="str">
        <v>MISSOURI</v>
      </c>
      <c r="Y295" s="4" t="str">
        <v>USA</v>
      </c>
      <c r="Z295" s="4" t="str">
        <v>BRONZE</v>
      </c>
    </row>
    <row r="296" spans="1:26" x14ac:dyDescent="0.25">
      <c r="A296" t="s">
        <v>937</v>
      </c>
      <c r="B296" t="s">
        <v>938</v>
      </c>
      <c r="C296">
        <v>30</v>
      </c>
      <c r="D296" t="s">
        <v>10</v>
      </c>
      <c r="E296" t="s">
        <v>939</v>
      </c>
      <c r="F296" t="s">
        <v>205</v>
      </c>
      <c r="G296" t="s">
        <v>13</v>
      </c>
      <c r="H296" t="s">
        <v>33</v>
      </c>
      <c r="J296" s="4" t="str">
        <v>CUST1292</v>
      </c>
      <c r="K296" s="4" t="str">
        <v>Ricardo Jones</v>
      </c>
      <c r="L296" s="4" t="str">
        <v>30</v>
      </c>
      <c r="M296" s="4" t="str">
        <v>Male</v>
      </c>
      <c r="N296" s="4" t="str">
        <v>Danielland</v>
      </c>
      <c r="O296" s="4" t="str">
        <v>Minnesota</v>
      </c>
      <c r="P296" s="4" t="str">
        <v>USA</v>
      </c>
      <c r="Q296" s="4" t="str">
        <v>Silver</v>
      </c>
      <c r="S296" s="4" t="str">
        <v>CUST1292</v>
      </c>
      <c r="T296" s="4" t="str">
        <v>RICARDO JONES</v>
      </c>
      <c r="U296" s="4" t="str">
        <v>30</v>
      </c>
      <c r="V296" s="4" t="str">
        <v>MALE</v>
      </c>
      <c r="W296" s="4" t="str">
        <v>DANIELLAND</v>
      </c>
      <c r="X296" s="4" t="str">
        <v>MINNESOTA</v>
      </c>
      <c r="Y296" s="4" t="str">
        <v>USA</v>
      </c>
      <c r="Z296" s="4" t="str">
        <v>SILVER</v>
      </c>
    </row>
    <row r="297" spans="1:26" x14ac:dyDescent="0.25">
      <c r="A297" t="s">
        <v>940</v>
      </c>
      <c r="B297" t="s">
        <v>941</v>
      </c>
      <c r="C297">
        <v>56</v>
      </c>
      <c r="D297" t="s">
        <v>16</v>
      </c>
      <c r="E297" t="s">
        <v>942</v>
      </c>
      <c r="F297" t="s">
        <v>332</v>
      </c>
      <c r="G297" t="s">
        <v>13</v>
      </c>
      <c r="H297" t="s">
        <v>19</v>
      </c>
      <c r="J297" s="4" t="str">
        <v>CUST1293</v>
      </c>
      <c r="K297" s="4" t="str">
        <v>Gloria Taylor</v>
      </c>
      <c r="L297" s="4" t="str">
        <v>56</v>
      </c>
      <c r="M297" s="4" t="str">
        <v>Female</v>
      </c>
      <c r="N297" s="4" t="str">
        <v>North Daniel</v>
      </c>
      <c r="O297" s="4" t="str">
        <v>Louisiana</v>
      </c>
      <c r="P297" s="4" t="str">
        <v>USA</v>
      </c>
      <c r="Q297" s="4" t="str">
        <v>Platinum</v>
      </c>
      <c r="S297" s="4" t="str">
        <v>CUST1293</v>
      </c>
      <c r="T297" s="4" t="str">
        <v>GLORIA TAYLOR</v>
      </c>
      <c r="U297" s="4" t="str">
        <v>56</v>
      </c>
      <c r="V297" s="4" t="str">
        <v>FEMALE</v>
      </c>
      <c r="W297" s="4" t="str">
        <v>NORTH DANIEL</v>
      </c>
      <c r="X297" s="4" t="str">
        <v>LOUISIANA</v>
      </c>
      <c r="Y297" s="4" t="str">
        <v>USA</v>
      </c>
      <c r="Z297" s="4" t="str">
        <v>PLATINUM</v>
      </c>
    </row>
    <row r="298" spans="1:26" x14ac:dyDescent="0.25">
      <c r="A298" t="s">
        <v>943</v>
      </c>
      <c r="B298" t="s">
        <v>944</v>
      </c>
      <c r="C298">
        <v>29</v>
      </c>
      <c r="D298" t="s">
        <v>10</v>
      </c>
      <c r="E298" t="s">
        <v>580</v>
      </c>
      <c r="F298" t="s">
        <v>69</v>
      </c>
      <c r="G298" t="s">
        <v>13</v>
      </c>
      <c r="H298" t="s">
        <v>19</v>
      </c>
      <c r="J298" s="4" t="str">
        <v>CUST1294</v>
      </c>
      <c r="K298" s="4" t="str">
        <v>Lisa Chandler</v>
      </c>
      <c r="L298" s="4" t="str">
        <v>29</v>
      </c>
      <c r="M298" s="4" t="str">
        <v>Male</v>
      </c>
      <c r="N298" s="4" t="str">
        <v>Port Richard</v>
      </c>
      <c r="O298" s="4" t="str">
        <v>Montana</v>
      </c>
      <c r="P298" s="4" t="str">
        <v>USA</v>
      </c>
      <c r="Q298" s="4" t="str">
        <v>Platinum</v>
      </c>
      <c r="S298" s="4" t="str">
        <v>CUST1294</v>
      </c>
      <c r="T298" s="4" t="str">
        <v>LISA CHANDLER</v>
      </c>
      <c r="U298" s="4" t="str">
        <v>29</v>
      </c>
      <c r="V298" s="4" t="str">
        <v>MALE</v>
      </c>
      <c r="W298" s="4" t="str">
        <v>PORT RICHARD</v>
      </c>
      <c r="X298" s="4" t="str">
        <v>MONTANA</v>
      </c>
      <c r="Y298" s="4" t="str">
        <v>USA</v>
      </c>
      <c r="Z298" s="4" t="str">
        <v>PLATINUM</v>
      </c>
    </row>
    <row r="299" spans="1:26" x14ac:dyDescent="0.25">
      <c r="A299" t="s">
        <v>945</v>
      </c>
      <c r="B299" t="s">
        <v>946</v>
      </c>
      <c r="C299">
        <v>19</v>
      </c>
      <c r="D299" t="s">
        <v>16</v>
      </c>
      <c r="E299" t="s">
        <v>947</v>
      </c>
      <c r="F299" t="s">
        <v>65</v>
      </c>
      <c r="G299" t="s">
        <v>13</v>
      </c>
      <c r="H299" t="s">
        <v>28</v>
      </c>
      <c r="J299" s="4" t="str">
        <v>CUST1295</v>
      </c>
      <c r="K299" s="4" t="str">
        <v>Crystal Waters</v>
      </c>
      <c r="L299" s="4" t="str">
        <v>19</v>
      </c>
      <c r="M299" s="4" t="str">
        <v>Female</v>
      </c>
      <c r="N299" s="4" t="str">
        <v>North Michelleport</v>
      </c>
      <c r="O299" s="4" t="str">
        <v>Kansas</v>
      </c>
      <c r="P299" s="4" t="str">
        <v>USA</v>
      </c>
      <c r="Q299" s="4" t="str">
        <v>Bronze</v>
      </c>
      <c r="S299" s="4" t="str">
        <v>CUST1295</v>
      </c>
      <c r="T299" s="4" t="str">
        <v>CRYSTAL WATERS</v>
      </c>
      <c r="U299" s="4" t="str">
        <v>19</v>
      </c>
      <c r="V299" s="4" t="str">
        <v>FEMALE</v>
      </c>
      <c r="W299" s="4" t="str">
        <v>NORTH MICHELLEPORT</v>
      </c>
      <c r="X299" s="4" t="str">
        <v>KANSAS</v>
      </c>
      <c r="Y299" s="4" t="str">
        <v>USA</v>
      </c>
      <c r="Z299" s="4" t="str">
        <v>BRONZE</v>
      </c>
    </row>
    <row r="300" spans="1:26" x14ac:dyDescent="0.25">
      <c r="A300" t="s">
        <v>948</v>
      </c>
      <c r="B300" t="s">
        <v>949</v>
      </c>
      <c r="C300">
        <v>28</v>
      </c>
      <c r="D300" t="s">
        <v>16</v>
      </c>
      <c r="E300" t="s">
        <v>301</v>
      </c>
      <c r="F300" t="s">
        <v>45</v>
      </c>
      <c r="G300" t="s">
        <v>13</v>
      </c>
      <c r="H300" t="s">
        <v>28</v>
      </c>
      <c r="J300" s="4" t="str">
        <v>CUST1296</v>
      </c>
      <c r="K300" s="4" t="str">
        <v>Jared Moran</v>
      </c>
      <c r="L300" s="4" t="str">
        <v>28</v>
      </c>
      <c r="M300" s="4" t="str">
        <v>Female</v>
      </c>
      <c r="N300" s="4" t="str">
        <v>South David</v>
      </c>
      <c r="O300" s="4" t="str">
        <v>West Virginia</v>
      </c>
      <c r="P300" s="4" t="str">
        <v>USA</v>
      </c>
      <c r="Q300" s="4" t="str">
        <v>Bronze</v>
      </c>
      <c r="S300" s="4" t="str">
        <v>CUST1296</v>
      </c>
      <c r="T300" s="4" t="str">
        <v>JARED MORAN</v>
      </c>
      <c r="U300" s="4" t="str">
        <v>28</v>
      </c>
      <c r="V300" s="4" t="str">
        <v>FEMALE</v>
      </c>
      <c r="W300" s="4" t="str">
        <v>SOUTH DAVID</v>
      </c>
      <c r="X300" s="4" t="str">
        <v>WEST VIRGINIA</v>
      </c>
      <c r="Y300" s="4" t="str">
        <v>USA</v>
      </c>
      <c r="Z300" s="4" t="str">
        <v>BRONZE</v>
      </c>
    </row>
    <row r="301" spans="1:26" x14ac:dyDescent="0.25">
      <c r="A301" t="s">
        <v>950</v>
      </c>
      <c r="B301" t="s">
        <v>951</v>
      </c>
      <c r="C301">
        <v>47</v>
      </c>
      <c r="D301" t="s">
        <v>16</v>
      </c>
      <c r="E301" t="s">
        <v>952</v>
      </c>
      <c r="F301" t="s">
        <v>117</v>
      </c>
      <c r="G301" t="s">
        <v>13</v>
      </c>
      <c r="H301" t="s">
        <v>33</v>
      </c>
      <c r="J301" s="4" t="str">
        <v>CUST1297</v>
      </c>
      <c r="K301" s="4" t="str">
        <v>Jennifer Carr</v>
      </c>
      <c r="L301" s="4" t="str">
        <v>47</v>
      </c>
      <c r="M301" s="4" t="str">
        <v>Female</v>
      </c>
      <c r="N301" s="4" t="str">
        <v>Lake Brett</v>
      </c>
      <c r="O301" s="4" t="str">
        <v>Missouri</v>
      </c>
      <c r="P301" s="4" t="str">
        <v>USA</v>
      </c>
      <c r="Q301" s="4" t="str">
        <v>Silver</v>
      </c>
      <c r="S301" s="4" t="str">
        <v>CUST1297</v>
      </c>
      <c r="T301" s="4" t="str">
        <v>JENNIFER CARR</v>
      </c>
      <c r="U301" s="4" t="str">
        <v>47</v>
      </c>
      <c r="V301" s="4" t="str">
        <v>FEMALE</v>
      </c>
      <c r="W301" s="4" t="str">
        <v>LAKE BRETT</v>
      </c>
      <c r="X301" s="4" t="str">
        <v>MISSOURI</v>
      </c>
      <c r="Y301" s="4" t="str">
        <v>USA</v>
      </c>
      <c r="Z301" s="4" t="str">
        <v>SILVER</v>
      </c>
    </row>
    <row r="302" spans="1:26" x14ac:dyDescent="0.25">
      <c r="A302" t="s">
        <v>953</v>
      </c>
      <c r="B302" t="s">
        <v>954</v>
      </c>
      <c r="C302">
        <v>64</v>
      </c>
      <c r="D302" t="s">
        <v>10</v>
      </c>
      <c r="E302" t="s">
        <v>955</v>
      </c>
      <c r="F302" t="s">
        <v>439</v>
      </c>
      <c r="G302" t="s">
        <v>13</v>
      </c>
      <c r="H302" t="s">
        <v>19</v>
      </c>
      <c r="J302" s="4" t="str">
        <v>CUST1298</v>
      </c>
      <c r="K302" s="4" t="str">
        <v>Tracy Stephens</v>
      </c>
      <c r="L302" s="4" t="str">
        <v>64</v>
      </c>
      <c r="M302" s="4" t="str">
        <v>Male</v>
      </c>
      <c r="N302" s="4" t="str">
        <v>New Joshuatown</v>
      </c>
      <c r="O302" s="4" t="str">
        <v>Maine</v>
      </c>
      <c r="P302" s="4" t="str">
        <v>USA</v>
      </c>
      <c r="Q302" s="4" t="str">
        <v>Platinum</v>
      </c>
      <c r="S302" s="4" t="str">
        <v>CUST1298</v>
      </c>
      <c r="T302" s="4" t="str">
        <v>TRACY STEPHENS</v>
      </c>
      <c r="U302" s="4" t="str">
        <v>64</v>
      </c>
      <c r="V302" s="4" t="str">
        <v>MALE</v>
      </c>
      <c r="W302" s="4" t="str">
        <v>NEW JOSHUATOWN</v>
      </c>
      <c r="X302" s="4" t="str">
        <v>MAINE</v>
      </c>
      <c r="Y302" s="4" t="str">
        <v>USA</v>
      </c>
      <c r="Z302" s="4" t="str">
        <v>PLATINUM</v>
      </c>
    </row>
    <row r="303" spans="1:26" x14ac:dyDescent="0.25">
      <c r="A303" t="s">
        <v>956</v>
      </c>
      <c r="B303" t="s">
        <v>957</v>
      </c>
      <c r="C303">
        <v>48</v>
      </c>
      <c r="D303" t="s">
        <v>16</v>
      </c>
      <c r="E303" t="s">
        <v>958</v>
      </c>
      <c r="F303" t="s">
        <v>332</v>
      </c>
      <c r="G303" t="s">
        <v>13</v>
      </c>
      <c r="H303" t="s">
        <v>19</v>
      </c>
      <c r="J303" s="4" t="str">
        <v>CUST1299</v>
      </c>
      <c r="K303" s="4" t="str">
        <v>Stephanie Jacobs</v>
      </c>
      <c r="L303" s="4" t="str">
        <v>48</v>
      </c>
      <c r="M303" s="4" t="str">
        <v>Female</v>
      </c>
      <c r="N303" s="4" t="str">
        <v>West Robinmouth</v>
      </c>
      <c r="O303" s="4" t="str">
        <v>Louisiana</v>
      </c>
      <c r="P303" s="4" t="str">
        <v>USA</v>
      </c>
      <c r="Q303" s="4" t="str">
        <v>Platinum</v>
      </c>
      <c r="S303" s="4" t="str">
        <v>CUST1299</v>
      </c>
      <c r="T303" s="4" t="str">
        <v>STEPHANIE JACOBS</v>
      </c>
      <c r="U303" s="4" t="str">
        <v>48</v>
      </c>
      <c r="V303" s="4" t="str">
        <v>FEMALE</v>
      </c>
      <c r="W303" s="4" t="str">
        <v>WEST ROBINMOUTH</v>
      </c>
      <c r="X303" s="4" t="str">
        <v>LOUISIANA</v>
      </c>
      <c r="Y303" s="4" t="str">
        <v>USA</v>
      </c>
      <c r="Z303" s="4" t="str">
        <v>PLATINUM</v>
      </c>
    </row>
    <row r="304" spans="1:26" x14ac:dyDescent="0.25">
      <c r="A304" t="s">
        <v>959</v>
      </c>
      <c r="B304" t="s">
        <v>960</v>
      </c>
      <c r="C304">
        <v>29</v>
      </c>
      <c r="D304" t="s">
        <v>10</v>
      </c>
      <c r="E304" t="s">
        <v>961</v>
      </c>
      <c r="F304" t="s">
        <v>37</v>
      </c>
      <c r="G304" t="s">
        <v>13</v>
      </c>
      <c r="H304" t="s">
        <v>33</v>
      </c>
      <c r="J304" s="4" t="str">
        <v>CUST1300</v>
      </c>
      <c r="K304" s="4" t="str">
        <v>Matthew Avery</v>
      </c>
      <c r="L304" s="4" t="str">
        <v>29</v>
      </c>
      <c r="M304" s="4" t="str">
        <v>Male</v>
      </c>
      <c r="N304" s="4" t="str">
        <v>Lake Melissashire</v>
      </c>
      <c r="O304" s="4" t="str">
        <v>Oregon</v>
      </c>
      <c r="P304" s="4" t="str">
        <v>USA</v>
      </c>
      <c r="Q304" s="4" t="str">
        <v>Silver</v>
      </c>
      <c r="S304" s="4" t="str">
        <v>CUST1300</v>
      </c>
      <c r="T304" s="4" t="str">
        <v>MATTHEW AVERY</v>
      </c>
      <c r="U304" s="4" t="str">
        <v>29</v>
      </c>
      <c r="V304" s="4" t="str">
        <v>MALE</v>
      </c>
      <c r="W304" s="4" t="str">
        <v>LAKE MELISSASHIRE</v>
      </c>
      <c r="X304" s="4" t="str">
        <v>OREGON</v>
      </c>
      <c r="Y304" s="4" t="str">
        <v>USA</v>
      </c>
      <c r="Z304" s="4" t="str">
        <v>SILVER</v>
      </c>
    </row>
    <row r="305" spans="1:26" x14ac:dyDescent="0.25">
      <c r="A305" t="s">
        <v>962</v>
      </c>
      <c r="B305" t="s">
        <v>963</v>
      </c>
      <c r="C305">
        <v>50</v>
      </c>
      <c r="D305" t="s">
        <v>10</v>
      </c>
      <c r="E305" t="s">
        <v>964</v>
      </c>
      <c r="F305" t="s">
        <v>291</v>
      </c>
      <c r="G305" t="s">
        <v>13</v>
      </c>
      <c r="H305" t="s">
        <v>50</v>
      </c>
      <c r="J305" s="4" t="str">
        <v>CUST1301</v>
      </c>
      <c r="K305" s="4" t="str">
        <v>Ryan Kane</v>
      </c>
      <c r="L305" s="4" t="str">
        <v>50</v>
      </c>
      <c r="M305" s="4" t="str">
        <v>Male</v>
      </c>
      <c r="N305" s="4" t="str">
        <v>West Bruceburgh</v>
      </c>
      <c r="O305" s="4" t="str">
        <v>Virginia</v>
      </c>
      <c r="P305" s="4" t="str">
        <v>USA</v>
      </c>
      <c r="Q305" s="4" t="str">
        <v>Gold</v>
      </c>
      <c r="S305" s="4" t="str">
        <v>CUST1301</v>
      </c>
      <c r="T305" s="4" t="str">
        <v>RYAN KANE</v>
      </c>
      <c r="U305" s="4" t="str">
        <v>50</v>
      </c>
      <c r="V305" s="4" t="str">
        <v>MALE</v>
      </c>
      <c r="W305" s="4" t="str">
        <v>WEST BRUCEBURGH</v>
      </c>
      <c r="X305" s="4" t="str">
        <v>VIRGINIA</v>
      </c>
      <c r="Y305" s="4" t="str">
        <v>USA</v>
      </c>
      <c r="Z305" s="4" t="str">
        <v>GOLD</v>
      </c>
    </row>
    <row r="306" spans="1:26" x14ac:dyDescent="0.25">
      <c r="A306" t="s">
        <v>965</v>
      </c>
      <c r="B306" t="s">
        <v>966</v>
      </c>
      <c r="C306">
        <v>36</v>
      </c>
      <c r="D306" t="s">
        <v>10</v>
      </c>
      <c r="E306" t="s">
        <v>967</v>
      </c>
      <c r="F306" t="s">
        <v>137</v>
      </c>
      <c r="G306" t="s">
        <v>13</v>
      </c>
      <c r="H306" t="s">
        <v>50</v>
      </c>
      <c r="J306" s="4" t="str">
        <v>CUST1302</v>
      </c>
      <c r="K306" s="4" t="str">
        <v>Edward Cole</v>
      </c>
      <c r="L306" s="4" t="str">
        <v>36</v>
      </c>
      <c r="M306" s="4" t="str">
        <v>Male</v>
      </c>
      <c r="N306" s="4" t="str">
        <v>Lake Charlotte</v>
      </c>
      <c r="O306" s="4" t="str">
        <v>Arizona</v>
      </c>
      <c r="P306" s="4" t="str">
        <v>USA</v>
      </c>
      <c r="Q306" s="4" t="str">
        <v>Gold</v>
      </c>
      <c r="S306" s="4" t="str">
        <v>CUST1302</v>
      </c>
      <c r="T306" s="4" t="str">
        <v>EDWARD COLE</v>
      </c>
      <c r="U306" s="4" t="str">
        <v>36</v>
      </c>
      <c r="V306" s="4" t="str">
        <v>MALE</v>
      </c>
      <c r="W306" s="4" t="str">
        <v>LAKE CHARLOTTE</v>
      </c>
      <c r="X306" s="4" t="str">
        <v>ARIZONA</v>
      </c>
      <c r="Y306" s="4" t="str">
        <v>USA</v>
      </c>
      <c r="Z306" s="4" t="str">
        <v>GOLD</v>
      </c>
    </row>
    <row r="307" spans="1:26" x14ac:dyDescent="0.25">
      <c r="A307" t="s">
        <v>968</v>
      </c>
      <c r="B307" t="s">
        <v>969</v>
      </c>
      <c r="C307">
        <v>23</v>
      </c>
      <c r="D307" t="s">
        <v>16</v>
      </c>
      <c r="E307" t="s">
        <v>970</v>
      </c>
      <c r="F307" t="s">
        <v>95</v>
      </c>
      <c r="G307" t="s">
        <v>13</v>
      </c>
      <c r="H307" t="s">
        <v>19</v>
      </c>
      <c r="J307" s="4" t="str">
        <v>CUST1303</v>
      </c>
      <c r="K307" s="4" t="str">
        <v>John Sloan</v>
      </c>
      <c r="L307" s="4" t="str">
        <v>23</v>
      </c>
      <c r="M307" s="4" t="str">
        <v>Female</v>
      </c>
      <c r="N307" s="4" t="str">
        <v>East Johntown</v>
      </c>
      <c r="O307" s="4" t="str">
        <v>Delaware</v>
      </c>
      <c r="P307" s="4" t="str">
        <v>USA</v>
      </c>
      <c r="Q307" s="4" t="str">
        <v>Platinum</v>
      </c>
      <c r="S307" s="4" t="str">
        <v>CUST1303</v>
      </c>
      <c r="T307" s="4" t="str">
        <v>JOHN SLOAN</v>
      </c>
      <c r="U307" s="4" t="str">
        <v>23</v>
      </c>
      <c r="V307" s="4" t="str">
        <v>FEMALE</v>
      </c>
      <c r="W307" s="4" t="str">
        <v>EAST JOHNTOWN</v>
      </c>
      <c r="X307" s="4" t="str">
        <v>DELAWARE</v>
      </c>
      <c r="Y307" s="4" t="str">
        <v>USA</v>
      </c>
      <c r="Z307" s="4" t="str">
        <v>PLATINUM</v>
      </c>
    </row>
    <row r="308" spans="1:26" x14ac:dyDescent="0.25">
      <c r="A308" t="s">
        <v>971</v>
      </c>
      <c r="B308" t="s">
        <v>972</v>
      </c>
      <c r="C308">
        <v>41</v>
      </c>
      <c r="D308" t="s">
        <v>10</v>
      </c>
      <c r="E308" t="s">
        <v>973</v>
      </c>
      <c r="F308" t="s">
        <v>65</v>
      </c>
      <c r="G308" t="s">
        <v>13</v>
      </c>
      <c r="H308" t="s">
        <v>33</v>
      </c>
      <c r="J308" s="4" t="str">
        <v>CUST1304</v>
      </c>
      <c r="K308" s="4" t="str">
        <v>Miss Alexandria Li DVM</v>
      </c>
      <c r="L308" s="4" t="str">
        <v>41</v>
      </c>
      <c r="M308" s="4" t="str">
        <v>Male</v>
      </c>
      <c r="N308" s="4" t="str">
        <v>Port Jenniferton</v>
      </c>
      <c r="O308" s="4" t="str">
        <v>Kansas</v>
      </c>
      <c r="P308" s="4" t="str">
        <v>USA</v>
      </c>
      <c r="Q308" s="4" t="str">
        <v>Silver</v>
      </c>
      <c r="S308" s="4" t="str">
        <v>CUST1304</v>
      </c>
      <c r="T308" s="4" t="str">
        <v>MISS ALEXANDRIA LI DVM</v>
      </c>
      <c r="U308" s="4" t="str">
        <v>41</v>
      </c>
      <c r="V308" s="4" t="str">
        <v>MALE</v>
      </c>
      <c r="W308" s="4" t="str">
        <v>PORT JENNIFERTON</v>
      </c>
      <c r="X308" s="4" t="str">
        <v>KANSAS</v>
      </c>
      <c r="Y308" s="4" t="str">
        <v>USA</v>
      </c>
      <c r="Z308" s="4" t="str">
        <v>SILVER</v>
      </c>
    </row>
    <row r="309" spans="1:26" x14ac:dyDescent="0.25">
      <c r="A309" t="s">
        <v>974</v>
      </c>
      <c r="B309" t="s">
        <v>975</v>
      </c>
      <c r="C309">
        <v>64</v>
      </c>
      <c r="D309" t="s">
        <v>10</v>
      </c>
      <c r="E309" t="s">
        <v>976</v>
      </c>
      <c r="F309" t="s">
        <v>77</v>
      </c>
      <c r="G309" t="s">
        <v>13</v>
      </c>
      <c r="H309" t="s">
        <v>19</v>
      </c>
      <c r="J309" s="4" t="str">
        <v>CUST1305</v>
      </c>
      <c r="K309" s="4" t="str">
        <v>Roberta Green</v>
      </c>
      <c r="L309" s="4" t="str">
        <v>64</v>
      </c>
      <c r="M309" s="4" t="str">
        <v>Male</v>
      </c>
      <c r="N309" s="4" t="str">
        <v>West Joseph</v>
      </c>
      <c r="O309" s="4" t="str">
        <v>Washington</v>
      </c>
      <c r="P309" s="4" t="str">
        <v>USA</v>
      </c>
      <c r="Q309" s="4" t="str">
        <v>Platinum</v>
      </c>
      <c r="S309" s="4" t="str">
        <v>CUST1305</v>
      </c>
      <c r="T309" s="4" t="str">
        <v>ROBERTA GREEN</v>
      </c>
      <c r="U309" s="4" t="str">
        <v>64</v>
      </c>
      <c r="V309" s="4" t="str">
        <v>MALE</v>
      </c>
      <c r="W309" s="4" t="str">
        <v>WEST JOSEPH</v>
      </c>
      <c r="X309" s="4" t="str">
        <v>WASHINGTON</v>
      </c>
      <c r="Y309" s="4" t="str">
        <v>USA</v>
      </c>
      <c r="Z309" s="4" t="str">
        <v>PLATINUM</v>
      </c>
    </row>
    <row r="310" spans="1:26" x14ac:dyDescent="0.25">
      <c r="A310" t="s">
        <v>977</v>
      </c>
      <c r="B310" t="s">
        <v>978</v>
      </c>
      <c r="C310">
        <v>44</v>
      </c>
      <c r="D310" t="s">
        <v>10</v>
      </c>
      <c r="E310" t="s">
        <v>979</v>
      </c>
      <c r="F310" t="s">
        <v>241</v>
      </c>
      <c r="G310" t="s">
        <v>13</v>
      </c>
      <c r="H310" t="s">
        <v>19</v>
      </c>
      <c r="J310" s="4" t="str">
        <v>CUST1306</v>
      </c>
      <c r="K310" s="4" t="str">
        <v>Angela Robinson</v>
      </c>
      <c r="L310" s="4" t="str">
        <v>44</v>
      </c>
      <c r="M310" s="4" t="str">
        <v>Male</v>
      </c>
      <c r="N310" s="4" t="str">
        <v>New Nicholasstad</v>
      </c>
      <c r="O310" s="4" t="str">
        <v>Tennessee</v>
      </c>
      <c r="P310" s="4" t="str">
        <v>USA</v>
      </c>
      <c r="Q310" s="4" t="str">
        <v>Platinum</v>
      </c>
      <c r="S310" s="4" t="str">
        <v>CUST1306</v>
      </c>
      <c r="T310" s="4" t="str">
        <v>ANGELA ROBINSON</v>
      </c>
      <c r="U310" s="4" t="str">
        <v>44</v>
      </c>
      <c r="V310" s="4" t="str">
        <v>MALE</v>
      </c>
      <c r="W310" s="4" t="str">
        <v>NEW NICHOLASSTAD</v>
      </c>
      <c r="X310" s="4" t="str">
        <v>TENNESSEE</v>
      </c>
      <c r="Y310" s="4" t="str">
        <v>USA</v>
      </c>
      <c r="Z310" s="4" t="str">
        <v>PLATINUM</v>
      </c>
    </row>
    <row r="311" spans="1:26" x14ac:dyDescent="0.25">
      <c r="A311" t="s">
        <v>980</v>
      </c>
      <c r="B311" t="s">
        <v>981</v>
      </c>
      <c r="C311">
        <v>56</v>
      </c>
      <c r="D311" t="s">
        <v>16</v>
      </c>
      <c r="E311" t="s">
        <v>982</v>
      </c>
      <c r="F311" t="s">
        <v>23</v>
      </c>
      <c r="G311" t="s">
        <v>13</v>
      </c>
      <c r="H311" t="s">
        <v>28</v>
      </c>
      <c r="J311" s="4" t="str">
        <v>CUST1307</v>
      </c>
      <c r="K311" s="4" t="str">
        <v>Brandy Thompson</v>
      </c>
      <c r="L311" s="4" t="str">
        <v>56</v>
      </c>
      <c r="M311" s="4" t="str">
        <v>Female</v>
      </c>
      <c r="N311" s="4" t="str">
        <v>West Patriciaview</v>
      </c>
      <c r="O311" s="4" t="str">
        <v>Alabama</v>
      </c>
      <c r="P311" s="4" t="str">
        <v>USA</v>
      </c>
      <c r="Q311" s="4" t="str">
        <v>Bronze</v>
      </c>
      <c r="S311" s="4" t="str">
        <v>CUST1307</v>
      </c>
      <c r="T311" s="4" t="str">
        <v>BRANDY THOMPSON</v>
      </c>
      <c r="U311" s="4" t="str">
        <v>56</v>
      </c>
      <c r="V311" s="4" t="str">
        <v>FEMALE</v>
      </c>
      <c r="W311" s="4" t="str">
        <v>WEST PATRICIAVIEW</v>
      </c>
      <c r="X311" s="4" t="str">
        <v>ALABAMA</v>
      </c>
      <c r="Y311" s="4" t="str">
        <v>USA</v>
      </c>
      <c r="Z311" s="4" t="str">
        <v>BRONZE</v>
      </c>
    </row>
    <row r="312" spans="1:26" x14ac:dyDescent="0.25">
      <c r="A312" t="s">
        <v>983</v>
      </c>
      <c r="B312" t="s">
        <v>984</v>
      </c>
      <c r="C312">
        <v>60</v>
      </c>
      <c r="D312" t="s">
        <v>16</v>
      </c>
      <c r="E312" t="s">
        <v>985</v>
      </c>
      <c r="F312" t="s">
        <v>271</v>
      </c>
      <c r="G312" t="s">
        <v>13</v>
      </c>
      <c r="H312" t="s">
        <v>50</v>
      </c>
      <c r="J312" s="4" t="str">
        <v>CUST1308</v>
      </c>
      <c r="K312" s="4" t="str">
        <v>Jennifer Zamora</v>
      </c>
      <c r="L312" s="4" t="str">
        <v>60</v>
      </c>
      <c r="M312" s="4" t="str">
        <v>Female</v>
      </c>
      <c r="N312" s="4" t="str">
        <v>Sarahland</v>
      </c>
      <c r="O312" s="4" t="str">
        <v>Iowa</v>
      </c>
      <c r="P312" s="4" t="str">
        <v>USA</v>
      </c>
      <c r="Q312" s="4" t="str">
        <v>Gold</v>
      </c>
      <c r="S312" s="4" t="str">
        <v>CUST1308</v>
      </c>
      <c r="T312" s="4" t="str">
        <v>JENNIFER ZAMORA</v>
      </c>
      <c r="U312" s="4" t="str">
        <v>60</v>
      </c>
      <c r="V312" s="4" t="str">
        <v>FEMALE</v>
      </c>
      <c r="W312" s="4" t="str">
        <v>SARAHLAND</v>
      </c>
      <c r="X312" s="4" t="str">
        <v>IOWA</v>
      </c>
      <c r="Y312" s="4" t="str">
        <v>USA</v>
      </c>
      <c r="Z312" s="4" t="str">
        <v>GOLD</v>
      </c>
    </row>
    <row r="313" spans="1:26" x14ac:dyDescent="0.25">
      <c r="A313" t="s">
        <v>986</v>
      </c>
      <c r="B313" t="s">
        <v>987</v>
      </c>
      <c r="C313">
        <v>41</v>
      </c>
      <c r="D313" t="s">
        <v>16</v>
      </c>
      <c r="E313" t="s">
        <v>988</v>
      </c>
      <c r="F313" t="s">
        <v>32</v>
      </c>
      <c r="G313" t="s">
        <v>13</v>
      </c>
      <c r="H313" t="s">
        <v>28</v>
      </c>
      <c r="J313" s="4" t="str">
        <v>CUST1309</v>
      </c>
      <c r="K313" s="4" t="str">
        <v>Stacy Collins</v>
      </c>
      <c r="L313" s="4" t="str">
        <v>41</v>
      </c>
      <c r="M313" s="4" t="str">
        <v>Female</v>
      </c>
      <c r="N313" s="4" t="str">
        <v>Randychester</v>
      </c>
      <c r="O313" s="4" t="str">
        <v>California</v>
      </c>
      <c r="P313" s="4" t="str">
        <v>USA</v>
      </c>
      <c r="Q313" s="4" t="str">
        <v>Bronze</v>
      </c>
      <c r="S313" s="4" t="str">
        <v>CUST1309</v>
      </c>
      <c r="T313" s="4" t="str">
        <v>STACY COLLINS</v>
      </c>
      <c r="U313" s="4" t="str">
        <v>41</v>
      </c>
      <c r="V313" s="4" t="str">
        <v>FEMALE</v>
      </c>
      <c r="W313" s="4" t="str">
        <v>RANDYCHESTER</v>
      </c>
      <c r="X313" s="4" t="str">
        <v>CALIFORNIA</v>
      </c>
      <c r="Y313" s="4" t="str">
        <v>USA</v>
      </c>
      <c r="Z313" s="4" t="str">
        <v>BRONZE</v>
      </c>
    </row>
    <row r="314" spans="1:26" x14ac:dyDescent="0.25">
      <c r="A314" t="s">
        <v>989</v>
      </c>
      <c r="B314" t="s">
        <v>990</v>
      </c>
      <c r="C314">
        <v>20</v>
      </c>
      <c r="D314" t="s">
        <v>10</v>
      </c>
      <c r="E314" t="s">
        <v>991</v>
      </c>
      <c r="F314" t="s">
        <v>175</v>
      </c>
      <c r="G314" t="s">
        <v>13</v>
      </c>
      <c r="H314" t="s">
        <v>33</v>
      </c>
      <c r="J314" s="4" t="str">
        <v>CUST1310</v>
      </c>
      <c r="K314" s="4" t="str">
        <v>Kara Dodson</v>
      </c>
      <c r="L314" s="4" t="str">
        <v>20</v>
      </c>
      <c r="M314" s="4" t="str">
        <v>Male</v>
      </c>
      <c r="N314" s="4" t="str">
        <v>Joelside</v>
      </c>
      <c r="O314" s="4" t="str">
        <v>Vermont</v>
      </c>
      <c r="P314" s="4" t="str">
        <v>USA</v>
      </c>
      <c r="Q314" s="4" t="str">
        <v>Silver</v>
      </c>
      <c r="S314" s="4" t="str">
        <v>CUST1310</v>
      </c>
      <c r="T314" s="4" t="str">
        <v>KARA DODSON</v>
      </c>
      <c r="U314" s="4" t="str">
        <v>20</v>
      </c>
      <c r="V314" s="4" t="str">
        <v>MALE</v>
      </c>
      <c r="W314" s="4" t="str">
        <v>JOELSIDE</v>
      </c>
      <c r="X314" s="4" t="str">
        <v>VERMONT</v>
      </c>
      <c r="Y314" s="4" t="str">
        <v>USA</v>
      </c>
      <c r="Z314" s="4" t="str">
        <v>SILVER</v>
      </c>
    </row>
    <row r="315" spans="1:26" x14ac:dyDescent="0.25">
      <c r="A315" t="s">
        <v>992</v>
      </c>
      <c r="B315" t="s">
        <v>993</v>
      </c>
      <c r="C315">
        <v>35</v>
      </c>
      <c r="D315" t="s">
        <v>10</v>
      </c>
      <c r="E315" t="s">
        <v>994</v>
      </c>
      <c r="F315" t="s">
        <v>37</v>
      </c>
      <c r="G315" t="s">
        <v>13</v>
      </c>
      <c r="H315" t="s">
        <v>19</v>
      </c>
      <c r="J315" s="4" t="str">
        <v>CUST1311</v>
      </c>
      <c r="K315" s="4" t="str">
        <v>Kevin Larson</v>
      </c>
      <c r="L315" s="4" t="str">
        <v>35</v>
      </c>
      <c r="M315" s="4" t="str">
        <v>Male</v>
      </c>
      <c r="N315" s="4" t="str">
        <v>Port Edwardmouth</v>
      </c>
      <c r="O315" s="4" t="str">
        <v>Oregon</v>
      </c>
      <c r="P315" s="4" t="str">
        <v>USA</v>
      </c>
      <c r="Q315" s="4" t="str">
        <v>Platinum</v>
      </c>
      <c r="S315" s="4" t="str">
        <v>CUST1311</v>
      </c>
      <c r="T315" s="4" t="str">
        <v>KEVIN LARSON</v>
      </c>
      <c r="U315" s="4" t="str">
        <v>35</v>
      </c>
      <c r="V315" s="4" t="str">
        <v>MALE</v>
      </c>
      <c r="W315" s="4" t="str">
        <v>PORT EDWARDMOUTH</v>
      </c>
      <c r="X315" s="4" t="str">
        <v>OREGON</v>
      </c>
      <c r="Y315" s="4" t="str">
        <v>USA</v>
      </c>
      <c r="Z315" s="4" t="str">
        <v>PLATINUM</v>
      </c>
    </row>
    <row r="316" spans="1:26" x14ac:dyDescent="0.25">
      <c r="A316" t="s">
        <v>995</v>
      </c>
      <c r="B316" t="s">
        <v>996</v>
      </c>
      <c r="C316">
        <v>47</v>
      </c>
      <c r="D316" t="s">
        <v>16</v>
      </c>
      <c r="E316" t="s">
        <v>997</v>
      </c>
      <c r="F316" t="s">
        <v>95</v>
      </c>
      <c r="G316" t="s">
        <v>13</v>
      </c>
      <c r="H316" t="s">
        <v>33</v>
      </c>
      <c r="J316" s="4" t="str">
        <v>CUST1312</v>
      </c>
      <c r="K316" s="4" t="str">
        <v>Jason Mullins</v>
      </c>
      <c r="L316" s="4" t="str">
        <v>47</v>
      </c>
      <c r="M316" s="4" t="str">
        <v>Female</v>
      </c>
      <c r="N316" s="4" t="str">
        <v>Brianchester</v>
      </c>
      <c r="O316" s="4" t="str">
        <v>Delaware</v>
      </c>
      <c r="P316" s="4" t="str">
        <v>USA</v>
      </c>
      <c r="Q316" s="4" t="str">
        <v>Silver</v>
      </c>
      <c r="S316" s="4" t="str">
        <v>CUST1312</v>
      </c>
      <c r="T316" s="4" t="str">
        <v>JASON MULLINS</v>
      </c>
      <c r="U316" s="4" t="str">
        <v>47</v>
      </c>
      <c r="V316" s="4" t="str">
        <v>FEMALE</v>
      </c>
      <c r="W316" s="4" t="str">
        <v>BRIANCHESTER</v>
      </c>
      <c r="X316" s="4" t="str">
        <v>DELAWARE</v>
      </c>
      <c r="Y316" s="4" t="str">
        <v>USA</v>
      </c>
      <c r="Z316" s="4" t="str">
        <v>SILVER</v>
      </c>
    </row>
    <row r="317" spans="1:26" x14ac:dyDescent="0.25">
      <c r="A317" t="s">
        <v>998</v>
      </c>
      <c r="B317" t="s">
        <v>999</v>
      </c>
      <c r="C317">
        <v>62</v>
      </c>
      <c r="D317" t="s">
        <v>10</v>
      </c>
      <c r="E317" t="s">
        <v>1000</v>
      </c>
      <c r="F317" t="s">
        <v>144</v>
      </c>
      <c r="G317" t="s">
        <v>13</v>
      </c>
      <c r="H317" t="s">
        <v>19</v>
      </c>
      <c r="J317" s="4" t="str">
        <v>CUST1313</v>
      </c>
      <c r="K317" s="4" t="str">
        <v>Elizabeth Jones</v>
      </c>
      <c r="L317" s="4" t="str">
        <v>62</v>
      </c>
      <c r="M317" s="4" t="str">
        <v>Male</v>
      </c>
      <c r="N317" s="4" t="str">
        <v>Brownburgh</v>
      </c>
      <c r="O317" s="4" t="str">
        <v>Maryland</v>
      </c>
      <c r="P317" s="4" t="str">
        <v>USA</v>
      </c>
      <c r="Q317" s="4" t="str">
        <v>Platinum</v>
      </c>
      <c r="S317" s="4" t="str">
        <v>CUST1313</v>
      </c>
      <c r="T317" s="4" t="str">
        <v>ELIZABETH JONES</v>
      </c>
      <c r="U317" s="4" t="str">
        <v>62</v>
      </c>
      <c r="V317" s="4" t="str">
        <v>MALE</v>
      </c>
      <c r="W317" s="4" t="str">
        <v>BROWNBURGH</v>
      </c>
      <c r="X317" s="4" t="str">
        <v>MARYLAND</v>
      </c>
      <c r="Y317" s="4" t="str">
        <v>USA</v>
      </c>
      <c r="Z317" s="4" t="str">
        <v>PLATINUM</v>
      </c>
    </row>
    <row r="318" spans="1:26" x14ac:dyDescent="0.25">
      <c r="A318" t="s">
        <v>1001</v>
      </c>
      <c r="B318" t="s">
        <v>1002</v>
      </c>
      <c r="C318">
        <v>53</v>
      </c>
      <c r="D318" t="s">
        <v>16</v>
      </c>
      <c r="E318" t="s">
        <v>1003</v>
      </c>
      <c r="F318" t="s">
        <v>77</v>
      </c>
      <c r="G318" t="s">
        <v>13</v>
      </c>
      <c r="H318" t="s">
        <v>33</v>
      </c>
      <c r="J318" s="4" t="str">
        <v>CUST1314</v>
      </c>
      <c r="K318" s="4" t="str">
        <v>Elizabeth Johnson</v>
      </c>
      <c r="L318" s="4" t="str">
        <v>53</v>
      </c>
      <c r="M318" s="4" t="str">
        <v>Female</v>
      </c>
      <c r="N318" s="4" t="str">
        <v>Anitaland</v>
      </c>
      <c r="O318" s="4" t="str">
        <v>Washington</v>
      </c>
      <c r="P318" s="4" t="str">
        <v>USA</v>
      </c>
      <c r="Q318" s="4" t="str">
        <v>Silver</v>
      </c>
      <c r="S318" s="4" t="str">
        <v>CUST1314</v>
      </c>
      <c r="T318" s="4" t="str">
        <v>ELIZABETH JOHNSON</v>
      </c>
      <c r="U318" s="4" t="str">
        <v>53</v>
      </c>
      <c r="V318" s="4" t="str">
        <v>FEMALE</v>
      </c>
      <c r="W318" s="4" t="str">
        <v>ANITALAND</v>
      </c>
      <c r="X318" s="4" t="str">
        <v>WASHINGTON</v>
      </c>
      <c r="Y318" s="4" t="str">
        <v>USA</v>
      </c>
      <c r="Z318" s="4" t="str">
        <v>SILVER</v>
      </c>
    </row>
    <row r="319" spans="1:26" x14ac:dyDescent="0.25">
      <c r="A319" t="s">
        <v>1004</v>
      </c>
      <c r="B319" t="s">
        <v>1005</v>
      </c>
      <c r="C319">
        <v>49</v>
      </c>
      <c r="D319" t="s">
        <v>10</v>
      </c>
      <c r="E319" t="s">
        <v>1006</v>
      </c>
      <c r="F319" t="s">
        <v>725</v>
      </c>
      <c r="G319" t="s">
        <v>13</v>
      </c>
      <c r="H319" t="s">
        <v>33</v>
      </c>
      <c r="J319" s="4" t="str">
        <v>CUST1315</v>
      </c>
      <c r="K319" s="4" t="str">
        <v>William Rodriguez</v>
      </c>
      <c r="L319" s="4" t="str">
        <v>49</v>
      </c>
      <c r="M319" s="4" t="str">
        <v>Male</v>
      </c>
      <c r="N319" s="4" t="str">
        <v>Port Chad</v>
      </c>
      <c r="O319" s="4" t="str">
        <v>Massachusetts</v>
      </c>
      <c r="P319" s="4" t="str">
        <v>USA</v>
      </c>
      <c r="Q319" s="4" t="str">
        <v>Silver</v>
      </c>
      <c r="S319" s="4" t="str">
        <v>CUST1315</v>
      </c>
      <c r="T319" s="4" t="str">
        <v>WILLIAM RODRIGUEZ</v>
      </c>
      <c r="U319" s="4" t="str">
        <v>49</v>
      </c>
      <c r="V319" s="4" t="str">
        <v>MALE</v>
      </c>
      <c r="W319" s="4" t="str">
        <v>PORT CHAD</v>
      </c>
      <c r="X319" s="4" t="str">
        <v>MASSACHUSETTS</v>
      </c>
      <c r="Y319" s="4" t="str">
        <v>USA</v>
      </c>
      <c r="Z319" s="4" t="str">
        <v>SILVER</v>
      </c>
    </row>
    <row r="320" spans="1:26" x14ac:dyDescent="0.25">
      <c r="A320" t="s">
        <v>1007</v>
      </c>
      <c r="B320" t="s">
        <v>1008</v>
      </c>
      <c r="C320">
        <v>34</v>
      </c>
      <c r="D320" t="s">
        <v>10</v>
      </c>
      <c r="E320" t="s">
        <v>1009</v>
      </c>
      <c r="F320" t="s">
        <v>144</v>
      </c>
      <c r="G320" t="s">
        <v>13</v>
      </c>
      <c r="H320" t="s">
        <v>50</v>
      </c>
      <c r="J320" s="4" t="str">
        <v>CUST1316</v>
      </c>
      <c r="K320" s="4" t="str">
        <v>Robert House</v>
      </c>
      <c r="L320" s="4" t="str">
        <v>34</v>
      </c>
      <c r="M320" s="4" t="str">
        <v>Male</v>
      </c>
      <c r="N320" s="4" t="str">
        <v>Lake James</v>
      </c>
      <c r="O320" s="4" t="str">
        <v>Maryland</v>
      </c>
      <c r="P320" s="4" t="str">
        <v>USA</v>
      </c>
      <c r="Q320" s="4" t="str">
        <v>Gold</v>
      </c>
      <c r="S320" s="4" t="str">
        <v>CUST1316</v>
      </c>
      <c r="T320" s="4" t="str">
        <v>ROBERT HOUSE</v>
      </c>
      <c r="U320" s="4" t="str">
        <v>34</v>
      </c>
      <c r="V320" s="4" t="str">
        <v>MALE</v>
      </c>
      <c r="W320" s="4" t="str">
        <v>LAKE JAMES</v>
      </c>
      <c r="X320" s="4" t="str">
        <v>MARYLAND</v>
      </c>
      <c r="Y320" s="4" t="str">
        <v>USA</v>
      </c>
      <c r="Z320" s="4" t="str">
        <v>GOLD</v>
      </c>
    </row>
    <row r="321" spans="1:26" x14ac:dyDescent="0.25">
      <c r="A321" t="s">
        <v>1010</v>
      </c>
      <c r="B321" t="s">
        <v>1011</v>
      </c>
      <c r="C321">
        <v>64</v>
      </c>
      <c r="D321" t="s">
        <v>16</v>
      </c>
      <c r="E321" t="s">
        <v>1012</v>
      </c>
      <c r="F321" t="s">
        <v>49</v>
      </c>
      <c r="G321" t="s">
        <v>13</v>
      </c>
      <c r="H321" t="s">
        <v>50</v>
      </c>
      <c r="J321" s="4" t="str">
        <v>CUST1317</v>
      </c>
      <c r="K321" s="4" t="str">
        <v>Tiffany Williams</v>
      </c>
      <c r="L321" s="4" t="str">
        <v>64</v>
      </c>
      <c r="M321" s="4" t="str">
        <v>Female</v>
      </c>
      <c r="N321" s="4" t="str">
        <v>Richardsport</v>
      </c>
      <c r="O321" s="4" t="str">
        <v>New Hampshire</v>
      </c>
      <c r="P321" s="4" t="str">
        <v>USA</v>
      </c>
      <c r="Q321" s="4" t="str">
        <v>Gold</v>
      </c>
      <c r="S321" s="4" t="str">
        <v>CUST1317</v>
      </c>
      <c r="T321" s="4" t="str">
        <v>TIFFANY WILLIAMS</v>
      </c>
      <c r="U321" s="4" t="str">
        <v>64</v>
      </c>
      <c r="V321" s="4" t="str">
        <v>FEMALE</v>
      </c>
      <c r="W321" s="4" t="str">
        <v>RICHARDSPORT</v>
      </c>
      <c r="X321" s="4" t="str">
        <v>NEW HAMPSHIRE</v>
      </c>
      <c r="Y321" s="4" t="str">
        <v>USA</v>
      </c>
      <c r="Z321" s="4" t="str">
        <v>GOLD</v>
      </c>
    </row>
    <row r="322" spans="1:26" x14ac:dyDescent="0.25">
      <c r="A322" t="s">
        <v>1013</v>
      </c>
      <c r="B322" t="s">
        <v>1014</v>
      </c>
      <c r="C322">
        <v>25</v>
      </c>
      <c r="D322" t="s">
        <v>10</v>
      </c>
      <c r="E322" t="s">
        <v>1015</v>
      </c>
      <c r="F322" t="s">
        <v>65</v>
      </c>
      <c r="G322" t="s">
        <v>13</v>
      </c>
      <c r="H322" t="s">
        <v>19</v>
      </c>
      <c r="J322" s="4" t="str">
        <v>CUST1318</v>
      </c>
      <c r="K322" s="4" t="str">
        <v>Madison Wright</v>
      </c>
      <c r="L322" s="4" t="str">
        <v>25</v>
      </c>
      <c r="M322" s="4" t="str">
        <v>Male</v>
      </c>
      <c r="N322" s="4" t="str">
        <v>Monicaview</v>
      </c>
      <c r="O322" s="4" t="str">
        <v>Kansas</v>
      </c>
      <c r="P322" s="4" t="str">
        <v>USA</v>
      </c>
      <c r="Q322" s="4" t="str">
        <v>Platinum</v>
      </c>
      <c r="S322" s="4" t="str">
        <v>CUST1318</v>
      </c>
      <c r="T322" s="4" t="str">
        <v>MADISON WRIGHT</v>
      </c>
      <c r="U322" s="4" t="str">
        <v>25</v>
      </c>
      <c r="V322" s="4" t="str">
        <v>MALE</v>
      </c>
      <c r="W322" s="4" t="str">
        <v>MONICAVIEW</v>
      </c>
      <c r="X322" s="4" t="str">
        <v>KANSAS</v>
      </c>
      <c r="Y322" s="4" t="str">
        <v>USA</v>
      </c>
      <c r="Z322" s="4" t="str">
        <v>PLATINUM</v>
      </c>
    </row>
    <row r="323" spans="1:26" x14ac:dyDescent="0.25">
      <c r="A323" t="s">
        <v>1016</v>
      </c>
      <c r="B323" t="s">
        <v>1017</v>
      </c>
      <c r="C323">
        <v>54</v>
      </c>
      <c r="D323" t="s">
        <v>10</v>
      </c>
      <c r="E323" t="s">
        <v>1018</v>
      </c>
      <c r="F323" t="s">
        <v>317</v>
      </c>
      <c r="G323" t="s">
        <v>13</v>
      </c>
      <c r="H323" t="s">
        <v>19</v>
      </c>
      <c r="J323" s="4" t="str">
        <v>CUST1319</v>
      </c>
      <c r="K323" s="4" t="str">
        <v>Casey Simpson</v>
      </c>
      <c r="L323" s="4" t="str">
        <v>54</v>
      </c>
      <c r="M323" s="4" t="str">
        <v>Male</v>
      </c>
      <c r="N323" s="4" t="str">
        <v>West Mathewside</v>
      </c>
      <c r="O323" s="4" t="str">
        <v>Mississippi</v>
      </c>
      <c r="P323" s="4" t="str">
        <v>USA</v>
      </c>
      <c r="Q323" s="4" t="str">
        <v>Platinum</v>
      </c>
      <c r="S323" s="4" t="str">
        <v>CUST1319</v>
      </c>
      <c r="T323" s="4" t="str">
        <v>CASEY SIMPSON</v>
      </c>
      <c r="U323" s="4" t="str">
        <v>54</v>
      </c>
      <c r="V323" s="4" t="str">
        <v>MALE</v>
      </c>
      <c r="W323" s="4" t="str">
        <v>WEST MATHEWSIDE</v>
      </c>
      <c r="X323" s="4" t="str">
        <v>MISSISSIPPI</v>
      </c>
      <c r="Y323" s="4" t="str">
        <v>USA</v>
      </c>
      <c r="Z323" s="4" t="str">
        <v>PLATINUM</v>
      </c>
    </row>
    <row r="324" spans="1:26" x14ac:dyDescent="0.25">
      <c r="A324" t="s">
        <v>1019</v>
      </c>
      <c r="B324" t="s">
        <v>1020</v>
      </c>
      <c r="C324">
        <v>34</v>
      </c>
      <c r="D324" t="s">
        <v>16</v>
      </c>
      <c r="E324" t="s">
        <v>1021</v>
      </c>
      <c r="F324" t="s">
        <v>271</v>
      </c>
      <c r="G324" t="s">
        <v>13</v>
      </c>
      <c r="H324" t="s">
        <v>28</v>
      </c>
      <c r="J324" s="4" t="str">
        <v>CUST1320</v>
      </c>
      <c r="K324" s="4" t="str">
        <v>Jessica Gonzalez</v>
      </c>
      <c r="L324" s="4" t="str">
        <v>34</v>
      </c>
      <c r="M324" s="4" t="str">
        <v>Female</v>
      </c>
      <c r="N324" s="4" t="str">
        <v>South Darrenland</v>
      </c>
      <c r="O324" s="4" t="str">
        <v>Iowa</v>
      </c>
      <c r="P324" s="4" t="str">
        <v>USA</v>
      </c>
      <c r="Q324" s="4" t="str">
        <v>Bronze</v>
      </c>
      <c r="S324" s="4" t="str">
        <v>CUST1320</v>
      </c>
      <c r="T324" s="4" t="str">
        <v>JESSICA GONZALEZ</v>
      </c>
      <c r="U324" s="4" t="str">
        <v>34</v>
      </c>
      <c r="V324" s="4" t="str">
        <v>FEMALE</v>
      </c>
      <c r="W324" s="4" t="str">
        <v>SOUTH DARRENLAND</v>
      </c>
      <c r="X324" s="4" t="str">
        <v>IOWA</v>
      </c>
      <c r="Y324" s="4" t="str">
        <v>USA</v>
      </c>
      <c r="Z324" s="4" t="str">
        <v>BRONZE</v>
      </c>
    </row>
    <row r="325" spans="1:26" x14ac:dyDescent="0.25">
      <c r="A325" t="s">
        <v>1022</v>
      </c>
      <c r="B325" t="s">
        <v>1023</v>
      </c>
      <c r="C325">
        <v>21</v>
      </c>
      <c r="D325" t="s">
        <v>16</v>
      </c>
      <c r="E325" t="s">
        <v>1024</v>
      </c>
      <c r="F325" t="s">
        <v>241</v>
      </c>
      <c r="G325" t="s">
        <v>13</v>
      </c>
      <c r="H325" t="s">
        <v>28</v>
      </c>
      <c r="J325" s="4" t="str">
        <v>CUST1321</v>
      </c>
      <c r="K325" s="4" t="str">
        <v>Darren Burton</v>
      </c>
      <c r="L325" s="4" t="str">
        <v>21</v>
      </c>
      <c r="M325" s="4" t="str">
        <v>Female</v>
      </c>
      <c r="N325" s="4" t="str">
        <v>Lake Alice</v>
      </c>
      <c r="O325" s="4" t="str">
        <v>Tennessee</v>
      </c>
      <c r="P325" s="4" t="str">
        <v>USA</v>
      </c>
      <c r="Q325" s="4" t="str">
        <v>Bronze</v>
      </c>
      <c r="S325" s="4" t="str">
        <v>CUST1321</v>
      </c>
      <c r="T325" s="4" t="str">
        <v>DARREN BURTON</v>
      </c>
      <c r="U325" s="4" t="str">
        <v>21</v>
      </c>
      <c r="V325" s="4" t="str">
        <v>FEMALE</v>
      </c>
      <c r="W325" s="4" t="str">
        <v>LAKE ALICE</v>
      </c>
      <c r="X325" s="4" t="str">
        <v>TENNESSEE</v>
      </c>
      <c r="Y325" s="4" t="str">
        <v>USA</v>
      </c>
      <c r="Z325" s="4" t="str">
        <v>BRONZE</v>
      </c>
    </row>
    <row r="326" spans="1:26" x14ac:dyDescent="0.25">
      <c r="A326" t="s">
        <v>1025</v>
      </c>
      <c r="B326" t="s">
        <v>1026</v>
      </c>
      <c r="C326">
        <v>54</v>
      </c>
      <c r="D326" t="s">
        <v>10</v>
      </c>
      <c r="E326" t="s">
        <v>1027</v>
      </c>
      <c r="F326" t="s">
        <v>856</v>
      </c>
      <c r="G326" t="s">
        <v>13</v>
      </c>
      <c r="H326" t="s">
        <v>28</v>
      </c>
      <c r="J326" s="4" t="str">
        <v>CUST1322</v>
      </c>
      <c r="K326" s="4" t="str">
        <v>Samuel Arias</v>
      </c>
      <c r="L326" s="4" t="str">
        <v>54</v>
      </c>
      <c r="M326" s="4" t="str">
        <v>Male</v>
      </c>
      <c r="N326" s="4" t="str">
        <v>North Nicole</v>
      </c>
      <c r="O326" s="4" t="str">
        <v>Wyoming</v>
      </c>
      <c r="P326" s="4" t="str">
        <v>USA</v>
      </c>
      <c r="Q326" s="4" t="str">
        <v>Bronze</v>
      </c>
      <c r="S326" s="4" t="str">
        <v>CUST1322</v>
      </c>
      <c r="T326" s="4" t="str">
        <v>SAMUEL ARIAS</v>
      </c>
      <c r="U326" s="4" t="str">
        <v>54</v>
      </c>
      <c r="V326" s="4" t="str">
        <v>MALE</v>
      </c>
      <c r="W326" s="4" t="str">
        <v>NORTH NICOLE</v>
      </c>
      <c r="X326" s="4" t="str">
        <v>WYOMING</v>
      </c>
      <c r="Y326" s="4" t="str">
        <v>USA</v>
      </c>
      <c r="Z326" s="4" t="str">
        <v>BRONZE</v>
      </c>
    </row>
    <row r="327" spans="1:26" x14ac:dyDescent="0.25">
      <c r="A327" t="s">
        <v>1028</v>
      </c>
      <c r="B327" t="s">
        <v>1029</v>
      </c>
      <c r="C327">
        <v>64</v>
      </c>
      <c r="D327" t="s">
        <v>16</v>
      </c>
      <c r="E327" t="s">
        <v>1030</v>
      </c>
      <c r="F327" t="s">
        <v>12</v>
      </c>
      <c r="G327" t="s">
        <v>13</v>
      </c>
      <c r="H327" t="s">
        <v>19</v>
      </c>
      <c r="J327" s="4" t="str">
        <v>CUST1323</v>
      </c>
      <c r="K327" s="4" t="str">
        <v>Kristy Dunlap</v>
      </c>
      <c r="L327" s="4" t="str">
        <v>64</v>
      </c>
      <c r="M327" s="4" t="str">
        <v>Female</v>
      </c>
      <c r="N327" s="4" t="str">
        <v>Whiteport</v>
      </c>
      <c r="O327" s="4" t="str">
        <v>North Carolina</v>
      </c>
      <c r="P327" s="4" t="str">
        <v>USA</v>
      </c>
      <c r="Q327" s="4" t="str">
        <v>Platinum</v>
      </c>
      <c r="S327" s="4" t="str">
        <v>CUST1323</v>
      </c>
      <c r="T327" s="4" t="str">
        <v>KRISTY DUNLAP</v>
      </c>
      <c r="U327" s="4" t="str">
        <v>64</v>
      </c>
      <c r="V327" s="4" t="str">
        <v>FEMALE</v>
      </c>
      <c r="W327" s="4" t="str">
        <v>WHITEPORT</v>
      </c>
      <c r="X327" s="4" t="str">
        <v>NORTH CAROLINA</v>
      </c>
      <c r="Y327" s="4" t="str">
        <v>USA</v>
      </c>
      <c r="Z327" s="4" t="str">
        <v>PLATINUM</v>
      </c>
    </row>
    <row r="328" spans="1:26" x14ac:dyDescent="0.25">
      <c r="A328" t="s">
        <v>1031</v>
      </c>
      <c r="B328" t="s">
        <v>1032</v>
      </c>
      <c r="C328">
        <v>58</v>
      </c>
      <c r="D328" t="s">
        <v>10</v>
      </c>
      <c r="E328" t="s">
        <v>1033</v>
      </c>
      <c r="F328" t="s">
        <v>99</v>
      </c>
      <c r="G328" t="s">
        <v>13</v>
      </c>
      <c r="H328" t="s">
        <v>28</v>
      </c>
      <c r="J328" s="4" t="str">
        <v>CUST1324</v>
      </c>
      <c r="K328" s="4" t="str">
        <v>Alex Mann II</v>
      </c>
      <c r="L328" s="4" t="str">
        <v>58</v>
      </c>
      <c r="M328" s="4" t="str">
        <v>Male</v>
      </c>
      <c r="N328" s="4" t="str">
        <v>South Zacharychester</v>
      </c>
      <c r="O328" s="4" t="str">
        <v>Oklahoma</v>
      </c>
      <c r="P328" s="4" t="str">
        <v>USA</v>
      </c>
      <c r="Q328" s="4" t="str">
        <v>Bronze</v>
      </c>
      <c r="S328" s="4" t="str">
        <v>CUST1324</v>
      </c>
      <c r="T328" s="4" t="str">
        <v>ALEX MANN II</v>
      </c>
      <c r="U328" s="4" t="str">
        <v>58</v>
      </c>
      <c r="V328" s="4" t="str">
        <v>MALE</v>
      </c>
      <c r="W328" s="4" t="str">
        <v>SOUTH ZACHARYCHESTER</v>
      </c>
      <c r="X328" s="4" t="str">
        <v>OKLAHOMA</v>
      </c>
      <c r="Y328" s="4" t="str">
        <v>USA</v>
      </c>
      <c r="Z328" s="4" t="str">
        <v>BRONZE</v>
      </c>
    </row>
    <row r="329" spans="1:26" x14ac:dyDescent="0.25">
      <c r="A329" t="s">
        <v>1034</v>
      </c>
      <c r="B329" t="s">
        <v>1035</v>
      </c>
      <c r="C329">
        <v>60</v>
      </c>
      <c r="D329" t="s">
        <v>10</v>
      </c>
      <c r="E329" t="s">
        <v>1036</v>
      </c>
      <c r="F329" t="s">
        <v>328</v>
      </c>
      <c r="G329" t="s">
        <v>13</v>
      </c>
      <c r="H329" t="s">
        <v>28</v>
      </c>
      <c r="J329" s="4" t="str">
        <v>CUST1325</v>
      </c>
      <c r="K329" s="4" t="str">
        <v>Andrew Smith</v>
      </c>
      <c r="L329" s="4" t="str">
        <v>60</v>
      </c>
      <c r="M329" s="4" t="str">
        <v>Male</v>
      </c>
      <c r="N329" s="4" t="str">
        <v>East Matthew</v>
      </c>
      <c r="O329" s="4" t="str">
        <v>Wisconsin</v>
      </c>
      <c r="P329" s="4" t="str">
        <v>USA</v>
      </c>
      <c r="Q329" s="4" t="str">
        <v>Bronze</v>
      </c>
      <c r="S329" s="4" t="str">
        <v>CUST1325</v>
      </c>
      <c r="T329" s="4" t="str">
        <v>ANDREW SMITH</v>
      </c>
      <c r="U329" s="4" t="str">
        <v>60</v>
      </c>
      <c r="V329" s="4" t="str">
        <v>MALE</v>
      </c>
      <c r="W329" s="4" t="str">
        <v>EAST MATTHEW</v>
      </c>
      <c r="X329" s="4" t="str">
        <v>WISCONSIN</v>
      </c>
      <c r="Y329" s="4" t="str">
        <v>USA</v>
      </c>
      <c r="Z329" s="4" t="str">
        <v>BRONZE</v>
      </c>
    </row>
    <row r="330" spans="1:26" x14ac:dyDescent="0.25">
      <c r="A330" t="s">
        <v>1037</v>
      </c>
      <c r="B330" t="s">
        <v>1038</v>
      </c>
      <c r="C330">
        <v>58</v>
      </c>
      <c r="D330" t="s">
        <v>16</v>
      </c>
      <c r="E330" t="s">
        <v>1039</v>
      </c>
      <c r="F330" t="s">
        <v>221</v>
      </c>
      <c r="G330" t="s">
        <v>13</v>
      </c>
      <c r="H330" t="s">
        <v>50</v>
      </c>
      <c r="J330" s="4" t="str">
        <v>CUST1326</v>
      </c>
      <c r="K330" s="4" t="str">
        <v>Robert King</v>
      </c>
      <c r="L330" s="4" t="str">
        <v>58</v>
      </c>
      <c r="M330" s="4" t="str">
        <v>Female</v>
      </c>
      <c r="N330" s="4" t="str">
        <v>Cindyton</v>
      </c>
      <c r="O330" s="4" t="str">
        <v>Rhode Island</v>
      </c>
      <c r="P330" s="4" t="str">
        <v>USA</v>
      </c>
      <c r="Q330" s="4" t="str">
        <v>Gold</v>
      </c>
      <c r="S330" s="4" t="str">
        <v>CUST1326</v>
      </c>
      <c r="T330" s="4" t="str">
        <v>ROBERT KING</v>
      </c>
      <c r="U330" s="4" t="str">
        <v>58</v>
      </c>
      <c r="V330" s="4" t="str">
        <v>FEMALE</v>
      </c>
      <c r="W330" s="4" t="str">
        <v>CINDYTON</v>
      </c>
      <c r="X330" s="4" t="str">
        <v>RHODE ISLAND</v>
      </c>
      <c r="Y330" s="4" t="str">
        <v>USA</v>
      </c>
      <c r="Z330" s="4" t="str">
        <v>GOLD</v>
      </c>
    </row>
    <row r="331" spans="1:26" x14ac:dyDescent="0.25">
      <c r="A331" t="s">
        <v>1040</v>
      </c>
      <c r="B331" t="s">
        <v>1041</v>
      </c>
      <c r="C331">
        <v>62</v>
      </c>
      <c r="D331" t="s">
        <v>16</v>
      </c>
      <c r="E331" t="s">
        <v>1042</v>
      </c>
      <c r="F331" t="s">
        <v>61</v>
      </c>
      <c r="G331" t="s">
        <v>13</v>
      </c>
      <c r="H331" t="s">
        <v>28</v>
      </c>
      <c r="J331" s="4" t="str">
        <v>CUST1327</v>
      </c>
      <c r="K331" s="4" t="str">
        <v>Reginald Willis</v>
      </c>
      <c r="L331" s="4" t="str">
        <v>62</v>
      </c>
      <c r="M331" s="4" t="str">
        <v>Female</v>
      </c>
      <c r="N331" s="4" t="str">
        <v>Kellybury</v>
      </c>
      <c r="O331" s="4" t="str">
        <v>New York</v>
      </c>
      <c r="P331" s="4" t="str">
        <v>USA</v>
      </c>
      <c r="Q331" s="4" t="str">
        <v>Bronze</v>
      </c>
      <c r="S331" s="4" t="str">
        <v>CUST1327</v>
      </c>
      <c r="T331" s="4" t="str">
        <v>REGINALD WILLIS</v>
      </c>
      <c r="U331" s="4" t="str">
        <v>62</v>
      </c>
      <c r="V331" s="4" t="str">
        <v>FEMALE</v>
      </c>
      <c r="W331" s="4" t="str">
        <v>KELLYBURY</v>
      </c>
      <c r="X331" s="4" t="str">
        <v>NEW YORK</v>
      </c>
      <c r="Y331" s="4" t="str">
        <v>USA</v>
      </c>
      <c r="Z331" s="4" t="str">
        <v>BRONZE</v>
      </c>
    </row>
    <row r="332" spans="1:26" x14ac:dyDescent="0.25">
      <c r="A332" t="s">
        <v>1043</v>
      </c>
      <c r="B332" t="s">
        <v>1044</v>
      </c>
      <c r="C332">
        <v>46</v>
      </c>
      <c r="D332" t="s">
        <v>10</v>
      </c>
      <c r="E332" t="s">
        <v>1045</v>
      </c>
      <c r="F332" t="s">
        <v>205</v>
      </c>
      <c r="G332" t="s">
        <v>13</v>
      </c>
      <c r="H332" t="s">
        <v>19</v>
      </c>
      <c r="J332" s="4" t="str">
        <v>CUST1328</v>
      </c>
      <c r="K332" s="4" t="str">
        <v>Mario Harvey Jr.</v>
      </c>
      <c r="L332" s="4" t="str">
        <v>46</v>
      </c>
      <c r="M332" s="4" t="str">
        <v>Male</v>
      </c>
      <c r="N332" s="4" t="str">
        <v>Jessicaport</v>
      </c>
      <c r="O332" s="4" t="str">
        <v>Minnesota</v>
      </c>
      <c r="P332" s="4" t="str">
        <v>USA</v>
      </c>
      <c r="Q332" s="4" t="str">
        <v>Platinum</v>
      </c>
      <c r="S332" s="4" t="str">
        <v>CUST1328</v>
      </c>
      <c r="T332" s="4" t="str">
        <v>MARIO HARVEY JR.</v>
      </c>
      <c r="U332" s="4" t="str">
        <v>46</v>
      </c>
      <c r="V332" s="4" t="str">
        <v>MALE</v>
      </c>
      <c r="W332" s="4" t="str">
        <v>JESSICAPORT</v>
      </c>
      <c r="X332" s="4" t="str">
        <v>MINNESOTA</v>
      </c>
      <c r="Y332" s="4" t="str">
        <v>USA</v>
      </c>
      <c r="Z332" s="4" t="str">
        <v>PLATINUM</v>
      </c>
    </row>
    <row r="333" spans="1:26" x14ac:dyDescent="0.25">
      <c r="A333" t="s">
        <v>1046</v>
      </c>
      <c r="B333" t="s">
        <v>1047</v>
      </c>
      <c r="C333">
        <v>62</v>
      </c>
      <c r="D333" t="s">
        <v>16</v>
      </c>
      <c r="E333" t="s">
        <v>1048</v>
      </c>
      <c r="F333" t="s">
        <v>205</v>
      </c>
      <c r="G333" t="s">
        <v>13</v>
      </c>
      <c r="H333" t="s">
        <v>28</v>
      </c>
      <c r="J333" s="4" t="str">
        <v>CUST1329</v>
      </c>
      <c r="K333" s="4" t="str">
        <v>Victor Mcintosh</v>
      </c>
      <c r="L333" s="4" t="str">
        <v>62</v>
      </c>
      <c r="M333" s="4" t="str">
        <v>Female</v>
      </c>
      <c r="N333" s="4" t="str">
        <v>Tiffanyshire</v>
      </c>
      <c r="O333" s="4" t="str">
        <v>Minnesota</v>
      </c>
      <c r="P333" s="4" t="str">
        <v>USA</v>
      </c>
      <c r="Q333" s="4" t="str">
        <v>Bronze</v>
      </c>
      <c r="S333" s="4" t="str">
        <v>CUST1329</v>
      </c>
      <c r="T333" s="4" t="str">
        <v>VICTOR MCINTOSH</v>
      </c>
      <c r="U333" s="4" t="str">
        <v>62</v>
      </c>
      <c r="V333" s="4" t="str">
        <v>FEMALE</v>
      </c>
      <c r="W333" s="4" t="str">
        <v>TIFFANYSHIRE</v>
      </c>
      <c r="X333" s="4" t="str">
        <v>MINNESOTA</v>
      </c>
      <c r="Y333" s="4" t="str">
        <v>USA</v>
      </c>
      <c r="Z333" s="4" t="str">
        <v>BRONZE</v>
      </c>
    </row>
    <row r="334" spans="1:26" x14ac:dyDescent="0.25">
      <c r="A334" t="s">
        <v>1049</v>
      </c>
      <c r="B334" t="s">
        <v>1050</v>
      </c>
      <c r="C334">
        <v>54</v>
      </c>
      <c r="D334" t="s">
        <v>10</v>
      </c>
      <c r="E334" t="s">
        <v>1051</v>
      </c>
      <c r="F334" t="s">
        <v>198</v>
      </c>
      <c r="G334" t="s">
        <v>13</v>
      </c>
      <c r="H334" t="s">
        <v>19</v>
      </c>
      <c r="J334" s="4" t="str">
        <v>CUST1330</v>
      </c>
      <c r="K334" s="4" t="str">
        <v>Pamela Mcguire</v>
      </c>
      <c r="L334" s="4" t="str">
        <v>54</v>
      </c>
      <c r="M334" s="4" t="str">
        <v>Male</v>
      </c>
      <c r="N334" s="4" t="str">
        <v>South Jasontown</v>
      </c>
      <c r="O334" s="4" t="str">
        <v>Illinois</v>
      </c>
      <c r="P334" s="4" t="str">
        <v>USA</v>
      </c>
      <c r="Q334" s="4" t="str">
        <v>Platinum</v>
      </c>
      <c r="S334" s="4" t="str">
        <v>CUST1330</v>
      </c>
      <c r="T334" s="4" t="str">
        <v>PAMELA MCGUIRE</v>
      </c>
      <c r="U334" s="4" t="str">
        <v>54</v>
      </c>
      <c r="V334" s="4" t="str">
        <v>MALE</v>
      </c>
      <c r="W334" s="4" t="str">
        <v>SOUTH JASONTOWN</v>
      </c>
      <c r="X334" s="4" t="str">
        <v>ILLINOIS</v>
      </c>
      <c r="Y334" s="4" t="str">
        <v>USA</v>
      </c>
      <c r="Z334" s="4" t="str">
        <v>PLATINUM</v>
      </c>
    </row>
    <row r="335" spans="1:26" x14ac:dyDescent="0.25">
      <c r="A335" t="s">
        <v>1052</v>
      </c>
      <c r="B335" t="s">
        <v>1053</v>
      </c>
      <c r="C335">
        <v>38</v>
      </c>
      <c r="D335" t="s">
        <v>16</v>
      </c>
      <c r="E335" t="s">
        <v>1054</v>
      </c>
      <c r="F335" t="s">
        <v>69</v>
      </c>
      <c r="G335" t="s">
        <v>13</v>
      </c>
      <c r="H335" t="s">
        <v>28</v>
      </c>
      <c r="J335" s="4" t="str">
        <v>CUST1331</v>
      </c>
      <c r="K335" s="4" t="str">
        <v>Maria Phillips</v>
      </c>
      <c r="L335" s="4" t="str">
        <v>38</v>
      </c>
      <c r="M335" s="4" t="str">
        <v>Female</v>
      </c>
      <c r="N335" s="4" t="str">
        <v>North Kathytown</v>
      </c>
      <c r="O335" s="4" t="str">
        <v>Montana</v>
      </c>
      <c r="P335" s="4" t="str">
        <v>USA</v>
      </c>
      <c r="Q335" s="4" t="str">
        <v>Bronze</v>
      </c>
      <c r="S335" s="4" t="str">
        <v>CUST1331</v>
      </c>
      <c r="T335" s="4" t="str">
        <v>MARIA PHILLIPS</v>
      </c>
      <c r="U335" s="4" t="str">
        <v>38</v>
      </c>
      <c r="V335" s="4" t="str">
        <v>FEMALE</v>
      </c>
      <c r="W335" s="4" t="str">
        <v>NORTH KATHYTOWN</v>
      </c>
      <c r="X335" s="4" t="str">
        <v>MONTANA</v>
      </c>
      <c r="Y335" s="4" t="str">
        <v>USA</v>
      </c>
      <c r="Z335" s="4" t="str">
        <v>BRONZE</v>
      </c>
    </row>
    <row r="336" spans="1:26" x14ac:dyDescent="0.25">
      <c r="A336" t="s">
        <v>1055</v>
      </c>
      <c r="B336" t="s">
        <v>1056</v>
      </c>
      <c r="C336">
        <v>34</v>
      </c>
      <c r="D336" t="s">
        <v>16</v>
      </c>
      <c r="E336" t="s">
        <v>1057</v>
      </c>
      <c r="F336" t="s">
        <v>103</v>
      </c>
      <c r="G336" t="s">
        <v>13</v>
      </c>
      <c r="H336" t="s">
        <v>28</v>
      </c>
      <c r="J336" s="4" t="str">
        <v>CUST1332</v>
      </c>
      <c r="K336" s="4" t="str">
        <v>Dr. Lindsay Hanna</v>
      </c>
      <c r="L336" s="4" t="str">
        <v>34</v>
      </c>
      <c r="M336" s="4" t="str">
        <v>Female</v>
      </c>
      <c r="N336" s="4" t="str">
        <v>New Paulstad</v>
      </c>
      <c r="O336" s="4" t="str">
        <v>Hawaii</v>
      </c>
      <c r="P336" s="4" t="str">
        <v>USA</v>
      </c>
      <c r="Q336" s="4" t="str">
        <v>Bronze</v>
      </c>
      <c r="S336" s="4" t="str">
        <v>CUST1332</v>
      </c>
      <c r="T336" s="4" t="str">
        <v>DR. LINDSAY HANNA</v>
      </c>
      <c r="U336" s="4" t="str">
        <v>34</v>
      </c>
      <c r="V336" s="4" t="str">
        <v>FEMALE</v>
      </c>
      <c r="W336" s="4" t="str">
        <v>NEW PAULSTAD</v>
      </c>
      <c r="X336" s="4" t="str">
        <v>HAWAII</v>
      </c>
      <c r="Y336" s="4" t="str">
        <v>USA</v>
      </c>
      <c r="Z336" s="4" t="str">
        <v>BRONZE</v>
      </c>
    </row>
    <row r="337" spans="1:26" x14ac:dyDescent="0.25">
      <c r="A337" t="s">
        <v>1058</v>
      </c>
      <c r="B337" t="s">
        <v>1059</v>
      </c>
      <c r="C337">
        <v>64</v>
      </c>
      <c r="D337" t="s">
        <v>16</v>
      </c>
      <c r="E337" t="s">
        <v>1060</v>
      </c>
      <c r="F337" t="s">
        <v>84</v>
      </c>
      <c r="G337" t="s">
        <v>13</v>
      </c>
      <c r="H337" t="s">
        <v>50</v>
      </c>
      <c r="J337" s="4" t="str">
        <v>CUST1333</v>
      </c>
      <c r="K337" s="4" t="str">
        <v>Teresa Johnson</v>
      </c>
      <c r="L337" s="4" t="str">
        <v>64</v>
      </c>
      <c r="M337" s="4" t="str">
        <v>Female</v>
      </c>
      <c r="N337" s="4" t="str">
        <v>Johnsonbury</v>
      </c>
      <c r="O337" s="4" t="str">
        <v>Georgia</v>
      </c>
      <c r="P337" s="4" t="str">
        <v>USA</v>
      </c>
      <c r="Q337" s="4" t="str">
        <v>Gold</v>
      </c>
      <c r="S337" s="4" t="str">
        <v>CUST1333</v>
      </c>
      <c r="T337" s="4" t="str">
        <v>TERESA JOHNSON</v>
      </c>
      <c r="U337" s="4" t="str">
        <v>64</v>
      </c>
      <c r="V337" s="4" t="str">
        <v>FEMALE</v>
      </c>
      <c r="W337" s="4" t="str">
        <v>JOHNSONBURY</v>
      </c>
      <c r="X337" s="4" t="str">
        <v>GEORGIA</v>
      </c>
      <c r="Y337" s="4" t="str">
        <v>USA</v>
      </c>
      <c r="Z337" s="4" t="str">
        <v>GOLD</v>
      </c>
    </row>
    <row r="338" spans="1:26" x14ac:dyDescent="0.25">
      <c r="A338" t="s">
        <v>1061</v>
      </c>
      <c r="B338" t="s">
        <v>1062</v>
      </c>
      <c r="C338">
        <v>50</v>
      </c>
      <c r="D338" t="s">
        <v>16</v>
      </c>
      <c r="E338" t="s">
        <v>1063</v>
      </c>
      <c r="F338" t="s">
        <v>171</v>
      </c>
      <c r="G338" t="s">
        <v>13</v>
      </c>
      <c r="H338" t="s">
        <v>33</v>
      </c>
      <c r="J338" s="4" t="str">
        <v>CUST1334</v>
      </c>
      <c r="K338" s="4" t="str">
        <v>Mr. Christopher Sims</v>
      </c>
      <c r="L338" s="4" t="str">
        <v>50</v>
      </c>
      <c r="M338" s="4" t="str">
        <v>Female</v>
      </c>
      <c r="N338" s="4" t="str">
        <v>Donaldsontown</v>
      </c>
      <c r="O338" s="4" t="str">
        <v>Connecticut</v>
      </c>
      <c r="P338" s="4" t="str">
        <v>USA</v>
      </c>
      <c r="Q338" s="4" t="str">
        <v>Silver</v>
      </c>
      <c r="S338" s="4" t="str">
        <v>CUST1334</v>
      </c>
      <c r="T338" s="4" t="str">
        <v>MR. CHRISTOPHER SIMS</v>
      </c>
      <c r="U338" s="4" t="str">
        <v>50</v>
      </c>
      <c r="V338" s="4" t="str">
        <v>FEMALE</v>
      </c>
      <c r="W338" s="4" t="str">
        <v>DONALDSONTOWN</v>
      </c>
      <c r="X338" s="4" t="str">
        <v>CONNECTICUT</v>
      </c>
      <c r="Y338" s="4" t="str">
        <v>USA</v>
      </c>
      <c r="Z338" s="4" t="str">
        <v>SILVER</v>
      </c>
    </row>
    <row r="339" spans="1:26" x14ac:dyDescent="0.25">
      <c r="A339" t="s">
        <v>1064</v>
      </c>
      <c r="B339" t="s">
        <v>1065</v>
      </c>
      <c r="C339">
        <v>37</v>
      </c>
      <c r="D339" t="s">
        <v>10</v>
      </c>
      <c r="E339" t="s">
        <v>1066</v>
      </c>
      <c r="F339" t="s">
        <v>12</v>
      </c>
      <c r="G339" t="s">
        <v>13</v>
      </c>
      <c r="H339" t="s">
        <v>19</v>
      </c>
      <c r="J339" s="4" t="str">
        <v>CUST1335</v>
      </c>
      <c r="K339" s="4" t="str">
        <v>Jennifer Woods</v>
      </c>
      <c r="L339" s="4" t="str">
        <v>37</v>
      </c>
      <c r="M339" s="4" t="str">
        <v>Male</v>
      </c>
      <c r="N339" s="4" t="str">
        <v>West Brendamouth</v>
      </c>
      <c r="O339" s="4" t="str">
        <v>North Carolina</v>
      </c>
      <c r="P339" s="4" t="str">
        <v>USA</v>
      </c>
      <c r="Q339" s="4" t="str">
        <v>Platinum</v>
      </c>
      <c r="S339" s="4" t="str">
        <v>CUST1335</v>
      </c>
      <c r="T339" s="4" t="str">
        <v>JENNIFER WOODS</v>
      </c>
      <c r="U339" s="4" t="str">
        <v>37</v>
      </c>
      <c r="V339" s="4" t="str">
        <v>MALE</v>
      </c>
      <c r="W339" s="4" t="str">
        <v>WEST BRENDAMOUTH</v>
      </c>
      <c r="X339" s="4" t="str">
        <v>NORTH CAROLINA</v>
      </c>
      <c r="Y339" s="4" t="str">
        <v>USA</v>
      </c>
      <c r="Z339" s="4" t="str">
        <v>PLATINUM</v>
      </c>
    </row>
    <row r="340" spans="1:26" x14ac:dyDescent="0.25">
      <c r="A340" t="s">
        <v>1067</v>
      </c>
      <c r="B340" t="s">
        <v>1068</v>
      </c>
      <c r="C340">
        <v>58</v>
      </c>
      <c r="D340" t="s">
        <v>16</v>
      </c>
      <c r="E340" t="s">
        <v>1069</v>
      </c>
      <c r="F340" t="s">
        <v>37</v>
      </c>
      <c r="G340" t="s">
        <v>13</v>
      </c>
      <c r="H340" t="s">
        <v>33</v>
      </c>
      <c r="J340" s="4" t="str">
        <v>CUST1336</v>
      </c>
      <c r="K340" s="4" t="str">
        <v>John Jones</v>
      </c>
      <c r="L340" s="4" t="str">
        <v>58</v>
      </c>
      <c r="M340" s="4" t="str">
        <v>Female</v>
      </c>
      <c r="N340" s="4" t="str">
        <v>North Michaelborough</v>
      </c>
      <c r="O340" s="4" t="str">
        <v>Oregon</v>
      </c>
      <c r="P340" s="4" t="str">
        <v>USA</v>
      </c>
      <c r="Q340" s="4" t="str">
        <v>Silver</v>
      </c>
      <c r="S340" s="4" t="str">
        <v>CUST1336</v>
      </c>
      <c r="T340" s="4" t="str">
        <v>JOHN JONES</v>
      </c>
      <c r="U340" s="4" t="str">
        <v>58</v>
      </c>
      <c r="V340" s="4" t="str">
        <v>FEMALE</v>
      </c>
      <c r="W340" s="4" t="str">
        <v>NORTH MICHAELBOROUGH</v>
      </c>
      <c r="X340" s="4" t="str">
        <v>OREGON</v>
      </c>
      <c r="Y340" s="4" t="str">
        <v>USA</v>
      </c>
      <c r="Z340" s="4" t="str">
        <v>SILVER</v>
      </c>
    </row>
    <row r="341" spans="1:26" x14ac:dyDescent="0.25">
      <c r="A341" t="s">
        <v>1070</v>
      </c>
      <c r="B341" t="s">
        <v>1071</v>
      </c>
      <c r="C341">
        <v>40</v>
      </c>
      <c r="D341" t="s">
        <v>16</v>
      </c>
      <c r="E341" t="s">
        <v>1072</v>
      </c>
      <c r="F341" t="s">
        <v>12</v>
      </c>
      <c r="G341" t="s">
        <v>13</v>
      </c>
      <c r="H341" t="s">
        <v>28</v>
      </c>
      <c r="J341" s="4" t="str">
        <v>CUST1337</v>
      </c>
      <c r="K341" s="4" t="str">
        <v>Carol Lewis</v>
      </c>
      <c r="L341" s="4" t="str">
        <v>40</v>
      </c>
      <c r="M341" s="4" t="str">
        <v>Female</v>
      </c>
      <c r="N341" s="4" t="str">
        <v>Ryanport</v>
      </c>
      <c r="O341" s="4" t="str">
        <v>North Carolina</v>
      </c>
      <c r="P341" s="4" t="str">
        <v>USA</v>
      </c>
      <c r="Q341" s="4" t="str">
        <v>Bronze</v>
      </c>
      <c r="S341" s="4" t="str">
        <v>CUST1337</v>
      </c>
      <c r="T341" s="4" t="str">
        <v>CAROL LEWIS</v>
      </c>
      <c r="U341" s="4" t="str">
        <v>40</v>
      </c>
      <c r="V341" s="4" t="str">
        <v>FEMALE</v>
      </c>
      <c r="W341" s="4" t="str">
        <v>RYANPORT</v>
      </c>
      <c r="X341" s="4" t="str">
        <v>NORTH CAROLINA</v>
      </c>
      <c r="Y341" s="4" t="str">
        <v>USA</v>
      </c>
      <c r="Z341" s="4" t="str">
        <v>BRONZE</v>
      </c>
    </row>
    <row r="342" spans="1:26" x14ac:dyDescent="0.25">
      <c r="A342" t="s">
        <v>1073</v>
      </c>
      <c r="B342" t="s">
        <v>1074</v>
      </c>
      <c r="C342">
        <v>46</v>
      </c>
      <c r="D342" t="s">
        <v>16</v>
      </c>
      <c r="E342" t="s">
        <v>1075</v>
      </c>
      <c r="F342" t="s">
        <v>171</v>
      </c>
      <c r="G342" t="s">
        <v>13</v>
      </c>
      <c r="H342" t="s">
        <v>33</v>
      </c>
      <c r="J342" s="4" t="str">
        <v>CUST1338</v>
      </c>
      <c r="K342" s="4" t="str">
        <v>Jasmine Snyder</v>
      </c>
      <c r="L342" s="4" t="str">
        <v>46</v>
      </c>
      <c r="M342" s="4" t="str">
        <v>Female</v>
      </c>
      <c r="N342" s="4" t="str">
        <v>Hudsonfort</v>
      </c>
      <c r="O342" s="4" t="str">
        <v>Connecticut</v>
      </c>
      <c r="P342" s="4" t="str">
        <v>USA</v>
      </c>
      <c r="Q342" s="4" t="str">
        <v>Silver</v>
      </c>
      <c r="S342" s="4" t="str">
        <v>CUST1338</v>
      </c>
      <c r="T342" s="4" t="str">
        <v>JASMINE SNYDER</v>
      </c>
      <c r="U342" s="4" t="str">
        <v>46</v>
      </c>
      <c r="V342" s="4" t="str">
        <v>FEMALE</v>
      </c>
      <c r="W342" s="4" t="str">
        <v>HUDSONFORT</v>
      </c>
      <c r="X342" s="4" t="str">
        <v>CONNECTICUT</v>
      </c>
      <c r="Y342" s="4" t="str">
        <v>USA</v>
      </c>
      <c r="Z342" s="4" t="str">
        <v>SILVER</v>
      </c>
    </row>
    <row r="343" spans="1:26" x14ac:dyDescent="0.25">
      <c r="A343" t="s">
        <v>1076</v>
      </c>
      <c r="B343" t="s">
        <v>1077</v>
      </c>
      <c r="C343">
        <v>52</v>
      </c>
      <c r="D343" t="s">
        <v>16</v>
      </c>
      <c r="E343" t="s">
        <v>1078</v>
      </c>
      <c r="F343" t="s">
        <v>137</v>
      </c>
      <c r="G343" t="s">
        <v>13</v>
      </c>
      <c r="H343" t="s">
        <v>19</v>
      </c>
      <c r="J343" s="4" t="str">
        <v>CUST1339</v>
      </c>
      <c r="K343" s="4" t="str">
        <v>Mrs. Susan Buckley</v>
      </c>
      <c r="L343" s="4" t="str">
        <v>52</v>
      </c>
      <c r="M343" s="4" t="str">
        <v>Female</v>
      </c>
      <c r="N343" s="4" t="str">
        <v>Stevensbury</v>
      </c>
      <c r="O343" s="4" t="str">
        <v>Arizona</v>
      </c>
      <c r="P343" s="4" t="str">
        <v>USA</v>
      </c>
      <c r="Q343" s="4" t="str">
        <v>Platinum</v>
      </c>
      <c r="S343" s="4" t="str">
        <v>CUST1339</v>
      </c>
      <c r="T343" s="4" t="str">
        <v>MRS. SUSAN BUCKLEY</v>
      </c>
      <c r="U343" s="4" t="str">
        <v>52</v>
      </c>
      <c r="V343" s="4" t="str">
        <v>FEMALE</v>
      </c>
      <c r="W343" s="4" t="str">
        <v>STEVENSBURY</v>
      </c>
      <c r="X343" s="4" t="str">
        <v>ARIZONA</v>
      </c>
      <c r="Y343" s="4" t="str">
        <v>USA</v>
      </c>
      <c r="Z343" s="4" t="str">
        <v>PLATINUM</v>
      </c>
    </row>
    <row r="344" spans="1:26" x14ac:dyDescent="0.25">
      <c r="A344" t="s">
        <v>1079</v>
      </c>
      <c r="B344" t="s">
        <v>1080</v>
      </c>
      <c r="C344">
        <v>27</v>
      </c>
      <c r="D344" t="s">
        <v>10</v>
      </c>
      <c r="E344" t="s">
        <v>1081</v>
      </c>
      <c r="F344" t="s">
        <v>278</v>
      </c>
      <c r="G344" t="s">
        <v>13</v>
      </c>
      <c r="H344" t="s">
        <v>28</v>
      </c>
      <c r="J344" s="4" t="str">
        <v>CUST1340</v>
      </c>
      <c r="K344" s="4" t="str">
        <v>Eric Davis</v>
      </c>
      <c r="L344" s="4" t="str">
        <v>27</v>
      </c>
      <c r="M344" s="4" t="str">
        <v>Male</v>
      </c>
      <c r="N344" s="4" t="str">
        <v>Johntown</v>
      </c>
      <c r="O344" s="4" t="str">
        <v>Colorado</v>
      </c>
      <c r="P344" s="4" t="str">
        <v>USA</v>
      </c>
      <c r="Q344" s="4" t="str">
        <v>Bronze</v>
      </c>
      <c r="S344" s="4" t="str">
        <v>CUST1340</v>
      </c>
      <c r="T344" s="4" t="str">
        <v>ERIC DAVIS</v>
      </c>
      <c r="U344" s="4" t="str">
        <v>27</v>
      </c>
      <c r="V344" s="4" t="str">
        <v>MALE</v>
      </c>
      <c r="W344" s="4" t="str">
        <v>JOHNTOWN</v>
      </c>
      <c r="X344" s="4" t="str">
        <v>COLORADO</v>
      </c>
      <c r="Y344" s="4" t="str">
        <v>USA</v>
      </c>
      <c r="Z344" s="4" t="str">
        <v>BRONZE</v>
      </c>
    </row>
    <row r="345" spans="1:26" x14ac:dyDescent="0.25">
      <c r="A345" t="s">
        <v>1082</v>
      </c>
      <c r="B345" t="s">
        <v>1083</v>
      </c>
      <c r="C345">
        <v>56</v>
      </c>
      <c r="D345" t="s">
        <v>16</v>
      </c>
      <c r="E345" t="s">
        <v>1084</v>
      </c>
      <c r="F345" t="s">
        <v>198</v>
      </c>
      <c r="G345" t="s">
        <v>13</v>
      </c>
      <c r="H345" t="s">
        <v>28</v>
      </c>
      <c r="J345" s="4" t="str">
        <v>CUST1341</v>
      </c>
      <c r="K345" s="4" t="str">
        <v>Angela Williams</v>
      </c>
      <c r="L345" s="4" t="str">
        <v>56</v>
      </c>
      <c r="M345" s="4" t="str">
        <v>Female</v>
      </c>
      <c r="N345" s="4" t="str">
        <v>Lake Alyssaburgh</v>
      </c>
      <c r="O345" s="4" t="str">
        <v>Illinois</v>
      </c>
      <c r="P345" s="4" t="str">
        <v>USA</v>
      </c>
      <c r="Q345" s="4" t="str">
        <v>Bronze</v>
      </c>
      <c r="S345" s="4" t="str">
        <v>CUST1341</v>
      </c>
      <c r="T345" s="4" t="str">
        <v>ANGELA WILLIAMS</v>
      </c>
      <c r="U345" s="4" t="str">
        <v>56</v>
      </c>
      <c r="V345" s="4" t="str">
        <v>FEMALE</v>
      </c>
      <c r="W345" s="4" t="str">
        <v>LAKE ALYSSABURGH</v>
      </c>
      <c r="X345" s="4" t="str">
        <v>ILLINOIS</v>
      </c>
      <c r="Y345" s="4" t="str">
        <v>USA</v>
      </c>
      <c r="Z345" s="4" t="str">
        <v>BRONZE</v>
      </c>
    </row>
    <row r="346" spans="1:26" x14ac:dyDescent="0.25">
      <c r="A346" t="s">
        <v>1085</v>
      </c>
      <c r="B346" t="s">
        <v>1086</v>
      </c>
      <c r="C346">
        <v>30</v>
      </c>
      <c r="D346" t="s">
        <v>16</v>
      </c>
      <c r="E346" t="s">
        <v>1087</v>
      </c>
      <c r="F346" t="s">
        <v>171</v>
      </c>
      <c r="G346" t="s">
        <v>13</v>
      </c>
      <c r="H346" t="s">
        <v>28</v>
      </c>
      <c r="J346" s="4" t="str">
        <v>CUST1342</v>
      </c>
      <c r="K346" s="4" t="str">
        <v>Michelle Cunningham</v>
      </c>
      <c r="L346" s="4" t="str">
        <v>30</v>
      </c>
      <c r="M346" s="4" t="str">
        <v>Female</v>
      </c>
      <c r="N346" s="4" t="str">
        <v>Amandaborough</v>
      </c>
      <c r="O346" s="4" t="str">
        <v>Connecticut</v>
      </c>
      <c r="P346" s="4" t="str">
        <v>USA</v>
      </c>
      <c r="Q346" s="4" t="str">
        <v>Bronze</v>
      </c>
      <c r="S346" s="4" t="str">
        <v>CUST1342</v>
      </c>
      <c r="T346" s="4" t="str">
        <v>MICHELLE CUNNINGHAM</v>
      </c>
      <c r="U346" s="4" t="str">
        <v>30</v>
      </c>
      <c r="V346" s="4" t="str">
        <v>FEMALE</v>
      </c>
      <c r="W346" s="4" t="str">
        <v>AMANDABOROUGH</v>
      </c>
      <c r="X346" s="4" t="str">
        <v>CONNECTICUT</v>
      </c>
      <c r="Y346" s="4" t="str">
        <v>USA</v>
      </c>
      <c r="Z346" s="4" t="str">
        <v>BRONZE</v>
      </c>
    </row>
    <row r="347" spans="1:26" x14ac:dyDescent="0.25">
      <c r="A347" t="s">
        <v>1088</v>
      </c>
      <c r="B347" t="s">
        <v>1089</v>
      </c>
      <c r="C347">
        <v>38</v>
      </c>
      <c r="D347" t="s">
        <v>10</v>
      </c>
      <c r="E347" t="s">
        <v>1090</v>
      </c>
      <c r="F347" t="s">
        <v>291</v>
      </c>
      <c r="G347" t="s">
        <v>13</v>
      </c>
      <c r="H347" t="s">
        <v>28</v>
      </c>
      <c r="J347" s="4" t="str">
        <v>CUST1343</v>
      </c>
      <c r="K347" s="4" t="str">
        <v>Ryan Moore</v>
      </c>
      <c r="L347" s="4" t="str">
        <v>38</v>
      </c>
      <c r="M347" s="4" t="str">
        <v>Male</v>
      </c>
      <c r="N347" s="4" t="str">
        <v>Cartershire</v>
      </c>
      <c r="O347" s="4" t="str">
        <v>Virginia</v>
      </c>
      <c r="P347" s="4" t="str">
        <v>USA</v>
      </c>
      <c r="Q347" s="4" t="str">
        <v>Bronze</v>
      </c>
      <c r="S347" s="4" t="str">
        <v>CUST1343</v>
      </c>
      <c r="T347" s="4" t="str">
        <v>RYAN MOORE</v>
      </c>
      <c r="U347" s="4" t="str">
        <v>38</v>
      </c>
      <c r="V347" s="4" t="str">
        <v>MALE</v>
      </c>
      <c r="W347" s="4" t="str">
        <v>CARTERSHIRE</v>
      </c>
      <c r="X347" s="4" t="str">
        <v>VIRGINIA</v>
      </c>
      <c r="Y347" s="4" t="str">
        <v>USA</v>
      </c>
      <c r="Z347" s="4" t="str">
        <v>BRONZE</v>
      </c>
    </row>
    <row r="348" spans="1:26" x14ac:dyDescent="0.25">
      <c r="A348" t="s">
        <v>1091</v>
      </c>
      <c r="B348" t="s">
        <v>1092</v>
      </c>
      <c r="C348">
        <v>39</v>
      </c>
      <c r="D348" t="s">
        <v>10</v>
      </c>
      <c r="E348" t="s">
        <v>1093</v>
      </c>
      <c r="F348" t="s">
        <v>237</v>
      </c>
      <c r="G348" t="s">
        <v>13</v>
      </c>
      <c r="H348" t="s">
        <v>50</v>
      </c>
      <c r="J348" s="4" t="str">
        <v>CUST1344</v>
      </c>
      <c r="K348" s="4" t="str">
        <v>Evelyn Brown</v>
      </c>
      <c r="L348" s="4" t="str">
        <v>39</v>
      </c>
      <c r="M348" s="4" t="str">
        <v>Male</v>
      </c>
      <c r="N348" s="4" t="str">
        <v>West Victoriaborough</v>
      </c>
      <c r="O348" s="4" t="str">
        <v>New Mexico</v>
      </c>
      <c r="P348" s="4" t="str">
        <v>USA</v>
      </c>
      <c r="Q348" s="4" t="str">
        <v>Gold</v>
      </c>
      <c r="S348" s="4" t="str">
        <v>CUST1344</v>
      </c>
      <c r="T348" s="4" t="str">
        <v>EVELYN BROWN</v>
      </c>
      <c r="U348" s="4" t="str">
        <v>39</v>
      </c>
      <c r="V348" s="4" t="str">
        <v>MALE</v>
      </c>
      <c r="W348" s="4" t="str">
        <v>WEST VICTORIABOROUGH</v>
      </c>
      <c r="X348" s="4" t="str">
        <v>NEW MEXICO</v>
      </c>
      <c r="Y348" s="4" t="str">
        <v>USA</v>
      </c>
      <c r="Z348" s="4" t="str">
        <v>GOLD</v>
      </c>
    </row>
    <row r="349" spans="1:26" x14ac:dyDescent="0.25">
      <c r="A349" t="s">
        <v>1094</v>
      </c>
      <c r="B349" t="s">
        <v>1095</v>
      </c>
      <c r="C349">
        <v>33</v>
      </c>
      <c r="D349" t="s">
        <v>10</v>
      </c>
      <c r="E349" t="s">
        <v>1096</v>
      </c>
      <c r="F349" t="s">
        <v>99</v>
      </c>
      <c r="G349" t="s">
        <v>13</v>
      </c>
      <c r="H349" t="s">
        <v>28</v>
      </c>
      <c r="J349" s="4" t="str">
        <v>CUST1345</v>
      </c>
      <c r="K349" s="4" t="str">
        <v>Daniel Nelson</v>
      </c>
      <c r="L349" s="4" t="str">
        <v>33</v>
      </c>
      <c r="M349" s="4" t="str">
        <v>Male</v>
      </c>
      <c r="N349" s="4" t="str">
        <v>North Jonathan</v>
      </c>
      <c r="O349" s="4" t="str">
        <v>Oklahoma</v>
      </c>
      <c r="P349" s="4" t="str">
        <v>USA</v>
      </c>
      <c r="Q349" s="4" t="str">
        <v>Bronze</v>
      </c>
      <c r="S349" s="4" t="str">
        <v>CUST1345</v>
      </c>
      <c r="T349" s="4" t="str">
        <v>DANIEL NELSON</v>
      </c>
      <c r="U349" s="4" t="str">
        <v>33</v>
      </c>
      <c r="V349" s="4" t="str">
        <v>MALE</v>
      </c>
      <c r="W349" s="4" t="str">
        <v>NORTH JONATHAN</v>
      </c>
      <c r="X349" s="4" t="str">
        <v>OKLAHOMA</v>
      </c>
      <c r="Y349" s="4" t="str">
        <v>USA</v>
      </c>
      <c r="Z349" s="4" t="str">
        <v>BRONZE</v>
      </c>
    </row>
    <row r="350" spans="1:26" x14ac:dyDescent="0.25">
      <c r="A350" t="s">
        <v>1097</v>
      </c>
      <c r="B350" t="s">
        <v>1098</v>
      </c>
      <c r="C350">
        <v>58</v>
      </c>
      <c r="D350" t="s">
        <v>16</v>
      </c>
      <c r="E350" t="s">
        <v>1099</v>
      </c>
      <c r="F350" t="s">
        <v>241</v>
      </c>
      <c r="G350" t="s">
        <v>13</v>
      </c>
      <c r="H350" t="s">
        <v>19</v>
      </c>
      <c r="J350" s="4" t="str">
        <v>CUST1346</v>
      </c>
      <c r="K350" s="4" t="str">
        <v>John Jordan</v>
      </c>
      <c r="L350" s="4" t="str">
        <v>58</v>
      </c>
      <c r="M350" s="4" t="str">
        <v>Female</v>
      </c>
      <c r="N350" s="4" t="str">
        <v>Port Crystalberg</v>
      </c>
      <c r="O350" s="4" t="str">
        <v>Tennessee</v>
      </c>
      <c r="P350" s="4" t="str">
        <v>USA</v>
      </c>
      <c r="Q350" s="4" t="str">
        <v>Platinum</v>
      </c>
      <c r="S350" s="4" t="str">
        <v>CUST1346</v>
      </c>
      <c r="T350" s="4" t="str">
        <v>JOHN JORDAN</v>
      </c>
      <c r="U350" s="4" t="str">
        <v>58</v>
      </c>
      <c r="V350" s="4" t="str">
        <v>FEMALE</v>
      </c>
      <c r="W350" s="4" t="str">
        <v>PORT CRYSTALBERG</v>
      </c>
      <c r="X350" s="4" t="str">
        <v>TENNESSEE</v>
      </c>
      <c r="Y350" s="4" t="str">
        <v>USA</v>
      </c>
      <c r="Z350" s="4" t="str">
        <v>PLATINUM</v>
      </c>
    </row>
    <row r="351" spans="1:26" x14ac:dyDescent="0.25">
      <c r="A351" t="s">
        <v>1100</v>
      </c>
      <c r="B351" t="s">
        <v>1101</v>
      </c>
      <c r="C351">
        <v>39</v>
      </c>
      <c r="D351" t="s">
        <v>16</v>
      </c>
      <c r="E351" t="s">
        <v>1102</v>
      </c>
      <c r="F351" t="s">
        <v>171</v>
      </c>
      <c r="G351" t="s">
        <v>13</v>
      </c>
      <c r="H351" t="s">
        <v>50</v>
      </c>
      <c r="J351" s="4" t="str">
        <v>CUST1347</v>
      </c>
      <c r="K351" s="4" t="str">
        <v>Justin Mason DDS</v>
      </c>
      <c r="L351" s="4" t="str">
        <v>39</v>
      </c>
      <c r="M351" s="4" t="str">
        <v>Female</v>
      </c>
      <c r="N351" s="4" t="str">
        <v>Peggystad</v>
      </c>
      <c r="O351" s="4" t="str">
        <v>Connecticut</v>
      </c>
      <c r="P351" s="4" t="str">
        <v>USA</v>
      </c>
      <c r="Q351" s="4" t="str">
        <v>Gold</v>
      </c>
      <c r="S351" s="4" t="str">
        <v>CUST1347</v>
      </c>
      <c r="T351" s="4" t="str">
        <v>JUSTIN MASON DDS</v>
      </c>
      <c r="U351" s="4" t="str">
        <v>39</v>
      </c>
      <c r="V351" s="4" t="str">
        <v>FEMALE</v>
      </c>
      <c r="W351" s="4" t="str">
        <v>PEGGYSTAD</v>
      </c>
      <c r="X351" s="4" t="str">
        <v>CONNECTICUT</v>
      </c>
      <c r="Y351" s="4" t="str">
        <v>USA</v>
      </c>
      <c r="Z351" s="4" t="str">
        <v>GOLD</v>
      </c>
    </row>
    <row r="352" spans="1:26" x14ac:dyDescent="0.25">
      <c r="A352" t="s">
        <v>1103</v>
      </c>
      <c r="B352" t="s">
        <v>1104</v>
      </c>
      <c r="C352">
        <v>55</v>
      </c>
      <c r="D352" t="s">
        <v>10</v>
      </c>
      <c r="E352" t="s">
        <v>1105</v>
      </c>
      <c r="F352" t="s">
        <v>54</v>
      </c>
      <c r="G352" t="s">
        <v>13</v>
      </c>
      <c r="H352" t="s">
        <v>33</v>
      </c>
      <c r="J352" s="4" t="str">
        <v>CUST1348</v>
      </c>
      <c r="K352" s="4" t="str">
        <v>Sherry Cabrera</v>
      </c>
      <c r="L352" s="4" t="str">
        <v>55</v>
      </c>
      <c r="M352" s="4" t="str">
        <v>Male</v>
      </c>
      <c r="N352" s="4" t="str">
        <v>Shannonview</v>
      </c>
      <c r="O352" s="4" t="str">
        <v>Pennsylvania</v>
      </c>
      <c r="P352" s="4" t="str">
        <v>USA</v>
      </c>
      <c r="Q352" s="4" t="str">
        <v>Silver</v>
      </c>
      <c r="S352" s="4" t="str">
        <v>CUST1348</v>
      </c>
      <c r="T352" s="4" t="str">
        <v>SHERRY CABRERA</v>
      </c>
      <c r="U352" s="4" t="str">
        <v>55</v>
      </c>
      <c r="V352" s="4" t="str">
        <v>MALE</v>
      </c>
      <c r="W352" s="4" t="str">
        <v>SHANNONVIEW</v>
      </c>
      <c r="X352" s="4" t="str">
        <v>PENNSYLVANIA</v>
      </c>
      <c r="Y352" s="4" t="str">
        <v>USA</v>
      </c>
      <c r="Z352" s="4" t="str">
        <v>SILVER</v>
      </c>
    </row>
    <row r="353" spans="1:26" x14ac:dyDescent="0.25">
      <c r="A353" t="s">
        <v>1106</v>
      </c>
      <c r="B353" t="s">
        <v>1107</v>
      </c>
      <c r="C353">
        <v>31</v>
      </c>
      <c r="D353" t="s">
        <v>10</v>
      </c>
      <c r="E353" t="s">
        <v>1108</v>
      </c>
      <c r="F353" t="s">
        <v>167</v>
      </c>
      <c r="G353" t="s">
        <v>13</v>
      </c>
      <c r="H353" t="s">
        <v>28</v>
      </c>
      <c r="J353" s="4" t="str">
        <v>CUST1349</v>
      </c>
      <c r="K353" s="4" t="str">
        <v>Heather Valenzuela</v>
      </c>
      <c r="L353" s="4" t="str">
        <v>31</v>
      </c>
      <c r="M353" s="4" t="str">
        <v>Male</v>
      </c>
      <c r="N353" s="4" t="str">
        <v>New Angiefurt</v>
      </c>
      <c r="O353" s="4" t="str">
        <v>Alaska</v>
      </c>
      <c r="P353" s="4" t="str">
        <v>USA</v>
      </c>
      <c r="Q353" s="4" t="str">
        <v>Bronze</v>
      </c>
      <c r="S353" s="4" t="str">
        <v>CUST1349</v>
      </c>
      <c r="T353" s="4" t="str">
        <v>HEATHER VALENZUELA</v>
      </c>
      <c r="U353" s="4" t="str">
        <v>31</v>
      </c>
      <c r="V353" s="4" t="str">
        <v>MALE</v>
      </c>
      <c r="W353" s="4" t="str">
        <v>NEW ANGIEFURT</v>
      </c>
      <c r="X353" s="4" t="str">
        <v>ALASKA</v>
      </c>
      <c r="Y353" s="4" t="str">
        <v>USA</v>
      </c>
      <c r="Z353" s="4" t="str">
        <v>BRONZE</v>
      </c>
    </row>
    <row r="354" spans="1:26" x14ac:dyDescent="0.25">
      <c r="A354" t="s">
        <v>1109</v>
      </c>
      <c r="B354" t="s">
        <v>1110</v>
      </c>
      <c r="C354">
        <v>26</v>
      </c>
      <c r="D354" t="s">
        <v>10</v>
      </c>
      <c r="E354" t="s">
        <v>1111</v>
      </c>
      <c r="F354" t="s">
        <v>271</v>
      </c>
      <c r="G354" t="s">
        <v>13</v>
      </c>
      <c r="H354" t="s">
        <v>33</v>
      </c>
      <c r="J354" s="4" t="str">
        <v>CUST1350</v>
      </c>
      <c r="K354" s="4" t="str">
        <v>Charles Miller</v>
      </c>
      <c r="L354" s="4" t="str">
        <v>26</v>
      </c>
      <c r="M354" s="4" t="str">
        <v>Male</v>
      </c>
      <c r="N354" s="4" t="str">
        <v>Lake Allisonborough</v>
      </c>
      <c r="O354" s="4" t="str">
        <v>Iowa</v>
      </c>
      <c r="P354" s="4" t="str">
        <v>USA</v>
      </c>
      <c r="Q354" s="4" t="str">
        <v>Silver</v>
      </c>
      <c r="S354" s="4" t="str">
        <v>CUST1350</v>
      </c>
      <c r="T354" s="4" t="str">
        <v>CHARLES MILLER</v>
      </c>
      <c r="U354" s="4" t="str">
        <v>26</v>
      </c>
      <c r="V354" s="4" t="str">
        <v>MALE</v>
      </c>
      <c r="W354" s="4" t="str">
        <v>LAKE ALLISONBOROUGH</v>
      </c>
      <c r="X354" s="4" t="str">
        <v>IOWA</v>
      </c>
      <c r="Y354" s="4" t="str">
        <v>USA</v>
      </c>
      <c r="Z354" s="4" t="str">
        <v>SILVER</v>
      </c>
    </row>
    <row r="355" spans="1:26" x14ac:dyDescent="0.25">
      <c r="A355" t="s">
        <v>1112</v>
      </c>
      <c r="B355" t="s">
        <v>1113</v>
      </c>
      <c r="C355">
        <v>25</v>
      </c>
      <c r="D355" t="s">
        <v>16</v>
      </c>
      <c r="E355" t="s">
        <v>1114</v>
      </c>
      <c r="F355" t="s">
        <v>73</v>
      </c>
      <c r="G355" t="s">
        <v>13</v>
      </c>
      <c r="H355" t="s">
        <v>28</v>
      </c>
      <c r="J355" s="4" t="str">
        <v>CUST1351</v>
      </c>
      <c r="K355" s="4" t="str">
        <v>Jeffrey Mccarthy</v>
      </c>
      <c r="L355" s="4" t="str">
        <v>25</v>
      </c>
      <c r="M355" s="4" t="str">
        <v>Female</v>
      </c>
      <c r="N355" s="4" t="str">
        <v>North Samuel</v>
      </c>
      <c r="O355" s="4" t="str">
        <v>Nebraska</v>
      </c>
      <c r="P355" s="4" t="str">
        <v>USA</v>
      </c>
      <c r="Q355" s="4" t="str">
        <v>Bronze</v>
      </c>
      <c r="S355" s="4" t="str">
        <v>CUST1351</v>
      </c>
      <c r="T355" s="4" t="str">
        <v>JEFFREY MCCARTHY</v>
      </c>
      <c r="U355" s="4" t="str">
        <v>25</v>
      </c>
      <c r="V355" s="4" t="str">
        <v>FEMALE</v>
      </c>
      <c r="W355" s="4" t="str">
        <v>NORTH SAMUEL</v>
      </c>
      <c r="X355" s="4" t="str">
        <v>NEBRASKA</v>
      </c>
      <c r="Y355" s="4" t="str">
        <v>USA</v>
      </c>
      <c r="Z355" s="4" t="str">
        <v>BRONZE</v>
      </c>
    </row>
    <row r="356" spans="1:26" x14ac:dyDescent="0.25">
      <c r="A356" t="s">
        <v>1115</v>
      </c>
      <c r="B356" t="s">
        <v>1116</v>
      </c>
      <c r="C356">
        <v>52</v>
      </c>
      <c r="D356" t="s">
        <v>16</v>
      </c>
      <c r="E356" t="s">
        <v>1117</v>
      </c>
      <c r="F356" t="s">
        <v>328</v>
      </c>
      <c r="G356" t="s">
        <v>13</v>
      </c>
      <c r="H356" t="s">
        <v>33</v>
      </c>
      <c r="J356" s="4" t="str">
        <v>CUST1352</v>
      </c>
      <c r="K356" s="4" t="str">
        <v>Michael Greene</v>
      </c>
      <c r="L356" s="4" t="str">
        <v>52</v>
      </c>
      <c r="M356" s="4" t="str">
        <v>Female</v>
      </c>
      <c r="N356" s="4" t="str">
        <v>Port Saramouth</v>
      </c>
      <c r="O356" s="4" t="str">
        <v>Wisconsin</v>
      </c>
      <c r="P356" s="4" t="str">
        <v>USA</v>
      </c>
      <c r="Q356" s="4" t="str">
        <v>Silver</v>
      </c>
      <c r="S356" s="4" t="str">
        <v>CUST1352</v>
      </c>
      <c r="T356" s="4" t="str">
        <v>MICHAEL GREENE</v>
      </c>
      <c r="U356" s="4" t="str">
        <v>52</v>
      </c>
      <c r="V356" s="4" t="str">
        <v>FEMALE</v>
      </c>
      <c r="W356" s="4" t="str">
        <v>PORT SARAMOUTH</v>
      </c>
      <c r="X356" s="4" t="str">
        <v>WISCONSIN</v>
      </c>
      <c r="Y356" s="4" t="str">
        <v>USA</v>
      </c>
      <c r="Z356" s="4" t="str">
        <v>SILVER</v>
      </c>
    </row>
    <row r="357" spans="1:26" x14ac:dyDescent="0.25">
      <c r="A357" t="s">
        <v>1118</v>
      </c>
      <c r="B357" t="s">
        <v>1119</v>
      </c>
      <c r="C357">
        <v>56</v>
      </c>
      <c r="D357" t="s">
        <v>16</v>
      </c>
      <c r="E357" t="s">
        <v>1120</v>
      </c>
      <c r="F357" t="s">
        <v>37</v>
      </c>
      <c r="G357" t="s">
        <v>13</v>
      </c>
      <c r="H357" t="s">
        <v>19</v>
      </c>
      <c r="J357" s="4" t="str">
        <v>CUST1353</v>
      </c>
      <c r="K357" s="4" t="str">
        <v>laura green</v>
      </c>
      <c r="L357" s="4" t="str">
        <v>56</v>
      </c>
      <c r="M357" s="4" t="str">
        <v>Female</v>
      </c>
      <c r="N357" s="4" t="str">
        <v>Westbury</v>
      </c>
      <c r="O357" s="4" t="str">
        <v>Oregon</v>
      </c>
      <c r="P357" s="4" t="str">
        <v>USA</v>
      </c>
      <c r="Q357" s="4" t="str">
        <v>Platinum</v>
      </c>
      <c r="S357" s="4" t="str">
        <v>CUST1353</v>
      </c>
      <c r="T357" s="4" t="str">
        <v>LAURA GREEN</v>
      </c>
      <c r="U357" s="4" t="str">
        <v>56</v>
      </c>
      <c r="V357" s="4" t="str">
        <v>FEMALE</v>
      </c>
      <c r="W357" s="4" t="str">
        <v>WESTBURY</v>
      </c>
      <c r="X357" s="4" t="str">
        <v>OREGON</v>
      </c>
      <c r="Y357" s="4" t="str">
        <v>USA</v>
      </c>
      <c r="Z357" s="4" t="str">
        <v>PLATINUM</v>
      </c>
    </row>
    <row r="358" spans="1:26" x14ac:dyDescent="0.25">
      <c r="A358" t="s">
        <v>1121</v>
      </c>
      <c r="B358" t="s">
        <v>1122</v>
      </c>
      <c r="C358">
        <v>38</v>
      </c>
      <c r="D358" t="s">
        <v>10</v>
      </c>
      <c r="E358" t="s">
        <v>1123</v>
      </c>
      <c r="F358" t="s">
        <v>171</v>
      </c>
      <c r="G358" t="s">
        <v>13</v>
      </c>
      <c r="H358" t="s">
        <v>33</v>
      </c>
      <c r="J358" s="4" t="str">
        <v>CUST1354</v>
      </c>
      <c r="K358" s="4" t="str">
        <v>Ryan Torres</v>
      </c>
      <c r="L358" s="4" t="str">
        <v>38</v>
      </c>
      <c r="M358" s="4" t="str">
        <v>Male</v>
      </c>
      <c r="N358" s="4" t="str">
        <v>Guerreroport</v>
      </c>
      <c r="O358" s="4" t="str">
        <v>Connecticut</v>
      </c>
      <c r="P358" s="4" t="str">
        <v>USA</v>
      </c>
      <c r="Q358" s="4" t="str">
        <v>Silver</v>
      </c>
      <c r="S358" s="4" t="str">
        <v>CUST1354</v>
      </c>
      <c r="T358" s="4" t="str">
        <v>RYAN TORRES</v>
      </c>
      <c r="U358" s="4" t="str">
        <v>38</v>
      </c>
      <c r="V358" s="4" t="str">
        <v>MALE</v>
      </c>
      <c r="W358" s="4" t="str">
        <v>GUERREROPORT</v>
      </c>
      <c r="X358" s="4" t="str">
        <v>CONNECTICUT</v>
      </c>
      <c r="Y358" s="4" t="str">
        <v>USA</v>
      </c>
      <c r="Z358" s="4" t="str">
        <v>SILVER</v>
      </c>
    </row>
    <row r="359" spans="1:26" x14ac:dyDescent="0.25">
      <c r="A359" t="s">
        <v>1124</v>
      </c>
      <c r="B359" t="s">
        <v>1125</v>
      </c>
      <c r="C359">
        <v>20</v>
      </c>
      <c r="D359" t="s">
        <v>10</v>
      </c>
      <c r="E359" t="s">
        <v>1126</v>
      </c>
      <c r="F359" t="s">
        <v>77</v>
      </c>
      <c r="G359" t="s">
        <v>13</v>
      </c>
      <c r="H359" t="s">
        <v>50</v>
      </c>
      <c r="J359" s="4" t="str">
        <v>CUST1355</v>
      </c>
      <c r="K359" s="4" t="str">
        <v>Carlos Flores</v>
      </c>
      <c r="L359" s="4" t="str">
        <v>20</v>
      </c>
      <c r="M359" s="4" t="str">
        <v>Male</v>
      </c>
      <c r="N359" s="4" t="str">
        <v>North Johnfurt</v>
      </c>
      <c r="O359" s="4" t="str">
        <v>Washington</v>
      </c>
      <c r="P359" s="4" t="str">
        <v>USA</v>
      </c>
      <c r="Q359" s="4" t="str">
        <v>Gold</v>
      </c>
      <c r="S359" s="4" t="str">
        <v>CUST1355</v>
      </c>
      <c r="T359" s="4" t="str">
        <v>CARLOS FLORES</v>
      </c>
      <c r="U359" s="4" t="str">
        <v>20</v>
      </c>
      <c r="V359" s="4" t="str">
        <v>MALE</v>
      </c>
      <c r="W359" s="4" t="str">
        <v>NORTH JOHNFURT</v>
      </c>
      <c r="X359" s="4" t="str">
        <v>WASHINGTON</v>
      </c>
      <c r="Y359" s="4" t="str">
        <v>USA</v>
      </c>
      <c r="Z359" s="4" t="str">
        <v>GOLD</v>
      </c>
    </row>
    <row r="360" spans="1:26" x14ac:dyDescent="0.25">
      <c r="A360" t="s">
        <v>1127</v>
      </c>
      <c r="B360" t="s">
        <v>1128</v>
      </c>
      <c r="C360">
        <v>54</v>
      </c>
      <c r="D360" t="s">
        <v>10</v>
      </c>
      <c r="E360" t="s">
        <v>1129</v>
      </c>
      <c r="F360" t="s">
        <v>291</v>
      </c>
      <c r="G360" t="s">
        <v>13</v>
      </c>
      <c r="H360" t="s">
        <v>28</v>
      </c>
      <c r="J360" s="4" t="str">
        <v>CUST1356</v>
      </c>
      <c r="K360" s="4" t="str">
        <v>Steve Hunt</v>
      </c>
      <c r="L360" s="4" t="str">
        <v>54</v>
      </c>
      <c r="M360" s="4" t="str">
        <v>Male</v>
      </c>
      <c r="N360" s="4" t="str">
        <v>North Richard</v>
      </c>
      <c r="O360" s="4" t="str">
        <v>Virginia</v>
      </c>
      <c r="P360" s="4" t="str">
        <v>USA</v>
      </c>
      <c r="Q360" s="4" t="str">
        <v>Bronze</v>
      </c>
      <c r="S360" s="4" t="str">
        <v>CUST1356</v>
      </c>
      <c r="T360" s="4" t="str">
        <v>STEVE HUNT</v>
      </c>
      <c r="U360" s="4" t="str">
        <v>54</v>
      </c>
      <c r="V360" s="4" t="str">
        <v>MALE</v>
      </c>
      <c r="W360" s="4" t="str">
        <v>NORTH RICHARD</v>
      </c>
      <c r="X360" s="4" t="str">
        <v>VIRGINIA</v>
      </c>
      <c r="Y360" s="4" t="str">
        <v>USA</v>
      </c>
      <c r="Z360" s="4" t="str">
        <v>BRONZE</v>
      </c>
    </row>
    <row r="361" spans="1:26" x14ac:dyDescent="0.25">
      <c r="A361" t="s">
        <v>1130</v>
      </c>
      <c r="B361" t="s">
        <v>1131</v>
      </c>
      <c r="C361">
        <v>41</v>
      </c>
      <c r="D361" t="s">
        <v>10</v>
      </c>
      <c r="E361" t="s">
        <v>1132</v>
      </c>
      <c r="F361" t="s">
        <v>241</v>
      </c>
      <c r="G361" t="s">
        <v>13</v>
      </c>
      <c r="H361" t="s">
        <v>50</v>
      </c>
      <c r="J361" s="4" t="str">
        <v>CUST1357</v>
      </c>
      <c r="K361" s="4" t="str">
        <v>Manuel Castillo</v>
      </c>
      <c r="L361" s="4" t="str">
        <v>41</v>
      </c>
      <c r="M361" s="4" t="str">
        <v>Male</v>
      </c>
      <c r="N361" s="4" t="str">
        <v>Nealview</v>
      </c>
      <c r="O361" s="4" t="str">
        <v>Tennessee</v>
      </c>
      <c r="P361" s="4" t="str">
        <v>USA</v>
      </c>
      <c r="Q361" s="4" t="str">
        <v>Gold</v>
      </c>
      <c r="S361" s="4" t="str">
        <v>CUST1357</v>
      </c>
      <c r="T361" s="4" t="str">
        <v>MANUEL CASTILLO</v>
      </c>
      <c r="U361" s="4" t="str">
        <v>41</v>
      </c>
      <c r="V361" s="4" t="str">
        <v>MALE</v>
      </c>
      <c r="W361" s="4" t="str">
        <v>NEALVIEW</v>
      </c>
      <c r="X361" s="4" t="str">
        <v>TENNESSEE</v>
      </c>
      <c r="Y361" s="4" t="str">
        <v>USA</v>
      </c>
      <c r="Z361" s="4" t="str">
        <v>GOLD</v>
      </c>
    </row>
    <row r="362" spans="1:26" x14ac:dyDescent="0.25">
      <c r="A362" t="s">
        <v>1133</v>
      </c>
      <c r="B362" t="s">
        <v>1134</v>
      </c>
      <c r="C362">
        <v>60</v>
      </c>
      <c r="D362" t="s">
        <v>16</v>
      </c>
      <c r="E362" t="s">
        <v>1135</v>
      </c>
      <c r="F362" t="s">
        <v>317</v>
      </c>
      <c r="G362" t="s">
        <v>13</v>
      </c>
      <c r="H362" t="s">
        <v>50</v>
      </c>
      <c r="J362" s="4" t="str">
        <v>CUST1358</v>
      </c>
      <c r="K362" s="4" t="str">
        <v>Ashley Anderson</v>
      </c>
      <c r="L362" s="4" t="str">
        <v>60</v>
      </c>
      <c r="M362" s="4" t="str">
        <v>Female</v>
      </c>
      <c r="N362" s="4" t="str">
        <v>West Johnmouth</v>
      </c>
      <c r="O362" s="4" t="str">
        <v>Mississippi</v>
      </c>
      <c r="P362" s="4" t="str">
        <v>USA</v>
      </c>
      <c r="Q362" s="4" t="str">
        <v>Gold</v>
      </c>
      <c r="S362" s="4" t="str">
        <v>CUST1358</v>
      </c>
      <c r="T362" s="4" t="str">
        <v>ASHLEY ANDERSON</v>
      </c>
      <c r="U362" s="4" t="str">
        <v>60</v>
      </c>
      <c r="V362" s="4" t="str">
        <v>FEMALE</v>
      </c>
      <c r="W362" s="4" t="str">
        <v>WEST JOHNMOUTH</v>
      </c>
      <c r="X362" s="4" t="str">
        <v>MISSISSIPPI</v>
      </c>
      <c r="Y362" s="4" t="str">
        <v>USA</v>
      </c>
      <c r="Z362" s="4" t="str">
        <v>GOLD</v>
      </c>
    </row>
    <row r="363" spans="1:26" x14ac:dyDescent="0.25">
      <c r="A363" t="s">
        <v>1136</v>
      </c>
      <c r="B363" t="s">
        <v>1137</v>
      </c>
      <c r="C363">
        <v>32</v>
      </c>
      <c r="D363" t="s">
        <v>10</v>
      </c>
      <c r="E363" t="s">
        <v>1138</v>
      </c>
      <c r="F363" t="s">
        <v>65</v>
      </c>
      <c r="G363" t="s">
        <v>13</v>
      </c>
      <c r="H363" t="s">
        <v>33</v>
      </c>
      <c r="J363" s="4" t="str">
        <v>CUST1359</v>
      </c>
      <c r="K363" s="4" t="str">
        <v>Melanie Lam</v>
      </c>
      <c r="L363" s="4" t="str">
        <v>32</v>
      </c>
      <c r="M363" s="4" t="str">
        <v>Male</v>
      </c>
      <c r="N363" s="4" t="str">
        <v>East Michaelton</v>
      </c>
      <c r="O363" s="4" t="str">
        <v>Kansas</v>
      </c>
      <c r="P363" s="4" t="str">
        <v>USA</v>
      </c>
      <c r="Q363" s="4" t="str">
        <v>Silver</v>
      </c>
      <c r="S363" s="4" t="str">
        <v>CUST1359</v>
      </c>
      <c r="T363" s="4" t="str">
        <v>MELANIE LAM</v>
      </c>
      <c r="U363" s="4" t="str">
        <v>32</v>
      </c>
      <c r="V363" s="4" t="str">
        <v>MALE</v>
      </c>
      <c r="W363" s="4" t="str">
        <v>EAST MICHAELTON</v>
      </c>
      <c r="X363" s="4" t="str">
        <v>KANSAS</v>
      </c>
      <c r="Y363" s="4" t="str">
        <v>USA</v>
      </c>
      <c r="Z363" s="4" t="str">
        <v>SILVER</v>
      </c>
    </row>
    <row r="364" spans="1:26" x14ac:dyDescent="0.25">
      <c r="A364" t="s">
        <v>1139</v>
      </c>
      <c r="B364" t="s">
        <v>1140</v>
      </c>
      <c r="C364">
        <v>34</v>
      </c>
      <c r="D364" t="s">
        <v>10</v>
      </c>
      <c r="E364" t="s">
        <v>1141</v>
      </c>
      <c r="F364" t="s">
        <v>295</v>
      </c>
      <c r="G364" t="s">
        <v>13</v>
      </c>
      <c r="H364" t="s">
        <v>19</v>
      </c>
      <c r="J364" s="4" t="str">
        <v>CUST1360</v>
      </c>
      <c r="K364" s="4" t="str">
        <v>Denise Tate</v>
      </c>
      <c r="L364" s="4" t="str">
        <v>34</v>
      </c>
      <c r="M364" s="4" t="str">
        <v>Male</v>
      </c>
      <c r="N364" s="4" t="str">
        <v>Andersonside</v>
      </c>
      <c r="O364" s="4" t="str">
        <v>Arkansas</v>
      </c>
      <c r="P364" s="4" t="str">
        <v>USA</v>
      </c>
      <c r="Q364" s="4" t="str">
        <v>Platinum</v>
      </c>
      <c r="S364" s="4" t="str">
        <v>CUST1360</v>
      </c>
      <c r="T364" s="4" t="str">
        <v>DENISE TATE</v>
      </c>
      <c r="U364" s="4" t="str">
        <v>34</v>
      </c>
      <c r="V364" s="4" t="str">
        <v>MALE</v>
      </c>
      <c r="W364" s="4" t="str">
        <v>ANDERSONSIDE</v>
      </c>
      <c r="X364" s="4" t="str">
        <v>ARKANSAS</v>
      </c>
      <c r="Y364" s="4" t="str">
        <v>USA</v>
      </c>
      <c r="Z364" s="4" t="str">
        <v>PLATINUM</v>
      </c>
    </row>
    <row r="365" spans="1:26" x14ac:dyDescent="0.25">
      <c r="A365" t="s">
        <v>1142</v>
      </c>
      <c r="B365" t="s">
        <v>1143</v>
      </c>
      <c r="C365">
        <v>64</v>
      </c>
      <c r="D365" t="s">
        <v>10</v>
      </c>
      <c r="E365" t="s">
        <v>1144</v>
      </c>
      <c r="F365" t="s">
        <v>258</v>
      </c>
      <c r="G365" t="s">
        <v>13</v>
      </c>
      <c r="H365" t="s">
        <v>19</v>
      </c>
      <c r="J365" s="4" t="str">
        <v>CUST1361</v>
      </c>
      <c r="K365" s="4" t="str">
        <v>Natalie Johnson</v>
      </c>
      <c r="L365" s="4" t="str">
        <v>64</v>
      </c>
      <c r="M365" s="4" t="str">
        <v>Male</v>
      </c>
      <c r="N365" s="4" t="str">
        <v>New Jessechester</v>
      </c>
      <c r="O365" s="4" t="str">
        <v>Indiana</v>
      </c>
      <c r="P365" s="4" t="str">
        <v>USA</v>
      </c>
      <c r="Q365" s="4" t="str">
        <v>Platinum</v>
      </c>
      <c r="S365" s="4" t="str">
        <v>CUST1361</v>
      </c>
      <c r="T365" s="4" t="str">
        <v>NATALIE JOHNSON</v>
      </c>
      <c r="U365" s="4" t="str">
        <v>64</v>
      </c>
      <c r="V365" s="4" t="str">
        <v>MALE</v>
      </c>
      <c r="W365" s="4" t="str">
        <v>NEW JESSECHESTER</v>
      </c>
      <c r="X365" s="4" t="str">
        <v>INDIANA</v>
      </c>
      <c r="Y365" s="4" t="str">
        <v>USA</v>
      </c>
      <c r="Z365" s="4" t="str">
        <v>PLATINUM</v>
      </c>
    </row>
    <row r="366" spans="1:26" x14ac:dyDescent="0.25">
      <c r="A366" t="s">
        <v>1145</v>
      </c>
      <c r="B366" t="s">
        <v>1146</v>
      </c>
      <c r="C366">
        <v>60</v>
      </c>
      <c r="D366" t="s">
        <v>10</v>
      </c>
      <c r="E366" t="s">
        <v>1147</v>
      </c>
      <c r="F366" t="s">
        <v>167</v>
      </c>
      <c r="G366" t="s">
        <v>13</v>
      </c>
      <c r="H366" t="s">
        <v>50</v>
      </c>
      <c r="J366" s="4" t="str">
        <v>CUST1362</v>
      </c>
      <c r="K366" s="4" t="str">
        <v>Joshua Smith DVM</v>
      </c>
      <c r="L366" s="4" t="str">
        <v>60</v>
      </c>
      <c r="M366" s="4" t="str">
        <v>Male</v>
      </c>
      <c r="N366" s="4" t="str">
        <v>Melvinton</v>
      </c>
      <c r="O366" s="4" t="str">
        <v>Alaska</v>
      </c>
      <c r="P366" s="4" t="str">
        <v>USA</v>
      </c>
      <c r="Q366" s="4" t="str">
        <v>Gold</v>
      </c>
      <c r="S366" s="4" t="str">
        <v>CUST1362</v>
      </c>
      <c r="T366" s="4" t="str">
        <v>JOSHUA SMITH DVM</v>
      </c>
      <c r="U366" s="4" t="str">
        <v>60</v>
      </c>
      <c r="V366" s="4" t="str">
        <v>MALE</v>
      </c>
      <c r="W366" s="4" t="str">
        <v>MELVINTON</v>
      </c>
      <c r="X366" s="4" t="str">
        <v>ALASKA</v>
      </c>
      <c r="Y366" s="4" t="str">
        <v>USA</v>
      </c>
      <c r="Z366" s="4" t="str">
        <v>GOLD</v>
      </c>
    </row>
    <row r="367" spans="1:26" x14ac:dyDescent="0.25">
      <c r="A367" t="s">
        <v>1148</v>
      </c>
      <c r="B367" t="s">
        <v>1149</v>
      </c>
      <c r="C367">
        <v>23</v>
      </c>
      <c r="D367" t="s">
        <v>10</v>
      </c>
      <c r="E367" t="s">
        <v>1150</v>
      </c>
      <c r="F367" t="s">
        <v>27</v>
      </c>
      <c r="G367" t="s">
        <v>13</v>
      </c>
      <c r="H367" t="s">
        <v>28</v>
      </c>
      <c r="J367" s="4" t="str">
        <v>CUST1363</v>
      </c>
      <c r="K367" s="4" t="str">
        <v>Elizabeth Smith</v>
      </c>
      <c r="L367" s="4" t="str">
        <v>23</v>
      </c>
      <c r="M367" s="4" t="str">
        <v>Male</v>
      </c>
      <c r="N367" s="4" t="str">
        <v>Murphytown</v>
      </c>
      <c r="O367" s="4" t="str">
        <v>Ohio</v>
      </c>
      <c r="P367" s="4" t="str">
        <v>USA</v>
      </c>
      <c r="Q367" s="4" t="str">
        <v>Bronze</v>
      </c>
      <c r="S367" s="4" t="str">
        <v>CUST1363</v>
      </c>
      <c r="T367" s="4" t="str">
        <v>ELIZABETH SMITH</v>
      </c>
      <c r="U367" s="4" t="str">
        <v>23</v>
      </c>
      <c r="V367" s="4" t="str">
        <v>MALE</v>
      </c>
      <c r="W367" s="4" t="str">
        <v>MURPHYTOWN</v>
      </c>
      <c r="X367" s="4" t="str">
        <v>OHIO</v>
      </c>
      <c r="Y367" s="4" t="str">
        <v>USA</v>
      </c>
      <c r="Z367" s="4" t="str">
        <v>BRONZE</v>
      </c>
    </row>
    <row r="368" spans="1:26" x14ac:dyDescent="0.25">
      <c r="A368" t="s">
        <v>1151</v>
      </c>
      <c r="B368" t="s">
        <v>1152</v>
      </c>
      <c r="C368">
        <v>58</v>
      </c>
      <c r="D368" t="s">
        <v>10</v>
      </c>
      <c r="E368" t="s">
        <v>1153</v>
      </c>
      <c r="F368" t="s">
        <v>137</v>
      </c>
      <c r="G368" t="s">
        <v>13</v>
      </c>
      <c r="H368" t="s">
        <v>28</v>
      </c>
      <c r="J368" s="4" t="str">
        <v>CUST1364</v>
      </c>
      <c r="K368" s="4" t="str">
        <v>Chloe Aguilar</v>
      </c>
      <c r="L368" s="4" t="str">
        <v>58</v>
      </c>
      <c r="M368" s="4" t="str">
        <v>Male</v>
      </c>
      <c r="N368" s="4" t="str">
        <v>Lake Johnside</v>
      </c>
      <c r="O368" s="4" t="str">
        <v>Arizona</v>
      </c>
      <c r="P368" s="4" t="str">
        <v>USA</v>
      </c>
      <c r="Q368" s="4" t="str">
        <v>Bronze</v>
      </c>
      <c r="S368" s="4" t="str">
        <v>CUST1364</v>
      </c>
      <c r="T368" s="4" t="str">
        <v>CHLOE AGUILAR</v>
      </c>
      <c r="U368" s="4" t="str">
        <v>58</v>
      </c>
      <c r="V368" s="4" t="str">
        <v>MALE</v>
      </c>
      <c r="W368" s="4" t="str">
        <v>LAKE JOHNSIDE</v>
      </c>
      <c r="X368" s="4" t="str">
        <v>ARIZONA</v>
      </c>
      <c r="Y368" s="4" t="str">
        <v>USA</v>
      </c>
      <c r="Z368" s="4" t="str">
        <v>BRONZE</v>
      </c>
    </row>
    <row r="369" spans="1:26" x14ac:dyDescent="0.25">
      <c r="A369" t="s">
        <v>1154</v>
      </c>
      <c r="B369" t="s">
        <v>1155</v>
      </c>
      <c r="C369">
        <v>63</v>
      </c>
      <c r="D369" t="s">
        <v>16</v>
      </c>
      <c r="E369" t="s">
        <v>1156</v>
      </c>
      <c r="F369" t="s">
        <v>167</v>
      </c>
      <c r="G369" t="s">
        <v>13</v>
      </c>
      <c r="H369" t="s">
        <v>19</v>
      </c>
      <c r="J369" s="4" t="str">
        <v>CUST1365</v>
      </c>
      <c r="K369" s="4" t="str">
        <v>Brandon Mcbride</v>
      </c>
      <c r="L369" s="4" t="str">
        <v>63</v>
      </c>
      <c r="M369" s="4" t="str">
        <v>Female</v>
      </c>
      <c r="N369" s="4" t="str">
        <v>Kellyside</v>
      </c>
      <c r="O369" s="4" t="str">
        <v>Alaska</v>
      </c>
      <c r="P369" s="4" t="str">
        <v>USA</v>
      </c>
      <c r="Q369" s="4" t="str">
        <v>Platinum</v>
      </c>
      <c r="S369" s="4" t="str">
        <v>CUST1365</v>
      </c>
      <c r="T369" s="4" t="str">
        <v>BRANDON MCBRIDE</v>
      </c>
      <c r="U369" s="4" t="str">
        <v>63</v>
      </c>
      <c r="V369" s="4" t="str">
        <v>FEMALE</v>
      </c>
      <c r="W369" s="4" t="str">
        <v>KELLYSIDE</v>
      </c>
      <c r="X369" s="4" t="str">
        <v>ALASKA</v>
      </c>
      <c r="Y369" s="4" t="str">
        <v>USA</v>
      </c>
      <c r="Z369" s="4" t="str">
        <v>PLATINUM</v>
      </c>
    </row>
    <row r="370" spans="1:26" x14ac:dyDescent="0.25">
      <c r="A370" t="s">
        <v>1157</v>
      </c>
      <c r="B370" t="s">
        <v>1158</v>
      </c>
      <c r="C370">
        <v>40</v>
      </c>
      <c r="D370" t="s">
        <v>16</v>
      </c>
      <c r="E370" t="s">
        <v>1159</v>
      </c>
      <c r="F370" t="s">
        <v>23</v>
      </c>
      <c r="G370" t="s">
        <v>13</v>
      </c>
      <c r="H370" t="s">
        <v>19</v>
      </c>
      <c r="J370" s="4" t="str">
        <v>CUST1366</v>
      </c>
      <c r="K370" s="4" t="str">
        <v>Mallory Allen</v>
      </c>
      <c r="L370" s="4" t="str">
        <v>40</v>
      </c>
      <c r="M370" s="4" t="str">
        <v>Female</v>
      </c>
      <c r="N370" s="4" t="str">
        <v>North Theresa</v>
      </c>
      <c r="O370" s="4" t="str">
        <v>Alabama</v>
      </c>
      <c r="P370" s="4" t="str">
        <v>USA</v>
      </c>
      <c r="Q370" s="4" t="str">
        <v>Platinum</v>
      </c>
      <c r="S370" s="4" t="str">
        <v>CUST1366</v>
      </c>
      <c r="T370" s="4" t="str">
        <v>MALLORY ALLEN</v>
      </c>
      <c r="U370" s="4" t="str">
        <v>40</v>
      </c>
      <c r="V370" s="4" t="str">
        <v>FEMALE</v>
      </c>
      <c r="W370" s="4" t="str">
        <v>NORTH THERESA</v>
      </c>
      <c r="X370" s="4" t="str">
        <v>ALABAMA</v>
      </c>
      <c r="Y370" s="4" t="str">
        <v>USA</v>
      </c>
      <c r="Z370" s="4" t="str">
        <v>PLATINUM</v>
      </c>
    </row>
    <row r="371" spans="1:26" x14ac:dyDescent="0.25">
      <c r="A371" t="s">
        <v>1160</v>
      </c>
      <c r="B371" t="s">
        <v>1161</v>
      </c>
      <c r="C371">
        <v>51</v>
      </c>
      <c r="D371" t="s">
        <v>10</v>
      </c>
      <c r="E371" t="s">
        <v>1162</v>
      </c>
      <c r="F371" t="s">
        <v>27</v>
      </c>
      <c r="G371" t="s">
        <v>13</v>
      </c>
      <c r="H371" t="s">
        <v>28</v>
      </c>
      <c r="J371" s="4" t="str">
        <v>CUST1367</v>
      </c>
      <c r="K371" s="4" t="str">
        <v>Melinda Johnson</v>
      </c>
      <c r="L371" s="4" t="str">
        <v>51</v>
      </c>
      <c r="M371" s="4" t="str">
        <v>Male</v>
      </c>
      <c r="N371" s="4" t="str">
        <v>Kaufmanfurt</v>
      </c>
      <c r="O371" s="4" t="str">
        <v>Ohio</v>
      </c>
      <c r="P371" s="4" t="str">
        <v>USA</v>
      </c>
      <c r="Q371" s="4" t="str">
        <v>Bronze</v>
      </c>
      <c r="S371" s="4" t="str">
        <v>CUST1367</v>
      </c>
      <c r="T371" s="4" t="str">
        <v>MELINDA JOHNSON</v>
      </c>
      <c r="U371" s="4" t="str">
        <v>51</v>
      </c>
      <c r="V371" s="4" t="str">
        <v>MALE</v>
      </c>
      <c r="W371" s="4" t="str">
        <v>KAUFMANFURT</v>
      </c>
      <c r="X371" s="4" t="str">
        <v>OHIO</v>
      </c>
      <c r="Y371" s="4" t="str">
        <v>USA</v>
      </c>
      <c r="Z371" s="4" t="str">
        <v>BRONZE</v>
      </c>
    </row>
    <row r="372" spans="1:26" x14ac:dyDescent="0.25">
      <c r="A372" t="s">
        <v>1163</v>
      </c>
      <c r="B372" t="s">
        <v>1164</v>
      </c>
      <c r="C372">
        <v>34</v>
      </c>
      <c r="D372" t="s">
        <v>16</v>
      </c>
      <c r="E372" t="s">
        <v>1165</v>
      </c>
      <c r="F372" t="s">
        <v>61</v>
      </c>
      <c r="G372" t="s">
        <v>13</v>
      </c>
      <c r="H372" t="s">
        <v>19</v>
      </c>
      <c r="J372" s="4" t="str">
        <v>CUST1368</v>
      </c>
      <c r="K372" s="4" t="str">
        <v>Miranda King</v>
      </c>
      <c r="L372" s="4" t="str">
        <v>34</v>
      </c>
      <c r="M372" s="4" t="str">
        <v>Female</v>
      </c>
      <c r="N372" s="4" t="str">
        <v>West Mathew</v>
      </c>
      <c r="O372" s="4" t="str">
        <v>New York</v>
      </c>
      <c r="P372" s="4" t="str">
        <v>USA</v>
      </c>
      <c r="Q372" s="4" t="str">
        <v>Platinum</v>
      </c>
      <c r="S372" s="4" t="str">
        <v>CUST1368</v>
      </c>
      <c r="T372" s="4" t="str">
        <v>MIRANDA KING</v>
      </c>
      <c r="U372" s="4" t="str">
        <v>34</v>
      </c>
      <c r="V372" s="4" t="str">
        <v>FEMALE</v>
      </c>
      <c r="W372" s="4" t="str">
        <v>WEST MATHEW</v>
      </c>
      <c r="X372" s="4" t="str">
        <v>NEW YORK</v>
      </c>
      <c r="Y372" s="4" t="str">
        <v>USA</v>
      </c>
      <c r="Z372" s="4" t="str">
        <v>PLATINUM</v>
      </c>
    </row>
    <row r="373" spans="1:26" x14ac:dyDescent="0.25">
      <c r="A373" t="s">
        <v>1166</v>
      </c>
      <c r="B373" t="s">
        <v>1167</v>
      </c>
      <c r="C373">
        <v>20</v>
      </c>
      <c r="D373" t="s">
        <v>16</v>
      </c>
      <c r="E373" t="s">
        <v>1168</v>
      </c>
      <c r="F373" t="s">
        <v>175</v>
      </c>
      <c r="G373" t="s">
        <v>13</v>
      </c>
      <c r="H373" t="s">
        <v>19</v>
      </c>
      <c r="J373" s="4" t="str">
        <v>CUST1369</v>
      </c>
      <c r="K373" s="4" t="str">
        <v>Gregory Allen</v>
      </c>
      <c r="L373" s="4" t="str">
        <v>20</v>
      </c>
      <c r="M373" s="4" t="str">
        <v>Female</v>
      </c>
      <c r="N373" s="4" t="str">
        <v>West Bruce</v>
      </c>
      <c r="O373" s="4" t="str">
        <v>Vermont</v>
      </c>
      <c r="P373" s="4" t="str">
        <v>USA</v>
      </c>
      <c r="Q373" s="4" t="str">
        <v>Platinum</v>
      </c>
      <c r="S373" s="4" t="str">
        <v>CUST1369</v>
      </c>
      <c r="T373" s="4" t="str">
        <v>GREGORY ALLEN</v>
      </c>
      <c r="U373" s="4" t="str">
        <v>20</v>
      </c>
      <c r="V373" s="4" t="str">
        <v>FEMALE</v>
      </c>
      <c r="W373" s="4" t="str">
        <v>WEST BRUCE</v>
      </c>
      <c r="X373" s="4" t="str">
        <v>VERMONT</v>
      </c>
      <c r="Y373" s="4" t="str">
        <v>USA</v>
      </c>
      <c r="Z373" s="4" t="str">
        <v>PLATINUM</v>
      </c>
    </row>
    <row r="374" spans="1:26" x14ac:dyDescent="0.25">
      <c r="A374" t="s">
        <v>1169</v>
      </c>
      <c r="B374" t="s">
        <v>1170</v>
      </c>
      <c r="C374">
        <v>45</v>
      </c>
      <c r="D374" t="s">
        <v>10</v>
      </c>
      <c r="E374" t="s">
        <v>1171</v>
      </c>
      <c r="F374" t="s">
        <v>258</v>
      </c>
      <c r="G374" t="s">
        <v>13</v>
      </c>
      <c r="H374" t="s">
        <v>33</v>
      </c>
      <c r="J374" s="4" t="str">
        <v>CUST1370</v>
      </c>
      <c r="K374" s="4" t="str">
        <v>James Holloway Jr.</v>
      </c>
      <c r="L374" s="4" t="str">
        <v>45</v>
      </c>
      <c r="M374" s="4" t="str">
        <v>Male</v>
      </c>
      <c r="N374" s="4" t="str">
        <v>Millston</v>
      </c>
      <c r="O374" s="4" t="str">
        <v>Indiana</v>
      </c>
      <c r="P374" s="4" t="str">
        <v>USA</v>
      </c>
      <c r="Q374" s="4" t="str">
        <v>Silver</v>
      </c>
      <c r="S374" s="4" t="str">
        <v>CUST1370</v>
      </c>
      <c r="T374" s="4" t="str">
        <v>JAMES HOLLOWAY JR.</v>
      </c>
      <c r="U374" s="4" t="str">
        <v>45</v>
      </c>
      <c r="V374" s="4" t="str">
        <v>MALE</v>
      </c>
      <c r="W374" s="4" t="str">
        <v>MILLSTON</v>
      </c>
      <c r="X374" s="4" t="str">
        <v>INDIANA</v>
      </c>
      <c r="Y374" s="4" t="str">
        <v>USA</v>
      </c>
      <c r="Z374" s="4" t="str">
        <v>SILVER</v>
      </c>
    </row>
    <row r="375" spans="1:26" x14ac:dyDescent="0.25">
      <c r="A375" t="s">
        <v>1172</v>
      </c>
      <c r="B375" t="s">
        <v>1173</v>
      </c>
      <c r="C375">
        <v>21</v>
      </c>
      <c r="D375" t="s">
        <v>16</v>
      </c>
      <c r="E375" t="s">
        <v>1174</v>
      </c>
      <c r="F375" t="s">
        <v>49</v>
      </c>
      <c r="G375" t="s">
        <v>13</v>
      </c>
      <c r="H375" t="s">
        <v>19</v>
      </c>
      <c r="J375" s="4" t="str">
        <v>CUST1371</v>
      </c>
      <c r="K375" s="4" t="str">
        <v>Michael Garner</v>
      </c>
      <c r="L375" s="4" t="str">
        <v>21</v>
      </c>
      <c r="M375" s="4" t="str">
        <v>Female</v>
      </c>
      <c r="N375" s="4" t="str">
        <v>Port Crystal</v>
      </c>
      <c r="O375" s="4" t="str">
        <v>New Hampshire</v>
      </c>
      <c r="P375" s="4" t="str">
        <v>USA</v>
      </c>
      <c r="Q375" s="4" t="str">
        <v>Platinum</v>
      </c>
      <c r="S375" s="4" t="str">
        <v>CUST1371</v>
      </c>
      <c r="T375" s="4" t="str">
        <v>MICHAEL GARNER</v>
      </c>
      <c r="U375" s="4" t="str">
        <v>21</v>
      </c>
      <c r="V375" s="4" t="str">
        <v>FEMALE</v>
      </c>
      <c r="W375" s="4" t="str">
        <v>PORT CRYSTAL</v>
      </c>
      <c r="X375" s="4" t="str">
        <v>NEW HAMPSHIRE</v>
      </c>
      <c r="Y375" s="4" t="str">
        <v>USA</v>
      </c>
      <c r="Z375" s="4" t="str">
        <v>PLATINUM</v>
      </c>
    </row>
    <row r="376" spans="1:26" x14ac:dyDescent="0.25">
      <c r="A376" t="s">
        <v>1175</v>
      </c>
      <c r="B376" t="s">
        <v>1176</v>
      </c>
      <c r="C376">
        <v>28</v>
      </c>
      <c r="D376" t="s">
        <v>10</v>
      </c>
      <c r="E376" t="s">
        <v>1177</v>
      </c>
      <c r="F376" t="s">
        <v>27</v>
      </c>
      <c r="G376" t="s">
        <v>13</v>
      </c>
      <c r="H376" t="s">
        <v>28</v>
      </c>
      <c r="J376" s="4" t="str">
        <v>CUST1372</v>
      </c>
      <c r="K376" s="4" t="str">
        <v>Jacqueline Anthony</v>
      </c>
      <c r="L376" s="4" t="str">
        <v>28</v>
      </c>
      <c r="M376" s="4" t="str">
        <v>Male</v>
      </c>
      <c r="N376" s="4" t="str">
        <v>Vincentside</v>
      </c>
      <c r="O376" s="4" t="str">
        <v>Ohio</v>
      </c>
      <c r="P376" s="4" t="str">
        <v>USA</v>
      </c>
      <c r="Q376" s="4" t="str">
        <v>Bronze</v>
      </c>
      <c r="S376" s="4" t="str">
        <v>CUST1372</v>
      </c>
      <c r="T376" s="4" t="str">
        <v>JACQUELINE ANTHONY</v>
      </c>
      <c r="U376" s="4" t="str">
        <v>28</v>
      </c>
      <c r="V376" s="4" t="str">
        <v>MALE</v>
      </c>
      <c r="W376" s="4" t="str">
        <v>VINCENTSIDE</v>
      </c>
      <c r="X376" s="4" t="str">
        <v>OHIO</v>
      </c>
      <c r="Y376" s="4" t="str">
        <v>USA</v>
      </c>
      <c r="Z376" s="4" t="str">
        <v>BRONZE</v>
      </c>
    </row>
    <row r="377" spans="1:26" x14ac:dyDescent="0.25">
      <c r="A377" t="s">
        <v>1178</v>
      </c>
      <c r="B377" t="s">
        <v>1179</v>
      </c>
      <c r="C377">
        <v>37</v>
      </c>
      <c r="D377" t="s">
        <v>16</v>
      </c>
      <c r="E377" t="s">
        <v>1180</v>
      </c>
      <c r="F377" t="s">
        <v>439</v>
      </c>
      <c r="G377" t="s">
        <v>13</v>
      </c>
      <c r="H377" t="s">
        <v>50</v>
      </c>
      <c r="J377" s="4" t="str">
        <v>CUST1373</v>
      </c>
      <c r="K377" s="4" t="str">
        <v>James Orozco</v>
      </c>
      <c r="L377" s="4" t="str">
        <v>37</v>
      </c>
      <c r="M377" s="4" t="str">
        <v>Female</v>
      </c>
      <c r="N377" s="4" t="str">
        <v>Simpsonfort</v>
      </c>
      <c r="O377" s="4" t="str">
        <v>Maine</v>
      </c>
      <c r="P377" s="4" t="str">
        <v>USA</v>
      </c>
      <c r="Q377" s="4" t="str">
        <v>Gold</v>
      </c>
      <c r="S377" s="4" t="str">
        <v>CUST1373</v>
      </c>
      <c r="T377" s="4" t="str">
        <v>JAMES OROZCO</v>
      </c>
      <c r="U377" s="4" t="str">
        <v>37</v>
      </c>
      <c r="V377" s="4" t="str">
        <v>FEMALE</v>
      </c>
      <c r="W377" s="4" t="str">
        <v>SIMPSONFORT</v>
      </c>
      <c r="X377" s="4" t="str">
        <v>MAINE</v>
      </c>
      <c r="Y377" s="4" t="str">
        <v>USA</v>
      </c>
      <c r="Z377" s="4" t="str">
        <v>GOLD</v>
      </c>
    </row>
    <row r="378" spans="1:26" x14ac:dyDescent="0.25">
      <c r="A378" t="s">
        <v>1181</v>
      </c>
      <c r="B378" t="s">
        <v>1182</v>
      </c>
      <c r="C378">
        <v>60</v>
      </c>
      <c r="D378" t="s">
        <v>10</v>
      </c>
      <c r="E378" t="s">
        <v>1183</v>
      </c>
      <c r="F378" t="s">
        <v>103</v>
      </c>
      <c r="G378" t="s">
        <v>13</v>
      </c>
      <c r="H378" t="s">
        <v>19</v>
      </c>
      <c r="J378" s="4" t="str">
        <v>CUST1374</v>
      </c>
      <c r="K378" s="4" t="str">
        <v>Emma Wilson</v>
      </c>
      <c r="L378" s="4" t="str">
        <v>60</v>
      </c>
      <c r="M378" s="4" t="str">
        <v>Male</v>
      </c>
      <c r="N378" s="4" t="str">
        <v>Andersonburgh</v>
      </c>
      <c r="O378" s="4" t="str">
        <v>Hawaii</v>
      </c>
      <c r="P378" s="4" t="str">
        <v>USA</v>
      </c>
      <c r="Q378" s="4" t="str">
        <v>Platinum</v>
      </c>
      <c r="S378" s="4" t="str">
        <v>CUST1374</v>
      </c>
      <c r="T378" s="4" t="str">
        <v>EMMA WILSON</v>
      </c>
      <c r="U378" s="4" t="str">
        <v>60</v>
      </c>
      <c r="V378" s="4" t="str">
        <v>MALE</v>
      </c>
      <c r="W378" s="4" t="str">
        <v>ANDERSONBURGH</v>
      </c>
      <c r="X378" s="4" t="str">
        <v>HAWAII</v>
      </c>
      <c r="Y378" s="4" t="str">
        <v>USA</v>
      </c>
      <c r="Z378" s="4" t="str">
        <v>PLATINUM</v>
      </c>
    </row>
    <row r="379" spans="1:26" x14ac:dyDescent="0.25">
      <c r="A379" t="s">
        <v>1184</v>
      </c>
      <c r="B379" t="s">
        <v>1185</v>
      </c>
      <c r="C379">
        <v>26</v>
      </c>
      <c r="D379" t="s">
        <v>10</v>
      </c>
      <c r="E379" t="s">
        <v>1186</v>
      </c>
      <c r="F379" t="s">
        <v>205</v>
      </c>
      <c r="G379" t="s">
        <v>13</v>
      </c>
      <c r="H379" t="s">
        <v>19</v>
      </c>
      <c r="J379" s="4" t="str">
        <v>CUST1375</v>
      </c>
      <c r="K379" s="4" t="str">
        <v>Joshua Bell</v>
      </c>
      <c r="L379" s="4" t="str">
        <v>26</v>
      </c>
      <c r="M379" s="4" t="str">
        <v>Male</v>
      </c>
      <c r="N379" s="4" t="str">
        <v>Port Richardshire</v>
      </c>
      <c r="O379" s="4" t="str">
        <v>Minnesota</v>
      </c>
      <c r="P379" s="4" t="str">
        <v>USA</v>
      </c>
      <c r="Q379" s="4" t="str">
        <v>Platinum</v>
      </c>
      <c r="S379" s="4" t="str">
        <v>CUST1375</v>
      </c>
      <c r="T379" s="4" t="str">
        <v>JOSHUA BELL</v>
      </c>
      <c r="U379" s="4" t="str">
        <v>26</v>
      </c>
      <c r="V379" s="4" t="str">
        <v>MALE</v>
      </c>
      <c r="W379" s="4" t="str">
        <v>PORT RICHARDSHIRE</v>
      </c>
      <c r="X379" s="4" t="str">
        <v>MINNESOTA</v>
      </c>
      <c r="Y379" s="4" t="str">
        <v>USA</v>
      </c>
      <c r="Z379" s="4" t="str">
        <v>PLATINUM</v>
      </c>
    </row>
    <row r="380" spans="1:26" x14ac:dyDescent="0.25">
      <c r="A380" t="s">
        <v>1187</v>
      </c>
      <c r="B380" t="s">
        <v>1188</v>
      </c>
      <c r="C380">
        <v>30</v>
      </c>
      <c r="D380" t="s">
        <v>10</v>
      </c>
      <c r="E380" t="s">
        <v>1189</v>
      </c>
      <c r="F380" t="s">
        <v>171</v>
      </c>
      <c r="G380" t="s">
        <v>13</v>
      </c>
      <c r="H380" t="s">
        <v>28</v>
      </c>
      <c r="J380" s="4" t="str">
        <v>CUST1376</v>
      </c>
      <c r="K380" s="4" t="str">
        <v>Michele Burke</v>
      </c>
      <c r="L380" s="4" t="str">
        <v>30</v>
      </c>
      <c r="M380" s="4" t="str">
        <v>Male</v>
      </c>
      <c r="N380" s="4" t="str">
        <v>Chambersberg</v>
      </c>
      <c r="O380" s="4" t="str">
        <v>Connecticut</v>
      </c>
      <c r="P380" s="4" t="str">
        <v>USA</v>
      </c>
      <c r="Q380" s="4" t="str">
        <v>Bronze</v>
      </c>
      <c r="S380" s="4" t="str">
        <v>CUST1376</v>
      </c>
      <c r="T380" s="4" t="str">
        <v>MICHELE BURKE</v>
      </c>
      <c r="U380" s="4" t="str">
        <v>30</v>
      </c>
      <c r="V380" s="4" t="str">
        <v>MALE</v>
      </c>
      <c r="W380" s="4" t="str">
        <v>CHAMBERSBERG</v>
      </c>
      <c r="X380" s="4" t="str">
        <v>CONNECTICUT</v>
      </c>
      <c r="Y380" s="4" t="str">
        <v>USA</v>
      </c>
      <c r="Z380" s="4" t="str">
        <v>BRONZE</v>
      </c>
    </row>
    <row r="381" spans="1:26" x14ac:dyDescent="0.25">
      <c r="A381" t="s">
        <v>1190</v>
      </c>
      <c r="B381" t="s">
        <v>1191</v>
      </c>
      <c r="C381">
        <v>39</v>
      </c>
      <c r="D381" t="s">
        <v>16</v>
      </c>
      <c r="E381" t="s">
        <v>1192</v>
      </c>
      <c r="F381" t="s">
        <v>439</v>
      </c>
      <c r="G381" t="s">
        <v>13</v>
      </c>
      <c r="H381" t="s">
        <v>50</v>
      </c>
      <c r="J381" s="4" t="str">
        <v>CUST1377</v>
      </c>
      <c r="K381" s="4" t="str">
        <v>Charles Conley</v>
      </c>
      <c r="L381" s="4" t="str">
        <v>39</v>
      </c>
      <c r="M381" s="4" t="str">
        <v>Female</v>
      </c>
      <c r="N381" s="4" t="str">
        <v>Nathanshire</v>
      </c>
      <c r="O381" s="4" t="str">
        <v>Maine</v>
      </c>
      <c r="P381" s="4" t="str">
        <v>USA</v>
      </c>
      <c r="Q381" s="4" t="str">
        <v>Gold</v>
      </c>
      <c r="S381" s="4" t="str">
        <v>CUST1377</v>
      </c>
      <c r="T381" s="4" t="str">
        <v>CHARLES CONLEY</v>
      </c>
      <c r="U381" s="4" t="str">
        <v>39</v>
      </c>
      <c r="V381" s="4" t="str">
        <v>FEMALE</v>
      </c>
      <c r="W381" s="4" t="str">
        <v>NATHANSHIRE</v>
      </c>
      <c r="X381" s="4" t="str">
        <v>MAINE</v>
      </c>
      <c r="Y381" s="4" t="str">
        <v>USA</v>
      </c>
      <c r="Z381" s="4" t="str">
        <v>GOLD</v>
      </c>
    </row>
    <row r="382" spans="1:26" x14ac:dyDescent="0.25">
      <c r="A382" t="s">
        <v>1193</v>
      </c>
      <c r="B382" t="s">
        <v>1194</v>
      </c>
      <c r="C382">
        <v>44</v>
      </c>
      <c r="D382" t="s">
        <v>16</v>
      </c>
      <c r="E382" t="s">
        <v>1195</v>
      </c>
      <c r="F382" t="s">
        <v>95</v>
      </c>
      <c r="G382" t="s">
        <v>13</v>
      </c>
      <c r="H382" t="s">
        <v>28</v>
      </c>
      <c r="J382" s="4" t="str">
        <v>CUST1378</v>
      </c>
      <c r="K382" s="4" t="str">
        <v>Frank Stewart</v>
      </c>
      <c r="L382" s="4" t="str">
        <v>44</v>
      </c>
      <c r="M382" s="4" t="str">
        <v>Female</v>
      </c>
      <c r="N382" s="4" t="str">
        <v>Fischerborough</v>
      </c>
      <c r="O382" s="4" t="str">
        <v>Delaware</v>
      </c>
      <c r="P382" s="4" t="str">
        <v>USA</v>
      </c>
      <c r="Q382" s="4" t="str">
        <v>Bronze</v>
      </c>
      <c r="S382" s="4" t="str">
        <v>CUST1378</v>
      </c>
      <c r="T382" s="4" t="str">
        <v>FRANK STEWART</v>
      </c>
      <c r="U382" s="4" t="str">
        <v>44</v>
      </c>
      <c r="V382" s="4" t="str">
        <v>FEMALE</v>
      </c>
      <c r="W382" s="4" t="str">
        <v>FISCHERBOROUGH</v>
      </c>
      <c r="X382" s="4" t="str">
        <v>DELAWARE</v>
      </c>
      <c r="Y382" s="4" t="str">
        <v>USA</v>
      </c>
      <c r="Z382" s="4" t="str">
        <v>BRONZE</v>
      </c>
    </row>
    <row r="383" spans="1:26" x14ac:dyDescent="0.25">
      <c r="A383" t="s">
        <v>1196</v>
      </c>
      <c r="B383" t="s">
        <v>1197</v>
      </c>
      <c r="C383">
        <v>34</v>
      </c>
      <c r="D383" t="s">
        <v>16</v>
      </c>
      <c r="E383" t="s">
        <v>1198</v>
      </c>
      <c r="F383" t="s">
        <v>271</v>
      </c>
      <c r="G383" t="s">
        <v>13</v>
      </c>
      <c r="H383" t="s">
        <v>50</v>
      </c>
      <c r="J383" s="4" t="str">
        <v>CUST1379</v>
      </c>
      <c r="K383" s="4" t="str">
        <v>Tanya Lopez</v>
      </c>
      <c r="L383" s="4" t="str">
        <v>34</v>
      </c>
      <c r="M383" s="4" t="str">
        <v>Female</v>
      </c>
      <c r="N383" s="4" t="str">
        <v>West Jeffreyburgh</v>
      </c>
      <c r="O383" s="4" t="str">
        <v>Iowa</v>
      </c>
      <c r="P383" s="4" t="str">
        <v>USA</v>
      </c>
      <c r="Q383" s="4" t="str">
        <v>Gold</v>
      </c>
      <c r="S383" s="4" t="str">
        <v>CUST1379</v>
      </c>
      <c r="T383" s="4" t="str">
        <v>TANYA LOPEZ</v>
      </c>
      <c r="U383" s="4" t="str">
        <v>34</v>
      </c>
      <c r="V383" s="4" t="str">
        <v>FEMALE</v>
      </c>
      <c r="W383" s="4" t="str">
        <v>WEST JEFFREYBURGH</v>
      </c>
      <c r="X383" s="4" t="str">
        <v>IOWA</v>
      </c>
      <c r="Y383" s="4" t="str">
        <v>USA</v>
      </c>
      <c r="Z383" s="4" t="str">
        <v>GOLD</v>
      </c>
    </row>
    <row r="384" spans="1:26" x14ac:dyDescent="0.25">
      <c r="A384" t="s">
        <v>1199</v>
      </c>
      <c r="B384" t="s">
        <v>1200</v>
      </c>
      <c r="C384">
        <v>23</v>
      </c>
      <c r="D384" t="s">
        <v>10</v>
      </c>
      <c r="E384" t="s">
        <v>1201</v>
      </c>
      <c r="F384" t="s">
        <v>221</v>
      </c>
      <c r="G384" t="s">
        <v>13</v>
      </c>
      <c r="H384" t="s">
        <v>50</v>
      </c>
      <c r="J384" s="4" t="str">
        <v>CUST1380</v>
      </c>
      <c r="K384" s="4" t="str">
        <v>Shelley Ponce</v>
      </c>
      <c r="L384" s="4" t="str">
        <v>23</v>
      </c>
      <c r="M384" s="4" t="str">
        <v>Male</v>
      </c>
      <c r="N384" s="4" t="str">
        <v>South Cassandrachester</v>
      </c>
      <c r="O384" s="4" t="str">
        <v>Rhode Island</v>
      </c>
      <c r="P384" s="4" t="str">
        <v>USA</v>
      </c>
      <c r="Q384" s="4" t="str">
        <v>Gold</v>
      </c>
      <c r="S384" s="4" t="str">
        <v>CUST1380</v>
      </c>
      <c r="T384" s="4" t="str">
        <v>SHELLEY PONCE</v>
      </c>
      <c r="U384" s="4" t="str">
        <v>23</v>
      </c>
      <c r="V384" s="4" t="str">
        <v>MALE</v>
      </c>
      <c r="W384" s="4" t="str">
        <v>SOUTH CASSANDRACHESTER</v>
      </c>
      <c r="X384" s="4" t="str">
        <v>RHODE ISLAND</v>
      </c>
      <c r="Y384" s="4" t="str">
        <v>USA</v>
      </c>
      <c r="Z384" s="4" t="str">
        <v>GOLD</v>
      </c>
    </row>
    <row r="385" spans="1:26" x14ac:dyDescent="0.25">
      <c r="A385" t="s">
        <v>1202</v>
      </c>
      <c r="B385" t="s">
        <v>1203</v>
      </c>
      <c r="C385">
        <v>50</v>
      </c>
      <c r="D385" t="s">
        <v>10</v>
      </c>
      <c r="E385" t="s">
        <v>1204</v>
      </c>
      <c r="F385" t="s">
        <v>23</v>
      </c>
      <c r="G385" t="s">
        <v>13</v>
      </c>
      <c r="H385" t="s">
        <v>33</v>
      </c>
      <c r="J385" s="4" t="str">
        <v>CUST1381</v>
      </c>
      <c r="K385" s="4" t="str">
        <v>Erika Padilla</v>
      </c>
      <c r="L385" s="4" t="str">
        <v>50</v>
      </c>
      <c r="M385" s="4" t="str">
        <v>Male</v>
      </c>
      <c r="N385" s="4" t="str">
        <v>Andrewsland</v>
      </c>
      <c r="O385" s="4" t="str">
        <v>Alabama</v>
      </c>
      <c r="P385" s="4" t="str">
        <v>USA</v>
      </c>
      <c r="Q385" s="4" t="str">
        <v>Silver</v>
      </c>
      <c r="S385" s="4" t="str">
        <v>CUST1381</v>
      </c>
      <c r="T385" s="4" t="str">
        <v>ERIKA PADILLA</v>
      </c>
      <c r="U385" s="4" t="str">
        <v>50</v>
      </c>
      <c r="V385" s="4" t="str">
        <v>MALE</v>
      </c>
      <c r="W385" s="4" t="str">
        <v>ANDREWSLAND</v>
      </c>
      <c r="X385" s="4" t="str">
        <v>ALABAMA</v>
      </c>
      <c r="Y385" s="4" t="str">
        <v>USA</v>
      </c>
      <c r="Z385" s="4" t="str">
        <v>SILVER</v>
      </c>
    </row>
    <row r="386" spans="1:26" x14ac:dyDescent="0.25">
      <c r="A386" t="s">
        <v>1205</v>
      </c>
      <c r="B386" t="s">
        <v>1206</v>
      </c>
      <c r="C386">
        <v>20</v>
      </c>
      <c r="D386" t="s">
        <v>16</v>
      </c>
      <c r="E386" t="s">
        <v>1207</v>
      </c>
      <c r="F386" t="s">
        <v>32</v>
      </c>
      <c r="G386" t="s">
        <v>13</v>
      </c>
      <c r="H386" t="s">
        <v>50</v>
      </c>
      <c r="J386" s="4" t="str">
        <v>CUST1382</v>
      </c>
      <c r="K386" s="4" t="str">
        <v>Martha Brown</v>
      </c>
      <c r="L386" s="4" t="str">
        <v>20</v>
      </c>
      <c r="M386" s="4" t="str">
        <v>Female</v>
      </c>
      <c r="N386" s="4" t="str">
        <v>Novakstad</v>
      </c>
      <c r="O386" s="4" t="str">
        <v>California</v>
      </c>
      <c r="P386" s="4" t="str">
        <v>USA</v>
      </c>
      <c r="Q386" s="4" t="str">
        <v>Gold</v>
      </c>
      <c r="S386" s="4" t="str">
        <v>CUST1382</v>
      </c>
      <c r="T386" s="4" t="str">
        <v>MARTHA BROWN</v>
      </c>
      <c r="U386" s="4" t="str">
        <v>20</v>
      </c>
      <c r="V386" s="4" t="str">
        <v>FEMALE</v>
      </c>
      <c r="W386" s="4" t="str">
        <v>NOVAKSTAD</v>
      </c>
      <c r="X386" s="4" t="str">
        <v>CALIFORNIA</v>
      </c>
      <c r="Y386" s="4" t="str">
        <v>USA</v>
      </c>
      <c r="Z386" s="4" t="str">
        <v>GOLD</v>
      </c>
    </row>
    <row r="387" spans="1:26" x14ac:dyDescent="0.25">
      <c r="A387" t="s">
        <v>1208</v>
      </c>
      <c r="B387" t="s">
        <v>1209</v>
      </c>
      <c r="C387">
        <v>27</v>
      </c>
      <c r="D387" t="s">
        <v>16</v>
      </c>
      <c r="E387" t="s">
        <v>1210</v>
      </c>
      <c r="F387" t="s">
        <v>321</v>
      </c>
      <c r="G387" t="s">
        <v>13</v>
      </c>
      <c r="H387" t="s">
        <v>33</v>
      </c>
      <c r="J387" s="4" t="str">
        <v>CUST1383</v>
      </c>
      <c r="K387" s="4" t="str">
        <v>Kristine Higgins</v>
      </c>
      <c r="L387" s="4" t="str">
        <v>27</v>
      </c>
      <c r="M387" s="4" t="str">
        <v>Female</v>
      </c>
      <c r="N387" s="4" t="str">
        <v>Jennifertown</v>
      </c>
      <c r="O387" s="4" t="str">
        <v>South Carolina</v>
      </c>
      <c r="P387" s="4" t="str">
        <v>USA</v>
      </c>
      <c r="Q387" s="4" t="str">
        <v>Silver</v>
      </c>
      <c r="S387" s="4" t="str">
        <v>CUST1383</v>
      </c>
      <c r="T387" s="4" t="str">
        <v>KRISTINE HIGGINS</v>
      </c>
      <c r="U387" s="4" t="str">
        <v>27</v>
      </c>
      <c r="V387" s="4" t="str">
        <v>FEMALE</v>
      </c>
      <c r="W387" s="4" t="str">
        <v>JENNIFERTOWN</v>
      </c>
      <c r="X387" s="4" t="str">
        <v>SOUTH CAROLINA</v>
      </c>
      <c r="Y387" s="4" t="str">
        <v>USA</v>
      </c>
      <c r="Z387" s="4" t="str">
        <v>SILVER</v>
      </c>
    </row>
    <row r="388" spans="1:26" x14ac:dyDescent="0.25">
      <c r="A388" t="s">
        <v>1211</v>
      </c>
      <c r="B388" t="s">
        <v>1212</v>
      </c>
      <c r="C388">
        <v>52</v>
      </c>
      <c r="D388" t="s">
        <v>16</v>
      </c>
      <c r="E388" t="s">
        <v>1213</v>
      </c>
      <c r="F388" t="s">
        <v>271</v>
      </c>
      <c r="G388" t="s">
        <v>13</v>
      </c>
      <c r="H388" t="s">
        <v>28</v>
      </c>
      <c r="J388" s="4" t="str">
        <v>CUST1384</v>
      </c>
      <c r="K388" s="4" t="str">
        <v>Andrew Mason</v>
      </c>
      <c r="L388" s="4" t="str">
        <v>52</v>
      </c>
      <c r="M388" s="4" t="str">
        <v>Female</v>
      </c>
      <c r="N388" s="4" t="str">
        <v>North Michael</v>
      </c>
      <c r="O388" s="4" t="str">
        <v>Iowa</v>
      </c>
      <c r="P388" s="4" t="str">
        <v>USA</v>
      </c>
      <c r="Q388" s="4" t="str">
        <v>Bronze</v>
      </c>
      <c r="S388" s="4" t="str">
        <v>CUST1384</v>
      </c>
      <c r="T388" s="4" t="str">
        <v>ANDREW MASON</v>
      </c>
      <c r="U388" s="4" t="str">
        <v>52</v>
      </c>
      <c r="V388" s="4" t="str">
        <v>FEMALE</v>
      </c>
      <c r="W388" s="4" t="str">
        <v>NORTH MICHAEL</v>
      </c>
      <c r="X388" s="4" t="str">
        <v>IOWA</v>
      </c>
      <c r="Y388" s="4" t="str">
        <v>USA</v>
      </c>
      <c r="Z388" s="4" t="str">
        <v>BRONZE</v>
      </c>
    </row>
    <row r="389" spans="1:26" x14ac:dyDescent="0.25">
      <c r="A389" t="s">
        <v>1214</v>
      </c>
      <c r="B389" t="s">
        <v>1215</v>
      </c>
      <c r="C389">
        <v>60</v>
      </c>
      <c r="D389" t="s">
        <v>10</v>
      </c>
      <c r="E389" t="s">
        <v>1216</v>
      </c>
      <c r="F389" t="s">
        <v>321</v>
      </c>
      <c r="G389" t="s">
        <v>13</v>
      </c>
      <c r="H389" t="s">
        <v>50</v>
      </c>
      <c r="J389" s="4" t="str">
        <v>CUST1385</v>
      </c>
      <c r="K389" s="4" t="str">
        <v>Tammy Brennan</v>
      </c>
      <c r="L389" s="4" t="str">
        <v>60</v>
      </c>
      <c r="M389" s="4" t="str">
        <v>Male</v>
      </c>
      <c r="N389" s="4" t="str">
        <v>Lake Brandontown</v>
      </c>
      <c r="O389" s="4" t="str">
        <v>South Carolina</v>
      </c>
      <c r="P389" s="4" t="str">
        <v>USA</v>
      </c>
      <c r="Q389" s="4" t="str">
        <v>Gold</v>
      </c>
      <c r="S389" s="4" t="str">
        <v>CUST1385</v>
      </c>
      <c r="T389" s="4" t="str">
        <v>TAMMY BRENNAN</v>
      </c>
      <c r="U389" s="4" t="str">
        <v>60</v>
      </c>
      <c r="V389" s="4" t="str">
        <v>MALE</v>
      </c>
      <c r="W389" s="4" t="str">
        <v>LAKE BRANDONTOWN</v>
      </c>
      <c r="X389" s="4" t="str">
        <v>SOUTH CAROLINA</v>
      </c>
      <c r="Y389" s="4" t="str">
        <v>USA</v>
      </c>
      <c r="Z389" s="4" t="str">
        <v>GOLD</v>
      </c>
    </row>
    <row r="390" spans="1:26" x14ac:dyDescent="0.25">
      <c r="A390" t="s">
        <v>1217</v>
      </c>
      <c r="B390" t="s">
        <v>1218</v>
      </c>
      <c r="C390">
        <v>18</v>
      </c>
      <c r="D390" t="s">
        <v>16</v>
      </c>
      <c r="E390" t="s">
        <v>1219</v>
      </c>
      <c r="F390" t="s">
        <v>144</v>
      </c>
      <c r="G390" t="s">
        <v>13</v>
      </c>
      <c r="H390" t="s">
        <v>28</v>
      </c>
      <c r="J390" s="4" t="str">
        <v>CUST1386</v>
      </c>
      <c r="K390" s="4" t="str">
        <v>Melanie Mitchell</v>
      </c>
      <c r="L390" s="4" t="str">
        <v>18</v>
      </c>
      <c r="M390" s="4" t="str">
        <v>Female</v>
      </c>
      <c r="N390" s="4" t="str">
        <v>West Laura</v>
      </c>
      <c r="O390" s="4" t="str">
        <v>Maryland</v>
      </c>
      <c r="P390" s="4" t="str">
        <v>USA</v>
      </c>
      <c r="Q390" s="4" t="str">
        <v>Bronze</v>
      </c>
      <c r="S390" s="4" t="str">
        <v>CUST1386</v>
      </c>
      <c r="T390" s="4" t="str">
        <v>MELANIE MITCHELL</v>
      </c>
      <c r="U390" s="4" t="str">
        <v>18</v>
      </c>
      <c r="V390" s="4" t="str">
        <v>FEMALE</v>
      </c>
      <c r="W390" s="4" t="str">
        <v>WEST LAURA</v>
      </c>
      <c r="X390" s="4" t="str">
        <v>MARYLAND</v>
      </c>
      <c r="Y390" s="4" t="str">
        <v>USA</v>
      </c>
      <c r="Z390" s="4" t="str">
        <v>BRONZE</v>
      </c>
    </row>
    <row r="391" spans="1:26" x14ac:dyDescent="0.25">
      <c r="A391" t="s">
        <v>1220</v>
      </c>
      <c r="B391" t="s">
        <v>1221</v>
      </c>
      <c r="C391">
        <v>28</v>
      </c>
      <c r="D391" t="s">
        <v>16</v>
      </c>
      <c r="E391" t="s">
        <v>1222</v>
      </c>
      <c r="F391" t="s">
        <v>91</v>
      </c>
      <c r="G391" t="s">
        <v>13</v>
      </c>
      <c r="H391" t="s">
        <v>33</v>
      </c>
      <c r="J391" s="4" t="str">
        <v>CUST1387</v>
      </c>
      <c r="K391" s="4" t="str">
        <v>Timothy Gardner</v>
      </c>
      <c r="L391" s="4" t="str">
        <v>28</v>
      </c>
      <c r="M391" s="4" t="str">
        <v>Female</v>
      </c>
      <c r="N391" s="4" t="str">
        <v>New Dawn</v>
      </c>
      <c r="O391" s="4" t="str">
        <v>New Jersey</v>
      </c>
      <c r="P391" s="4" t="str">
        <v>USA</v>
      </c>
      <c r="Q391" s="4" t="str">
        <v>Silver</v>
      </c>
      <c r="S391" s="4" t="str">
        <v>CUST1387</v>
      </c>
      <c r="T391" s="4" t="str">
        <v>TIMOTHY GARDNER</v>
      </c>
      <c r="U391" s="4" t="str">
        <v>28</v>
      </c>
      <c r="V391" s="4" t="str">
        <v>FEMALE</v>
      </c>
      <c r="W391" s="4" t="str">
        <v>NEW DAWN</v>
      </c>
      <c r="X391" s="4" t="str">
        <v>NEW JERSEY</v>
      </c>
      <c r="Y391" s="4" t="str">
        <v>USA</v>
      </c>
      <c r="Z391" s="4" t="str">
        <v>SILVER</v>
      </c>
    </row>
    <row r="392" spans="1:26" x14ac:dyDescent="0.25">
      <c r="A392" t="s">
        <v>1223</v>
      </c>
      <c r="B392" t="s">
        <v>1224</v>
      </c>
      <c r="C392">
        <v>53</v>
      </c>
      <c r="D392" t="s">
        <v>10</v>
      </c>
      <c r="E392" t="s">
        <v>1225</v>
      </c>
      <c r="F392" t="s">
        <v>117</v>
      </c>
      <c r="G392" t="s">
        <v>13</v>
      </c>
      <c r="H392" t="s">
        <v>19</v>
      </c>
      <c r="J392" s="4" t="str">
        <v>CUST1388</v>
      </c>
      <c r="K392" s="4" t="str">
        <v>Timothy Valenzuela</v>
      </c>
      <c r="L392" s="4" t="str">
        <v>53</v>
      </c>
      <c r="M392" s="4" t="str">
        <v>Male</v>
      </c>
      <c r="N392" s="4" t="str">
        <v>Stevensshire</v>
      </c>
      <c r="O392" s="4" t="str">
        <v>Missouri</v>
      </c>
      <c r="P392" s="4" t="str">
        <v>USA</v>
      </c>
      <c r="Q392" s="4" t="str">
        <v>Platinum</v>
      </c>
      <c r="S392" s="4" t="str">
        <v>CUST1388</v>
      </c>
      <c r="T392" s="4" t="str">
        <v>TIMOTHY VALENZUELA</v>
      </c>
      <c r="U392" s="4" t="str">
        <v>53</v>
      </c>
      <c r="V392" s="4" t="str">
        <v>MALE</v>
      </c>
      <c r="W392" s="4" t="str">
        <v>STEVENSSHIRE</v>
      </c>
      <c r="X392" s="4" t="str">
        <v>MISSOURI</v>
      </c>
      <c r="Y392" s="4" t="str">
        <v>USA</v>
      </c>
      <c r="Z392" s="4" t="str">
        <v>PLATINUM</v>
      </c>
    </row>
    <row r="393" spans="1:26" x14ac:dyDescent="0.25">
      <c r="A393" t="s">
        <v>1226</v>
      </c>
      <c r="B393" t="s">
        <v>1227</v>
      </c>
      <c r="C393">
        <v>50</v>
      </c>
      <c r="D393" t="s">
        <v>10</v>
      </c>
      <c r="E393" t="s">
        <v>1228</v>
      </c>
      <c r="F393" t="s">
        <v>73</v>
      </c>
      <c r="G393" t="s">
        <v>13</v>
      </c>
      <c r="H393" t="s">
        <v>19</v>
      </c>
      <c r="J393" s="4" t="str">
        <v>CUST1389</v>
      </c>
      <c r="K393" s="4" t="str">
        <v>Cynthia Lopez</v>
      </c>
      <c r="L393" s="4" t="str">
        <v>50</v>
      </c>
      <c r="M393" s="4" t="str">
        <v>Male</v>
      </c>
      <c r="N393" s="4" t="str">
        <v>Joseland</v>
      </c>
      <c r="O393" s="4" t="str">
        <v>Nebraska</v>
      </c>
      <c r="P393" s="4" t="str">
        <v>USA</v>
      </c>
      <c r="Q393" s="4" t="str">
        <v>Platinum</v>
      </c>
      <c r="S393" s="4" t="str">
        <v>CUST1389</v>
      </c>
      <c r="T393" s="4" t="str">
        <v>CYNTHIA LOPEZ</v>
      </c>
      <c r="U393" s="4" t="str">
        <v>50</v>
      </c>
      <c r="V393" s="4" t="str">
        <v>MALE</v>
      </c>
      <c r="W393" s="4" t="str">
        <v>JOSELAND</v>
      </c>
      <c r="X393" s="4" t="str">
        <v>NEBRASKA</v>
      </c>
      <c r="Y393" s="4" t="str">
        <v>USA</v>
      </c>
      <c r="Z393" s="4" t="str">
        <v>PLATINUM</v>
      </c>
    </row>
    <row r="394" spans="1:26" x14ac:dyDescent="0.25">
      <c r="A394" t="s">
        <v>1229</v>
      </c>
      <c r="B394" t="s">
        <v>1230</v>
      </c>
      <c r="C394">
        <v>56</v>
      </c>
      <c r="D394" t="s">
        <v>10</v>
      </c>
      <c r="E394" t="s">
        <v>1231</v>
      </c>
      <c r="F394" t="s">
        <v>295</v>
      </c>
      <c r="G394" t="s">
        <v>13</v>
      </c>
      <c r="H394" t="s">
        <v>33</v>
      </c>
      <c r="J394" s="4" t="str">
        <v>CUST1390</v>
      </c>
      <c r="K394" s="4" t="str">
        <v>Daniel Bell</v>
      </c>
      <c r="L394" s="4" t="str">
        <v>56</v>
      </c>
      <c r="M394" s="4" t="str">
        <v>Male</v>
      </c>
      <c r="N394" s="4" t="str">
        <v>Deniseberg</v>
      </c>
      <c r="O394" s="4" t="str">
        <v>Arkansas</v>
      </c>
      <c r="P394" s="4" t="str">
        <v>USA</v>
      </c>
      <c r="Q394" s="4" t="str">
        <v>Silver</v>
      </c>
      <c r="S394" s="4" t="str">
        <v>CUST1390</v>
      </c>
      <c r="T394" s="4" t="str">
        <v>DANIEL BELL</v>
      </c>
      <c r="U394" s="4" t="str">
        <v>56</v>
      </c>
      <c r="V394" s="4" t="str">
        <v>MALE</v>
      </c>
      <c r="W394" s="4" t="str">
        <v>DENISEBERG</v>
      </c>
      <c r="X394" s="4" t="str">
        <v>ARKANSAS</v>
      </c>
      <c r="Y394" s="4" t="str">
        <v>USA</v>
      </c>
      <c r="Z394" s="4" t="str">
        <v>SILVER</v>
      </c>
    </row>
    <row r="395" spans="1:26" x14ac:dyDescent="0.25">
      <c r="A395" t="s">
        <v>1232</v>
      </c>
      <c r="B395" t="s">
        <v>1233</v>
      </c>
      <c r="C395">
        <v>40</v>
      </c>
      <c r="D395" t="s">
        <v>16</v>
      </c>
      <c r="E395" t="s">
        <v>1234</v>
      </c>
      <c r="F395" t="s">
        <v>37</v>
      </c>
      <c r="G395" t="s">
        <v>13</v>
      </c>
      <c r="H395" t="s">
        <v>28</v>
      </c>
      <c r="J395" s="4" t="str">
        <v>CUST1391</v>
      </c>
      <c r="K395" s="4" t="str">
        <v>Heidi Tyler</v>
      </c>
      <c r="L395" s="4" t="str">
        <v>40</v>
      </c>
      <c r="M395" s="4" t="str">
        <v>Female</v>
      </c>
      <c r="N395" s="4" t="str">
        <v>Dawnstad</v>
      </c>
      <c r="O395" s="4" t="str">
        <v>Oregon</v>
      </c>
      <c r="P395" s="4" t="str">
        <v>USA</v>
      </c>
      <c r="Q395" s="4" t="str">
        <v>Bronze</v>
      </c>
      <c r="S395" s="4" t="str">
        <v>CUST1391</v>
      </c>
      <c r="T395" s="4" t="str">
        <v>HEIDI TYLER</v>
      </c>
      <c r="U395" s="4" t="str">
        <v>40</v>
      </c>
      <c r="V395" s="4" t="str">
        <v>FEMALE</v>
      </c>
      <c r="W395" s="4" t="str">
        <v>DAWNSTAD</v>
      </c>
      <c r="X395" s="4" t="str">
        <v>OREGON</v>
      </c>
      <c r="Y395" s="4" t="str">
        <v>USA</v>
      </c>
      <c r="Z395" s="4" t="str">
        <v>BRONZE</v>
      </c>
    </row>
    <row r="396" spans="1:26" x14ac:dyDescent="0.25">
      <c r="A396" t="s">
        <v>1235</v>
      </c>
      <c r="B396" t="s">
        <v>1236</v>
      </c>
      <c r="C396">
        <v>46</v>
      </c>
      <c r="D396" t="s">
        <v>10</v>
      </c>
      <c r="E396" t="s">
        <v>1237</v>
      </c>
      <c r="F396" t="s">
        <v>117</v>
      </c>
      <c r="G396" t="s">
        <v>13</v>
      </c>
      <c r="H396" t="s">
        <v>50</v>
      </c>
      <c r="J396" s="4" t="str">
        <v>CUST1392</v>
      </c>
      <c r="K396" s="4" t="str">
        <v>Jacqueline Payne</v>
      </c>
      <c r="L396" s="4" t="str">
        <v>46</v>
      </c>
      <c r="M396" s="4" t="str">
        <v>Male</v>
      </c>
      <c r="N396" s="4" t="str">
        <v>Gutierrezstad</v>
      </c>
      <c r="O396" s="4" t="str">
        <v>Missouri</v>
      </c>
      <c r="P396" s="4" t="str">
        <v>USA</v>
      </c>
      <c r="Q396" s="4" t="str">
        <v>Gold</v>
      </c>
      <c r="S396" s="4" t="str">
        <v>CUST1392</v>
      </c>
      <c r="T396" s="4" t="str">
        <v>JACQUELINE PAYNE</v>
      </c>
      <c r="U396" s="4" t="str">
        <v>46</v>
      </c>
      <c r="V396" s="4" t="str">
        <v>MALE</v>
      </c>
      <c r="W396" s="4" t="str">
        <v>GUTIERREZSTAD</v>
      </c>
      <c r="X396" s="4" t="str">
        <v>MISSOURI</v>
      </c>
      <c r="Y396" s="4" t="str">
        <v>USA</v>
      </c>
      <c r="Z396" s="4" t="str">
        <v>GOLD</v>
      </c>
    </row>
    <row r="397" spans="1:26" x14ac:dyDescent="0.25">
      <c r="A397" t="s">
        <v>1238</v>
      </c>
      <c r="B397" t="s">
        <v>1239</v>
      </c>
      <c r="C397">
        <v>46</v>
      </c>
      <c r="D397" t="s">
        <v>10</v>
      </c>
      <c r="E397" t="s">
        <v>1240</v>
      </c>
      <c r="F397" t="s">
        <v>121</v>
      </c>
      <c r="G397" t="s">
        <v>13</v>
      </c>
      <c r="H397" t="s">
        <v>28</v>
      </c>
      <c r="J397" s="4" t="str">
        <v>CUST1393</v>
      </c>
      <c r="K397" s="4" t="str">
        <v>Michael Mcneil</v>
      </c>
      <c r="L397" s="4" t="str">
        <v>46</v>
      </c>
      <c r="M397" s="4" t="str">
        <v>Male</v>
      </c>
      <c r="N397" s="4" t="str">
        <v>Stewartchester</v>
      </c>
      <c r="O397" s="4" t="str">
        <v>Utah</v>
      </c>
      <c r="P397" s="4" t="str">
        <v>USA</v>
      </c>
      <c r="Q397" s="4" t="str">
        <v>Bronze</v>
      </c>
      <c r="S397" s="4" t="str">
        <v>CUST1393</v>
      </c>
      <c r="T397" s="4" t="str">
        <v>MICHAEL MCNEIL</v>
      </c>
      <c r="U397" s="4" t="str">
        <v>46</v>
      </c>
      <c r="V397" s="4" t="str">
        <v>MALE</v>
      </c>
      <c r="W397" s="4" t="str">
        <v>STEWARTCHESTER</v>
      </c>
      <c r="X397" s="4" t="str">
        <v>UTAH</v>
      </c>
      <c r="Y397" s="4" t="str">
        <v>USA</v>
      </c>
      <c r="Z397" s="4" t="str">
        <v>BRONZE</v>
      </c>
    </row>
    <row r="398" spans="1:26" x14ac:dyDescent="0.25">
      <c r="A398" t="s">
        <v>1241</v>
      </c>
      <c r="B398" t="s">
        <v>1242</v>
      </c>
      <c r="C398">
        <v>43</v>
      </c>
      <c r="D398" t="s">
        <v>16</v>
      </c>
      <c r="E398" t="s">
        <v>1243</v>
      </c>
      <c r="F398" t="s">
        <v>171</v>
      </c>
      <c r="G398" t="s">
        <v>13</v>
      </c>
      <c r="H398" t="s">
        <v>28</v>
      </c>
      <c r="J398" s="4" t="str">
        <v>CUST1394</v>
      </c>
      <c r="K398" s="4" t="str">
        <v>Alejandro Evans</v>
      </c>
      <c r="L398" s="4" t="str">
        <v>43</v>
      </c>
      <c r="M398" s="4" t="str">
        <v>Female</v>
      </c>
      <c r="N398" s="4" t="str">
        <v>Cannonberg</v>
      </c>
      <c r="O398" s="4" t="str">
        <v>Connecticut</v>
      </c>
      <c r="P398" s="4" t="str">
        <v>USA</v>
      </c>
      <c r="Q398" s="4" t="str">
        <v>Bronze</v>
      </c>
      <c r="S398" s="4" t="str">
        <v>CUST1394</v>
      </c>
      <c r="T398" s="4" t="str">
        <v>ALEJANDRO EVANS</v>
      </c>
      <c r="U398" s="4" t="str">
        <v>43</v>
      </c>
      <c r="V398" s="4" t="str">
        <v>FEMALE</v>
      </c>
      <c r="W398" s="4" t="str">
        <v>CANNONBERG</v>
      </c>
      <c r="X398" s="4" t="str">
        <v>CONNECTICUT</v>
      </c>
      <c r="Y398" s="4" t="str">
        <v>USA</v>
      </c>
      <c r="Z398" s="4" t="str">
        <v>BRONZE</v>
      </c>
    </row>
    <row r="399" spans="1:26" x14ac:dyDescent="0.25">
      <c r="A399" t="s">
        <v>1244</v>
      </c>
      <c r="B399" t="s">
        <v>1245</v>
      </c>
      <c r="C399">
        <v>50</v>
      </c>
      <c r="D399" t="s">
        <v>10</v>
      </c>
      <c r="E399" t="s">
        <v>1246</v>
      </c>
      <c r="F399" t="s">
        <v>65</v>
      </c>
      <c r="G399" t="s">
        <v>13</v>
      </c>
      <c r="H399" t="s">
        <v>50</v>
      </c>
      <c r="J399" s="4" t="str">
        <v>CUST1395</v>
      </c>
      <c r="K399" s="4" t="str">
        <v>Brandon Mcguire</v>
      </c>
      <c r="L399" s="4" t="str">
        <v>50</v>
      </c>
      <c r="M399" s="4" t="str">
        <v>Male</v>
      </c>
      <c r="N399" s="4" t="str">
        <v>Lake Morganland</v>
      </c>
      <c r="O399" s="4" t="str">
        <v>Kansas</v>
      </c>
      <c r="P399" s="4" t="str">
        <v>USA</v>
      </c>
      <c r="Q399" s="4" t="str">
        <v>Gold</v>
      </c>
      <c r="S399" s="4" t="str">
        <v>CUST1395</v>
      </c>
      <c r="T399" s="4" t="str">
        <v>BRANDON MCGUIRE</v>
      </c>
      <c r="U399" s="4" t="str">
        <v>50</v>
      </c>
      <c r="V399" s="4" t="str">
        <v>MALE</v>
      </c>
      <c r="W399" s="4" t="str">
        <v>LAKE MORGANLAND</v>
      </c>
      <c r="X399" s="4" t="str">
        <v>KANSAS</v>
      </c>
      <c r="Y399" s="4" t="str">
        <v>USA</v>
      </c>
      <c r="Z399" s="4" t="str">
        <v>GOLD</v>
      </c>
    </row>
    <row r="400" spans="1:26" x14ac:dyDescent="0.25">
      <c r="A400" t="s">
        <v>1247</v>
      </c>
      <c r="B400" t="s">
        <v>1248</v>
      </c>
      <c r="C400">
        <v>25</v>
      </c>
      <c r="D400" t="s">
        <v>16</v>
      </c>
      <c r="E400" t="s">
        <v>1249</v>
      </c>
      <c r="F400" t="s">
        <v>61</v>
      </c>
      <c r="G400" t="s">
        <v>13</v>
      </c>
      <c r="H400" t="s">
        <v>33</v>
      </c>
      <c r="J400" s="4" t="str">
        <v>CUST1396</v>
      </c>
      <c r="K400" s="4" t="str">
        <v>Alexander Byrd</v>
      </c>
      <c r="L400" s="4" t="str">
        <v>25</v>
      </c>
      <c r="M400" s="4" t="str">
        <v>Female</v>
      </c>
      <c r="N400" s="4" t="str">
        <v>Parkerview</v>
      </c>
      <c r="O400" s="4" t="str">
        <v>New York</v>
      </c>
      <c r="P400" s="4" t="str">
        <v>USA</v>
      </c>
      <c r="Q400" s="4" t="str">
        <v>Silver</v>
      </c>
      <c r="S400" s="4" t="str">
        <v>CUST1396</v>
      </c>
      <c r="T400" s="4" t="str">
        <v>ALEXANDER BYRD</v>
      </c>
      <c r="U400" s="4" t="str">
        <v>25</v>
      </c>
      <c r="V400" s="4" t="str">
        <v>FEMALE</v>
      </c>
      <c r="W400" s="4" t="str">
        <v>PARKERVIEW</v>
      </c>
      <c r="X400" s="4" t="str">
        <v>NEW YORK</v>
      </c>
      <c r="Y400" s="4" t="str">
        <v>USA</v>
      </c>
      <c r="Z400" s="4" t="str">
        <v>SILVER</v>
      </c>
    </row>
    <row r="401" spans="1:26" x14ac:dyDescent="0.25">
      <c r="A401" t="s">
        <v>1250</v>
      </c>
      <c r="B401" t="s">
        <v>1251</v>
      </c>
      <c r="C401">
        <v>62</v>
      </c>
      <c r="D401" t="s">
        <v>16</v>
      </c>
      <c r="E401" t="s">
        <v>127</v>
      </c>
      <c r="F401" t="s">
        <v>65</v>
      </c>
      <c r="G401" t="s">
        <v>13</v>
      </c>
      <c r="H401" t="s">
        <v>19</v>
      </c>
      <c r="J401" s="4" t="str">
        <v>CUST1397</v>
      </c>
      <c r="K401" s="4" t="str">
        <v>Charles Norman PhD</v>
      </c>
      <c r="L401" s="4" t="str">
        <v>62</v>
      </c>
      <c r="M401" s="4" t="str">
        <v>Female</v>
      </c>
      <c r="N401" s="4" t="str">
        <v>East Jennifer</v>
      </c>
      <c r="O401" s="4" t="str">
        <v>Kansas</v>
      </c>
      <c r="P401" s="4" t="str">
        <v>USA</v>
      </c>
      <c r="Q401" s="4" t="str">
        <v>Platinum</v>
      </c>
      <c r="S401" s="4" t="str">
        <v>CUST1397</v>
      </c>
      <c r="T401" s="4" t="str">
        <v>CHARLES NORMAN PHD</v>
      </c>
      <c r="U401" s="4" t="str">
        <v>62</v>
      </c>
      <c r="V401" s="4" t="str">
        <v>FEMALE</v>
      </c>
      <c r="W401" s="4" t="str">
        <v>EAST JENNIFER</v>
      </c>
      <c r="X401" s="4" t="str">
        <v>KANSAS</v>
      </c>
      <c r="Y401" s="4" t="str">
        <v>USA</v>
      </c>
      <c r="Z401" s="4" t="str">
        <v>PLATINUM</v>
      </c>
    </row>
    <row r="402" spans="1:26" x14ac:dyDescent="0.25">
      <c r="A402" t="s">
        <v>1252</v>
      </c>
      <c r="B402" t="s">
        <v>1253</v>
      </c>
      <c r="C402">
        <v>54</v>
      </c>
      <c r="D402" t="s">
        <v>10</v>
      </c>
      <c r="E402" t="s">
        <v>1254</v>
      </c>
      <c r="F402" t="s">
        <v>49</v>
      </c>
      <c r="G402" t="s">
        <v>13</v>
      </c>
      <c r="H402" t="s">
        <v>28</v>
      </c>
      <c r="J402" s="4" t="str">
        <v>CUST1398</v>
      </c>
      <c r="K402" s="4" t="str">
        <v>Jennifer Johnson</v>
      </c>
      <c r="L402" s="4" t="str">
        <v>54</v>
      </c>
      <c r="M402" s="4" t="str">
        <v>Male</v>
      </c>
      <c r="N402" s="4" t="str">
        <v>Cheyenneborough</v>
      </c>
      <c r="O402" s="4" t="str">
        <v>New Hampshire</v>
      </c>
      <c r="P402" s="4" t="str">
        <v>USA</v>
      </c>
      <c r="Q402" s="4" t="str">
        <v>Bronze</v>
      </c>
      <c r="S402" s="4" t="str">
        <v>CUST1398</v>
      </c>
      <c r="T402" s="4" t="str">
        <v>JENNIFER JOHNSON</v>
      </c>
      <c r="U402" s="4" t="str">
        <v>54</v>
      </c>
      <c r="V402" s="4" t="str">
        <v>MALE</v>
      </c>
      <c r="W402" s="4" t="str">
        <v>CHEYENNEBOROUGH</v>
      </c>
      <c r="X402" s="4" t="str">
        <v>NEW HAMPSHIRE</v>
      </c>
      <c r="Y402" s="4" t="str">
        <v>USA</v>
      </c>
      <c r="Z402" s="4" t="str">
        <v>BRONZE</v>
      </c>
    </row>
    <row r="403" spans="1:26" x14ac:dyDescent="0.25">
      <c r="A403" t="s">
        <v>1255</v>
      </c>
      <c r="B403" t="s">
        <v>1256</v>
      </c>
      <c r="C403">
        <v>27</v>
      </c>
      <c r="D403" t="s">
        <v>10</v>
      </c>
      <c r="E403" t="s">
        <v>1257</v>
      </c>
      <c r="F403" t="s">
        <v>439</v>
      </c>
      <c r="G403" t="s">
        <v>13</v>
      </c>
      <c r="H403" t="s">
        <v>28</v>
      </c>
      <c r="J403" s="4" t="str">
        <v>CUST1399</v>
      </c>
      <c r="K403" s="4" t="str">
        <v>John Donaldson</v>
      </c>
      <c r="L403" s="4" t="str">
        <v>27</v>
      </c>
      <c r="M403" s="4" t="str">
        <v>Male</v>
      </c>
      <c r="N403" s="4" t="str">
        <v>New Edward</v>
      </c>
      <c r="O403" s="4" t="str">
        <v>Maine</v>
      </c>
      <c r="P403" s="4" t="str">
        <v>USA</v>
      </c>
      <c r="Q403" s="4" t="str">
        <v>Bronze</v>
      </c>
      <c r="S403" s="4" t="str">
        <v>CUST1399</v>
      </c>
      <c r="T403" s="4" t="str">
        <v>JOHN DONALDSON</v>
      </c>
      <c r="U403" s="4" t="str">
        <v>27</v>
      </c>
      <c r="V403" s="4" t="str">
        <v>MALE</v>
      </c>
      <c r="W403" s="4" t="str">
        <v>NEW EDWARD</v>
      </c>
      <c r="X403" s="4" t="str">
        <v>MAINE</v>
      </c>
      <c r="Y403" s="4" t="str">
        <v>USA</v>
      </c>
      <c r="Z403" s="4" t="str">
        <v>BRONZE</v>
      </c>
    </row>
    <row r="404" spans="1:26" x14ac:dyDescent="0.25">
      <c r="A404" t="s">
        <v>1258</v>
      </c>
      <c r="B404" t="s">
        <v>1259</v>
      </c>
      <c r="C404">
        <v>57</v>
      </c>
      <c r="D404" t="s">
        <v>16</v>
      </c>
      <c r="E404" t="s">
        <v>1260</v>
      </c>
      <c r="F404" t="s">
        <v>99</v>
      </c>
      <c r="G404" t="s">
        <v>13</v>
      </c>
      <c r="H404" t="s">
        <v>19</v>
      </c>
      <c r="J404" s="4" t="str">
        <v>CUST1400</v>
      </c>
      <c r="K404" s="4" t="str">
        <v>Mark Rogers</v>
      </c>
      <c r="L404" s="4" t="str">
        <v>57</v>
      </c>
      <c r="M404" s="4" t="str">
        <v>Female</v>
      </c>
      <c r="N404" s="4" t="str">
        <v>Bookertown</v>
      </c>
      <c r="O404" s="4" t="str">
        <v>Oklahoma</v>
      </c>
      <c r="P404" s="4" t="str">
        <v>USA</v>
      </c>
      <c r="Q404" s="4" t="str">
        <v>Platinum</v>
      </c>
      <c r="S404" s="4" t="str">
        <v>CUST1400</v>
      </c>
      <c r="T404" s="4" t="str">
        <v>MARK ROGERS</v>
      </c>
      <c r="U404" s="4" t="str">
        <v>57</v>
      </c>
      <c r="V404" s="4" t="str">
        <v>FEMALE</v>
      </c>
      <c r="W404" s="4" t="str">
        <v>BOOKERTOWN</v>
      </c>
      <c r="X404" s="4" t="str">
        <v>OKLAHOMA</v>
      </c>
      <c r="Y404" s="4" t="str">
        <v>USA</v>
      </c>
      <c r="Z404" s="4" t="str">
        <v>PLATINUM</v>
      </c>
    </row>
    <row r="405" spans="1:26" x14ac:dyDescent="0.25">
      <c r="A405" t="s">
        <v>1261</v>
      </c>
      <c r="B405" t="s">
        <v>1262</v>
      </c>
      <c r="C405">
        <v>51</v>
      </c>
      <c r="D405" t="s">
        <v>16</v>
      </c>
      <c r="E405" t="s">
        <v>1263</v>
      </c>
      <c r="F405" t="s">
        <v>188</v>
      </c>
      <c r="G405" t="s">
        <v>13</v>
      </c>
      <c r="H405" t="s">
        <v>19</v>
      </c>
      <c r="J405" s="4" t="str">
        <v>CUST1401</v>
      </c>
      <c r="K405" s="4" t="str">
        <v>Terry Moses</v>
      </c>
      <c r="L405" s="4" t="str">
        <v>51</v>
      </c>
      <c r="M405" s="4" t="str">
        <v>Female</v>
      </c>
      <c r="N405" s="4" t="str">
        <v>Leahmouth</v>
      </c>
      <c r="O405" s="4" t="str">
        <v>Nevada</v>
      </c>
      <c r="P405" s="4" t="str">
        <v>USA</v>
      </c>
      <c r="Q405" s="4" t="str">
        <v>Platinum</v>
      </c>
      <c r="S405" s="4" t="str">
        <v>CUST1401</v>
      </c>
      <c r="T405" s="4" t="str">
        <v>TERRY MOSES</v>
      </c>
      <c r="U405" s="4" t="str">
        <v>51</v>
      </c>
      <c r="V405" s="4" t="str">
        <v>FEMALE</v>
      </c>
      <c r="W405" s="4" t="str">
        <v>LEAHMOUTH</v>
      </c>
      <c r="X405" s="4" t="str">
        <v>NEVADA</v>
      </c>
      <c r="Y405" s="4" t="str">
        <v>USA</v>
      </c>
      <c r="Z405" s="4" t="str">
        <v>PLATINUM</v>
      </c>
    </row>
    <row r="406" spans="1:26" x14ac:dyDescent="0.25">
      <c r="A406" t="s">
        <v>1264</v>
      </c>
      <c r="B406" t="s">
        <v>1265</v>
      </c>
      <c r="C406">
        <v>31</v>
      </c>
      <c r="D406" t="s">
        <v>10</v>
      </c>
      <c r="E406" t="s">
        <v>83</v>
      </c>
      <c r="F406" t="s">
        <v>317</v>
      </c>
      <c r="G406" t="s">
        <v>13</v>
      </c>
      <c r="H406" t="s">
        <v>28</v>
      </c>
      <c r="J406" s="4" t="str">
        <v>CUST1402</v>
      </c>
      <c r="K406" s="4" t="str">
        <v>Cassandra Perez</v>
      </c>
      <c r="L406" s="4" t="str">
        <v>31</v>
      </c>
      <c r="M406" s="4" t="str">
        <v>Male</v>
      </c>
      <c r="N406" s="4" t="str">
        <v>Brandonville</v>
      </c>
      <c r="O406" s="4" t="str">
        <v>Mississippi</v>
      </c>
      <c r="P406" s="4" t="str">
        <v>USA</v>
      </c>
      <c r="Q406" s="4" t="str">
        <v>Bronze</v>
      </c>
      <c r="S406" s="4" t="str">
        <v>CUST1402</v>
      </c>
      <c r="T406" s="4" t="str">
        <v>CASSANDRA PEREZ</v>
      </c>
      <c r="U406" s="4" t="str">
        <v>31</v>
      </c>
      <c r="V406" s="4" t="str">
        <v>MALE</v>
      </c>
      <c r="W406" s="4" t="str">
        <v>BRANDONVILLE</v>
      </c>
      <c r="X406" s="4" t="str">
        <v>MISSISSIPPI</v>
      </c>
      <c r="Y406" s="4" t="str">
        <v>USA</v>
      </c>
      <c r="Z406" s="4" t="str">
        <v>BRONZE</v>
      </c>
    </row>
    <row r="407" spans="1:26" x14ac:dyDescent="0.25">
      <c r="A407" t="s">
        <v>1266</v>
      </c>
      <c r="B407" t="s">
        <v>1267</v>
      </c>
      <c r="C407">
        <v>34</v>
      </c>
      <c r="D407" t="s">
        <v>10</v>
      </c>
      <c r="E407" t="s">
        <v>1268</v>
      </c>
      <c r="F407" t="s">
        <v>332</v>
      </c>
      <c r="G407" t="s">
        <v>13</v>
      </c>
      <c r="H407" t="s">
        <v>28</v>
      </c>
      <c r="J407" s="4" t="str">
        <v>CUST1403</v>
      </c>
      <c r="K407" s="4" t="str">
        <v>Justin Ingram</v>
      </c>
      <c r="L407" s="4" t="str">
        <v>34</v>
      </c>
      <c r="M407" s="4" t="str">
        <v>Male</v>
      </c>
      <c r="N407" s="4" t="str">
        <v>Lake Lisaland</v>
      </c>
      <c r="O407" s="4" t="str">
        <v>Louisiana</v>
      </c>
      <c r="P407" s="4" t="str">
        <v>USA</v>
      </c>
      <c r="Q407" s="4" t="str">
        <v>Bronze</v>
      </c>
      <c r="S407" s="4" t="str">
        <v>CUST1403</v>
      </c>
      <c r="T407" s="4" t="str">
        <v>JUSTIN INGRAM</v>
      </c>
      <c r="U407" s="4" t="str">
        <v>34</v>
      </c>
      <c r="V407" s="4" t="str">
        <v>MALE</v>
      </c>
      <c r="W407" s="4" t="str">
        <v>LAKE LISALAND</v>
      </c>
      <c r="X407" s="4" t="str">
        <v>LOUISIANA</v>
      </c>
      <c r="Y407" s="4" t="str">
        <v>USA</v>
      </c>
      <c r="Z407" s="4" t="str">
        <v>BRONZE</v>
      </c>
    </row>
    <row r="408" spans="1:26" x14ac:dyDescent="0.25">
      <c r="A408" t="s">
        <v>1269</v>
      </c>
      <c r="B408" t="s">
        <v>1270</v>
      </c>
      <c r="C408">
        <v>22</v>
      </c>
      <c r="D408" t="s">
        <v>16</v>
      </c>
      <c r="E408" t="s">
        <v>1271</v>
      </c>
      <c r="F408" t="s">
        <v>295</v>
      </c>
      <c r="G408" t="s">
        <v>13</v>
      </c>
      <c r="H408" t="s">
        <v>33</v>
      </c>
      <c r="J408" s="4" t="str">
        <v>CUST1404</v>
      </c>
      <c r="K408" s="4" t="str">
        <v>David Ross</v>
      </c>
      <c r="L408" s="4" t="str">
        <v>22</v>
      </c>
      <c r="M408" s="4" t="str">
        <v>Female</v>
      </c>
      <c r="N408" s="4" t="str">
        <v>South Angela</v>
      </c>
      <c r="O408" s="4" t="str">
        <v>Arkansas</v>
      </c>
      <c r="P408" s="4" t="str">
        <v>USA</v>
      </c>
      <c r="Q408" s="4" t="str">
        <v>Silver</v>
      </c>
      <c r="S408" s="4" t="str">
        <v>CUST1404</v>
      </c>
      <c r="T408" s="4" t="str">
        <v>DAVID ROSS</v>
      </c>
      <c r="U408" s="4" t="str">
        <v>22</v>
      </c>
      <c r="V408" s="4" t="str">
        <v>FEMALE</v>
      </c>
      <c r="W408" s="4" t="str">
        <v>SOUTH ANGELA</v>
      </c>
      <c r="X408" s="4" t="str">
        <v>ARKANSAS</v>
      </c>
      <c r="Y408" s="4" t="str">
        <v>USA</v>
      </c>
      <c r="Z408" s="4" t="str">
        <v>SILVER</v>
      </c>
    </row>
    <row r="409" spans="1:26" x14ac:dyDescent="0.25">
      <c r="A409" t="s">
        <v>1272</v>
      </c>
      <c r="B409" t="s">
        <v>1273</v>
      </c>
      <c r="C409">
        <v>18</v>
      </c>
      <c r="D409" t="s">
        <v>16</v>
      </c>
      <c r="E409" t="s">
        <v>1274</v>
      </c>
      <c r="F409" t="s">
        <v>332</v>
      </c>
      <c r="G409" t="s">
        <v>13</v>
      </c>
      <c r="H409" t="s">
        <v>50</v>
      </c>
      <c r="J409" s="4" t="str">
        <v>CUST1405</v>
      </c>
      <c r="K409" s="4" t="str">
        <v>Eric Wolfe</v>
      </c>
      <c r="L409" s="4" t="str">
        <v>18</v>
      </c>
      <c r="M409" s="4" t="str">
        <v>Female</v>
      </c>
      <c r="N409" s="4" t="str">
        <v>Garciaview</v>
      </c>
      <c r="O409" s="4" t="str">
        <v>Louisiana</v>
      </c>
      <c r="P409" s="4" t="str">
        <v>USA</v>
      </c>
      <c r="Q409" s="4" t="str">
        <v>Gold</v>
      </c>
      <c r="S409" s="4" t="str">
        <v>CUST1405</v>
      </c>
      <c r="T409" s="4" t="str">
        <v>ERIC WOLFE</v>
      </c>
      <c r="U409" s="4" t="str">
        <v>18</v>
      </c>
      <c r="V409" s="4" t="str">
        <v>FEMALE</v>
      </c>
      <c r="W409" s="4" t="str">
        <v>GARCIAVIEW</v>
      </c>
      <c r="X409" s="4" t="str">
        <v>LOUISIANA</v>
      </c>
      <c r="Y409" s="4" t="str">
        <v>USA</v>
      </c>
      <c r="Z409" s="4" t="str">
        <v>GOLD</v>
      </c>
    </row>
    <row r="410" spans="1:26" x14ac:dyDescent="0.25">
      <c r="A410" t="s">
        <v>1275</v>
      </c>
      <c r="B410" t="s">
        <v>1276</v>
      </c>
      <c r="C410">
        <v>23</v>
      </c>
      <c r="D410" t="s">
        <v>16</v>
      </c>
      <c r="E410" t="s">
        <v>1277</v>
      </c>
      <c r="F410" t="s">
        <v>328</v>
      </c>
      <c r="G410" t="s">
        <v>13</v>
      </c>
      <c r="H410" t="s">
        <v>50</v>
      </c>
      <c r="J410" s="4" t="str">
        <v>CUST1406</v>
      </c>
      <c r="K410" s="4" t="str">
        <v>David Lozano</v>
      </c>
      <c r="L410" s="4" t="str">
        <v>23</v>
      </c>
      <c r="M410" s="4" t="str">
        <v>Female</v>
      </c>
      <c r="N410" s="4" t="str">
        <v>North Michaelfurt</v>
      </c>
      <c r="O410" s="4" t="str">
        <v>Wisconsin</v>
      </c>
      <c r="P410" s="4" t="str">
        <v>USA</v>
      </c>
      <c r="Q410" s="4" t="str">
        <v>Gold</v>
      </c>
      <c r="S410" s="4" t="str">
        <v>CUST1406</v>
      </c>
      <c r="T410" s="4" t="str">
        <v>DAVID LOZANO</v>
      </c>
      <c r="U410" s="4" t="str">
        <v>23</v>
      </c>
      <c r="V410" s="4" t="str">
        <v>FEMALE</v>
      </c>
      <c r="W410" s="4" t="str">
        <v>NORTH MICHAELFURT</v>
      </c>
      <c r="X410" s="4" t="str">
        <v>WISCONSIN</v>
      </c>
      <c r="Y410" s="4" t="str">
        <v>USA</v>
      </c>
      <c r="Z410" s="4" t="str">
        <v>GOLD</v>
      </c>
    </row>
    <row r="411" spans="1:26" x14ac:dyDescent="0.25">
      <c r="A411" t="s">
        <v>1278</v>
      </c>
      <c r="B411" t="s">
        <v>1279</v>
      </c>
      <c r="C411">
        <v>33</v>
      </c>
      <c r="D411" t="s">
        <v>10</v>
      </c>
      <c r="E411" t="s">
        <v>1280</v>
      </c>
      <c r="F411" t="s">
        <v>144</v>
      </c>
      <c r="G411" t="s">
        <v>13</v>
      </c>
      <c r="H411" t="s">
        <v>50</v>
      </c>
      <c r="J411" s="4" t="str">
        <v>CUST1407</v>
      </c>
      <c r="K411" s="4" t="str">
        <v>Joseph Mendoza</v>
      </c>
      <c r="L411" s="4" t="str">
        <v>33</v>
      </c>
      <c r="M411" s="4" t="str">
        <v>Male</v>
      </c>
      <c r="N411" s="4" t="str">
        <v>Ashleymouth</v>
      </c>
      <c r="O411" s="4" t="str">
        <v>Maryland</v>
      </c>
      <c r="P411" s="4" t="str">
        <v>USA</v>
      </c>
      <c r="Q411" s="4" t="str">
        <v>Gold</v>
      </c>
      <c r="S411" s="4" t="str">
        <v>CUST1407</v>
      </c>
      <c r="T411" s="4" t="str">
        <v>JOSEPH MENDOZA</v>
      </c>
      <c r="U411" s="4" t="str">
        <v>33</v>
      </c>
      <c r="V411" s="4" t="str">
        <v>MALE</v>
      </c>
      <c r="W411" s="4" t="str">
        <v>ASHLEYMOUTH</v>
      </c>
      <c r="X411" s="4" t="str">
        <v>MARYLAND</v>
      </c>
      <c r="Y411" s="4" t="str">
        <v>USA</v>
      </c>
      <c r="Z411" s="4" t="str">
        <v>GOLD</v>
      </c>
    </row>
    <row r="412" spans="1:26" x14ac:dyDescent="0.25">
      <c r="A412" t="s">
        <v>1281</v>
      </c>
      <c r="B412" t="s">
        <v>1282</v>
      </c>
      <c r="C412">
        <v>36</v>
      </c>
      <c r="D412" t="s">
        <v>10</v>
      </c>
      <c r="E412" t="s">
        <v>1283</v>
      </c>
      <c r="F412" t="s">
        <v>91</v>
      </c>
      <c r="G412" t="s">
        <v>13</v>
      </c>
      <c r="H412" t="s">
        <v>50</v>
      </c>
      <c r="J412" s="4" t="str">
        <v>CUST1408</v>
      </c>
      <c r="K412" s="4" t="str">
        <v>Isabel Foster</v>
      </c>
      <c r="L412" s="4" t="str">
        <v>36</v>
      </c>
      <c r="M412" s="4" t="str">
        <v>Male</v>
      </c>
      <c r="N412" s="4" t="str">
        <v>Port Joshuaville</v>
      </c>
      <c r="O412" s="4" t="str">
        <v>New Jersey</v>
      </c>
      <c r="P412" s="4" t="str">
        <v>USA</v>
      </c>
      <c r="Q412" s="4" t="str">
        <v>Gold</v>
      </c>
      <c r="S412" s="4" t="str">
        <v>CUST1408</v>
      </c>
      <c r="T412" s="4" t="str">
        <v>ISABEL FOSTER</v>
      </c>
      <c r="U412" s="4" t="str">
        <v>36</v>
      </c>
      <c r="V412" s="4" t="str">
        <v>MALE</v>
      </c>
      <c r="W412" s="4" t="str">
        <v>PORT JOSHUAVILLE</v>
      </c>
      <c r="X412" s="4" t="str">
        <v>NEW JERSEY</v>
      </c>
      <c r="Y412" s="4" t="str">
        <v>USA</v>
      </c>
      <c r="Z412" s="4" t="str">
        <v>GOLD</v>
      </c>
    </row>
    <row r="413" spans="1:26" x14ac:dyDescent="0.25">
      <c r="A413" t="s">
        <v>1284</v>
      </c>
      <c r="B413" t="s">
        <v>1285</v>
      </c>
      <c r="C413">
        <v>55</v>
      </c>
      <c r="D413" t="s">
        <v>10</v>
      </c>
      <c r="E413" t="s">
        <v>1286</v>
      </c>
      <c r="F413" t="s">
        <v>856</v>
      </c>
      <c r="G413" t="s">
        <v>13</v>
      </c>
      <c r="H413" t="s">
        <v>50</v>
      </c>
      <c r="J413" s="4" t="str">
        <v>CUST1409</v>
      </c>
      <c r="K413" s="4" t="str">
        <v>Sarah Smith</v>
      </c>
      <c r="L413" s="4" t="str">
        <v>55</v>
      </c>
      <c r="M413" s="4" t="str">
        <v>Male</v>
      </c>
      <c r="N413" s="4" t="str">
        <v>Kathleenport</v>
      </c>
      <c r="O413" s="4" t="str">
        <v>Wyoming</v>
      </c>
      <c r="P413" s="4" t="str">
        <v>USA</v>
      </c>
      <c r="Q413" s="4" t="str">
        <v>Gold</v>
      </c>
      <c r="S413" s="4" t="str">
        <v>CUST1409</v>
      </c>
      <c r="T413" s="4" t="str">
        <v>SARAH SMITH</v>
      </c>
      <c r="U413" s="4" t="str">
        <v>55</v>
      </c>
      <c r="V413" s="4" t="str">
        <v>MALE</v>
      </c>
      <c r="W413" s="4" t="str">
        <v>KATHLEENPORT</v>
      </c>
      <c r="X413" s="4" t="str">
        <v>WYOMING</v>
      </c>
      <c r="Y413" s="4" t="str">
        <v>USA</v>
      </c>
      <c r="Z413" s="4" t="str">
        <v>GOLD</v>
      </c>
    </row>
    <row r="414" spans="1:26" x14ac:dyDescent="0.25">
      <c r="A414" t="s">
        <v>1287</v>
      </c>
      <c r="B414" t="s">
        <v>1288</v>
      </c>
      <c r="C414">
        <v>48</v>
      </c>
      <c r="D414" t="s">
        <v>16</v>
      </c>
      <c r="E414" t="s">
        <v>1289</v>
      </c>
      <c r="F414" t="s">
        <v>91</v>
      </c>
      <c r="G414" t="s">
        <v>13</v>
      </c>
      <c r="H414" t="s">
        <v>28</v>
      </c>
      <c r="J414" s="4" t="str">
        <v>CUST1410</v>
      </c>
      <c r="K414" s="4" t="str">
        <v>Jackie Thompson</v>
      </c>
      <c r="L414" s="4" t="str">
        <v>48</v>
      </c>
      <c r="M414" s="4" t="str">
        <v>Female</v>
      </c>
      <c r="N414" s="4" t="str">
        <v>South Edwin</v>
      </c>
      <c r="O414" s="4" t="str">
        <v>New Jersey</v>
      </c>
      <c r="P414" s="4" t="str">
        <v>USA</v>
      </c>
      <c r="Q414" s="4" t="str">
        <v>Bronze</v>
      </c>
      <c r="S414" s="4" t="str">
        <v>CUST1410</v>
      </c>
      <c r="T414" s="4" t="str">
        <v>JACKIE THOMPSON</v>
      </c>
      <c r="U414" s="4" t="str">
        <v>48</v>
      </c>
      <c r="V414" s="4" t="str">
        <v>FEMALE</v>
      </c>
      <c r="W414" s="4" t="str">
        <v>SOUTH EDWIN</v>
      </c>
      <c r="X414" s="4" t="str">
        <v>NEW JERSEY</v>
      </c>
      <c r="Y414" s="4" t="str">
        <v>USA</v>
      </c>
      <c r="Z414" s="4" t="str">
        <v>BRONZE</v>
      </c>
    </row>
    <row r="415" spans="1:26" x14ac:dyDescent="0.25">
      <c r="A415" t="s">
        <v>1290</v>
      </c>
      <c r="B415" t="s">
        <v>1291</v>
      </c>
      <c r="C415">
        <v>63</v>
      </c>
      <c r="D415" t="s">
        <v>10</v>
      </c>
      <c r="E415" t="s">
        <v>1292</v>
      </c>
      <c r="F415" t="s">
        <v>27</v>
      </c>
      <c r="G415" t="s">
        <v>13</v>
      </c>
      <c r="H415" t="s">
        <v>33</v>
      </c>
      <c r="J415" s="4" t="str">
        <v>CUST1411</v>
      </c>
      <c r="K415" s="4" t="str">
        <v>Katrina Perez</v>
      </c>
      <c r="L415" s="4" t="str">
        <v>63</v>
      </c>
      <c r="M415" s="4" t="str">
        <v>Male</v>
      </c>
      <c r="N415" s="4" t="str">
        <v>West Rebecca</v>
      </c>
      <c r="O415" s="4" t="str">
        <v>Ohio</v>
      </c>
      <c r="P415" s="4" t="str">
        <v>USA</v>
      </c>
      <c r="Q415" s="4" t="str">
        <v>Silver</v>
      </c>
      <c r="S415" s="4" t="str">
        <v>CUST1411</v>
      </c>
      <c r="T415" s="4" t="str">
        <v>KATRINA PEREZ</v>
      </c>
      <c r="U415" s="4" t="str">
        <v>63</v>
      </c>
      <c r="V415" s="4" t="str">
        <v>MALE</v>
      </c>
      <c r="W415" s="4" t="str">
        <v>WEST REBECCA</v>
      </c>
      <c r="X415" s="4" t="str">
        <v>OHIO</v>
      </c>
      <c r="Y415" s="4" t="str">
        <v>USA</v>
      </c>
      <c r="Z415" s="4" t="str">
        <v>SILVER</v>
      </c>
    </row>
    <row r="416" spans="1:26" x14ac:dyDescent="0.25">
      <c r="A416" t="s">
        <v>1293</v>
      </c>
      <c r="B416" t="s">
        <v>1294</v>
      </c>
      <c r="C416">
        <v>23</v>
      </c>
      <c r="D416" t="s">
        <v>16</v>
      </c>
      <c r="E416" t="s">
        <v>208</v>
      </c>
      <c r="F416" t="s">
        <v>160</v>
      </c>
      <c r="G416" t="s">
        <v>13</v>
      </c>
      <c r="H416" t="s">
        <v>50</v>
      </c>
      <c r="J416" s="4" t="str">
        <v>CUST1412</v>
      </c>
      <c r="K416" s="4" t="str">
        <v>Shane Brown</v>
      </c>
      <c r="L416" s="4" t="str">
        <v>23</v>
      </c>
      <c r="M416" s="4" t="str">
        <v>Female</v>
      </c>
      <c r="N416" s="4" t="str">
        <v>East Andrea</v>
      </c>
      <c r="O416" s="4" t="str">
        <v>Michigan</v>
      </c>
      <c r="P416" s="4" t="str">
        <v>USA</v>
      </c>
      <c r="Q416" s="4" t="str">
        <v>Gold</v>
      </c>
      <c r="S416" s="4" t="str">
        <v>CUST1412</v>
      </c>
      <c r="T416" s="4" t="str">
        <v>SHANE BROWN</v>
      </c>
      <c r="U416" s="4" t="str">
        <v>23</v>
      </c>
      <c r="V416" s="4" t="str">
        <v>FEMALE</v>
      </c>
      <c r="W416" s="4" t="str">
        <v>EAST ANDREA</v>
      </c>
      <c r="X416" s="4" t="str">
        <v>MICHIGAN</v>
      </c>
      <c r="Y416" s="4" t="str">
        <v>USA</v>
      </c>
      <c r="Z416" s="4" t="str">
        <v>GOLD</v>
      </c>
    </row>
    <row r="417" spans="1:26" x14ac:dyDescent="0.25">
      <c r="A417" t="s">
        <v>1295</v>
      </c>
      <c r="B417" t="s">
        <v>1296</v>
      </c>
      <c r="C417">
        <v>59</v>
      </c>
      <c r="D417" t="s">
        <v>16</v>
      </c>
      <c r="E417" t="s">
        <v>1297</v>
      </c>
      <c r="F417" t="s">
        <v>110</v>
      </c>
      <c r="G417" t="s">
        <v>13</v>
      </c>
      <c r="H417" t="s">
        <v>28</v>
      </c>
      <c r="J417" s="4" t="str">
        <v>CUST1413</v>
      </c>
      <c r="K417" s="4" t="str">
        <v>Megan Ryan</v>
      </c>
      <c r="L417" s="4" t="str">
        <v>59</v>
      </c>
      <c r="M417" s="4" t="str">
        <v>Female</v>
      </c>
      <c r="N417" s="4" t="str">
        <v>Andrewsfurt</v>
      </c>
      <c r="O417" s="4" t="str">
        <v>Idaho</v>
      </c>
      <c r="P417" s="4" t="str">
        <v>USA</v>
      </c>
      <c r="Q417" s="4" t="str">
        <v>Bronze</v>
      </c>
      <c r="S417" s="4" t="str">
        <v>CUST1413</v>
      </c>
      <c r="T417" s="4" t="str">
        <v>MEGAN RYAN</v>
      </c>
      <c r="U417" s="4" t="str">
        <v>59</v>
      </c>
      <c r="V417" s="4" t="str">
        <v>FEMALE</v>
      </c>
      <c r="W417" s="4" t="str">
        <v>ANDREWSFURT</v>
      </c>
      <c r="X417" s="4" t="str">
        <v>IDAHO</v>
      </c>
      <c r="Y417" s="4" t="str">
        <v>USA</v>
      </c>
      <c r="Z417" s="4" t="str">
        <v>BRONZE</v>
      </c>
    </row>
    <row r="418" spans="1:26" x14ac:dyDescent="0.25">
      <c r="A418" t="s">
        <v>1298</v>
      </c>
      <c r="B418" t="s">
        <v>1299</v>
      </c>
      <c r="C418">
        <v>35</v>
      </c>
      <c r="D418" t="s">
        <v>16</v>
      </c>
      <c r="E418" t="s">
        <v>1300</v>
      </c>
      <c r="F418" t="s">
        <v>117</v>
      </c>
      <c r="G418" t="s">
        <v>13</v>
      </c>
      <c r="H418" t="s">
        <v>50</v>
      </c>
      <c r="J418" s="4" t="str">
        <v>CUST1414</v>
      </c>
      <c r="K418" s="4" t="str">
        <v>Melissa Valentine</v>
      </c>
      <c r="L418" s="4" t="str">
        <v>35</v>
      </c>
      <c r="M418" s="4" t="str">
        <v>Female</v>
      </c>
      <c r="N418" s="4" t="str">
        <v>East Patriciafort</v>
      </c>
      <c r="O418" s="4" t="str">
        <v>Missouri</v>
      </c>
      <c r="P418" s="4" t="str">
        <v>USA</v>
      </c>
      <c r="Q418" s="4" t="str">
        <v>Gold</v>
      </c>
      <c r="S418" s="4" t="str">
        <v>CUST1414</v>
      </c>
      <c r="T418" s="4" t="str">
        <v>MELISSA VALENTINE</v>
      </c>
      <c r="U418" s="4" t="str">
        <v>35</v>
      </c>
      <c r="V418" s="4" t="str">
        <v>FEMALE</v>
      </c>
      <c r="W418" s="4" t="str">
        <v>EAST PATRICIAFORT</v>
      </c>
      <c r="X418" s="4" t="str">
        <v>MISSOURI</v>
      </c>
      <c r="Y418" s="4" t="str">
        <v>USA</v>
      </c>
      <c r="Z418" s="4" t="str">
        <v>GOLD</v>
      </c>
    </row>
    <row r="419" spans="1:26" x14ac:dyDescent="0.25">
      <c r="A419" t="s">
        <v>1301</v>
      </c>
      <c r="B419" t="s">
        <v>1302</v>
      </c>
      <c r="C419">
        <v>26</v>
      </c>
      <c r="D419" t="s">
        <v>16</v>
      </c>
      <c r="E419" t="s">
        <v>1303</v>
      </c>
      <c r="F419" t="s">
        <v>167</v>
      </c>
      <c r="G419" t="s">
        <v>13</v>
      </c>
      <c r="H419" t="s">
        <v>33</v>
      </c>
      <c r="J419" s="4" t="str">
        <v>CUST1415</v>
      </c>
      <c r="K419" s="4" t="str">
        <v>Tyler Cook</v>
      </c>
      <c r="L419" s="4" t="str">
        <v>26</v>
      </c>
      <c r="M419" s="4" t="str">
        <v>Female</v>
      </c>
      <c r="N419" s="4" t="str">
        <v>Kramerview</v>
      </c>
      <c r="O419" s="4" t="str">
        <v>Alaska</v>
      </c>
      <c r="P419" s="4" t="str">
        <v>USA</v>
      </c>
      <c r="Q419" s="4" t="str">
        <v>Silver</v>
      </c>
      <c r="S419" s="4" t="str">
        <v>CUST1415</v>
      </c>
      <c r="T419" s="4" t="str">
        <v>TYLER COOK</v>
      </c>
      <c r="U419" s="4" t="str">
        <v>26</v>
      </c>
      <c r="V419" s="4" t="str">
        <v>FEMALE</v>
      </c>
      <c r="W419" s="4" t="str">
        <v>KRAMERVIEW</v>
      </c>
      <c r="X419" s="4" t="str">
        <v>ALASKA</v>
      </c>
      <c r="Y419" s="4" t="str">
        <v>USA</v>
      </c>
      <c r="Z419" s="4" t="str">
        <v>SILVER</v>
      </c>
    </row>
    <row r="420" spans="1:26" x14ac:dyDescent="0.25">
      <c r="A420" t="s">
        <v>1304</v>
      </c>
      <c r="B420" t="s">
        <v>1305</v>
      </c>
      <c r="C420">
        <v>46</v>
      </c>
      <c r="D420" t="s">
        <v>10</v>
      </c>
      <c r="E420" t="s">
        <v>1306</v>
      </c>
      <c r="F420" t="s">
        <v>328</v>
      </c>
      <c r="G420" t="s">
        <v>13</v>
      </c>
      <c r="H420" t="s">
        <v>19</v>
      </c>
      <c r="J420" s="4" t="str">
        <v>CUST1416</v>
      </c>
      <c r="K420" s="4" t="str">
        <v>Jennifer Myers</v>
      </c>
      <c r="L420" s="4" t="str">
        <v>46</v>
      </c>
      <c r="M420" s="4" t="str">
        <v>Male</v>
      </c>
      <c r="N420" s="4" t="str">
        <v>Marthaborough</v>
      </c>
      <c r="O420" s="4" t="str">
        <v>Wisconsin</v>
      </c>
      <c r="P420" s="4" t="str">
        <v>USA</v>
      </c>
      <c r="Q420" s="4" t="str">
        <v>Platinum</v>
      </c>
      <c r="S420" s="4" t="str">
        <v>CUST1416</v>
      </c>
      <c r="T420" s="4" t="str">
        <v>JENNIFER MYERS</v>
      </c>
      <c r="U420" s="4" t="str">
        <v>46</v>
      </c>
      <c r="V420" s="4" t="str">
        <v>MALE</v>
      </c>
      <c r="W420" s="4" t="str">
        <v>MARTHABOROUGH</v>
      </c>
      <c r="X420" s="4" t="str">
        <v>WISCONSIN</v>
      </c>
      <c r="Y420" s="4" t="str">
        <v>USA</v>
      </c>
      <c r="Z420" s="4" t="str">
        <v>PLATINUM</v>
      </c>
    </row>
    <row r="421" spans="1:26" x14ac:dyDescent="0.25">
      <c r="A421" t="s">
        <v>1307</v>
      </c>
      <c r="B421" t="s">
        <v>1308</v>
      </c>
      <c r="C421">
        <v>64</v>
      </c>
      <c r="D421" t="s">
        <v>16</v>
      </c>
      <c r="E421" t="s">
        <v>1309</v>
      </c>
      <c r="F421" t="s">
        <v>12</v>
      </c>
      <c r="G421" t="s">
        <v>13</v>
      </c>
      <c r="H421" t="s">
        <v>28</v>
      </c>
      <c r="J421" s="4" t="str">
        <v>CUST1417</v>
      </c>
      <c r="K421" s="4" t="str">
        <v>Karen King</v>
      </c>
      <c r="L421" s="4" t="str">
        <v>64</v>
      </c>
      <c r="M421" s="4" t="str">
        <v>Female</v>
      </c>
      <c r="N421" s="4" t="str">
        <v>Kimburgh</v>
      </c>
      <c r="O421" s="4" t="str">
        <v>North Carolina</v>
      </c>
      <c r="P421" s="4" t="str">
        <v>USA</v>
      </c>
      <c r="Q421" s="4" t="str">
        <v>Bronze</v>
      </c>
      <c r="S421" s="4" t="str">
        <v>CUST1417</v>
      </c>
      <c r="T421" s="4" t="str">
        <v>KAREN KING</v>
      </c>
      <c r="U421" s="4" t="str">
        <v>64</v>
      </c>
      <c r="V421" s="4" t="str">
        <v>FEMALE</v>
      </c>
      <c r="W421" s="4" t="str">
        <v>KIMBURGH</v>
      </c>
      <c r="X421" s="4" t="str">
        <v>NORTH CAROLINA</v>
      </c>
      <c r="Y421" s="4" t="str">
        <v>USA</v>
      </c>
      <c r="Z421" s="4" t="str">
        <v>BRONZE</v>
      </c>
    </row>
    <row r="422" spans="1:26" x14ac:dyDescent="0.25">
      <c r="A422" t="s">
        <v>1310</v>
      </c>
      <c r="B422" t="s">
        <v>1311</v>
      </c>
      <c r="C422">
        <v>60</v>
      </c>
      <c r="D422" t="s">
        <v>16</v>
      </c>
      <c r="E422" t="s">
        <v>1312</v>
      </c>
      <c r="F422" t="s">
        <v>49</v>
      </c>
      <c r="G422" t="s">
        <v>13</v>
      </c>
      <c r="H422" t="s">
        <v>33</v>
      </c>
      <c r="J422" s="4" t="str">
        <v>CUST1418</v>
      </c>
      <c r="K422" s="4" t="str">
        <v>Luke Parks</v>
      </c>
      <c r="L422" s="4" t="str">
        <v>60</v>
      </c>
      <c r="M422" s="4" t="str">
        <v>Female</v>
      </c>
      <c r="N422" s="4" t="str">
        <v>West Mario</v>
      </c>
      <c r="O422" s="4" t="str">
        <v>New Hampshire</v>
      </c>
      <c r="P422" s="4" t="str">
        <v>USA</v>
      </c>
      <c r="Q422" s="4" t="str">
        <v>Silver</v>
      </c>
      <c r="S422" s="4" t="str">
        <v>CUST1418</v>
      </c>
      <c r="T422" s="4" t="str">
        <v>LUKE PARKS</v>
      </c>
      <c r="U422" s="4" t="str">
        <v>60</v>
      </c>
      <c r="V422" s="4" t="str">
        <v>FEMALE</v>
      </c>
      <c r="W422" s="4" t="str">
        <v>WEST MARIO</v>
      </c>
      <c r="X422" s="4" t="str">
        <v>NEW HAMPSHIRE</v>
      </c>
      <c r="Y422" s="4" t="str">
        <v>USA</v>
      </c>
      <c r="Z422" s="4" t="str">
        <v>SILVER</v>
      </c>
    </row>
    <row r="423" spans="1:26" x14ac:dyDescent="0.25">
      <c r="A423" t="s">
        <v>1313</v>
      </c>
      <c r="B423" t="s">
        <v>1314</v>
      </c>
      <c r="C423">
        <v>33</v>
      </c>
      <c r="D423" t="s">
        <v>10</v>
      </c>
      <c r="E423" t="s">
        <v>1315</v>
      </c>
      <c r="F423" t="s">
        <v>317</v>
      </c>
      <c r="G423" t="s">
        <v>13</v>
      </c>
      <c r="H423" t="s">
        <v>50</v>
      </c>
      <c r="J423" s="4" t="str">
        <v>CUST1419</v>
      </c>
      <c r="K423" s="4" t="str">
        <v>Monica Miller</v>
      </c>
      <c r="L423" s="4" t="str">
        <v>33</v>
      </c>
      <c r="M423" s="4" t="str">
        <v>Male</v>
      </c>
      <c r="N423" s="4" t="str">
        <v>Lake David</v>
      </c>
      <c r="O423" s="4" t="str">
        <v>Mississippi</v>
      </c>
      <c r="P423" s="4" t="str">
        <v>USA</v>
      </c>
      <c r="Q423" s="4" t="str">
        <v>Gold</v>
      </c>
      <c r="S423" s="4" t="str">
        <v>CUST1419</v>
      </c>
      <c r="T423" s="4" t="str">
        <v>MONICA MILLER</v>
      </c>
      <c r="U423" s="4" t="str">
        <v>33</v>
      </c>
      <c r="V423" s="4" t="str">
        <v>MALE</v>
      </c>
      <c r="W423" s="4" t="str">
        <v>LAKE DAVID</v>
      </c>
      <c r="X423" s="4" t="str">
        <v>MISSISSIPPI</v>
      </c>
      <c r="Y423" s="4" t="str">
        <v>USA</v>
      </c>
      <c r="Z423" s="4" t="str">
        <v>GOLD</v>
      </c>
    </row>
    <row r="424" spans="1:26" x14ac:dyDescent="0.25">
      <c r="A424" t="s">
        <v>1316</v>
      </c>
      <c r="B424" t="s">
        <v>1317</v>
      </c>
      <c r="C424">
        <v>60</v>
      </c>
      <c r="D424" t="s">
        <v>10</v>
      </c>
      <c r="E424" t="s">
        <v>1318</v>
      </c>
      <c r="F424" t="s">
        <v>12</v>
      </c>
      <c r="G424" t="s">
        <v>13</v>
      </c>
      <c r="H424" t="s">
        <v>28</v>
      </c>
      <c r="J424" s="4" t="str">
        <v>CUST1420</v>
      </c>
      <c r="K424" s="4" t="str">
        <v>Dr. Tamara White MD</v>
      </c>
      <c r="L424" s="4" t="str">
        <v>60</v>
      </c>
      <c r="M424" s="4" t="str">
        <v>Male</v>
      </c>
      <c r="N424" s="4" t="str">
        <v>New Benjamin</v>
      </c>
      <c r="O424" s="4" t="str">
        <v>North Carolina</v>
      </c>
      <c r="P424" s="4" t="str">
        <v>USA</v>
      </c>
      <c r="Q424" s="4" t="str">
        <v>Bronze</v>
      </c>
      <c r="S424" s="4" t="str">
        <v>CUST1420</v>
      </c>
      <c r="T424" s="4" t="str">
        <v>DR. TAMARA WHITE MD</v>
      </c>
      <c r="U424" s="4" t="str">
        <v>60</v>
      </c>
      <c r="V424" s="4" t="str">
        <v>MALE</v>
      </c>
      <c r="W424" s="4" t="str">
        <v>NEW BENJAMIN</v>
      </c>
      <c r="X424" s="4" t="str">
        <v>NORTH CAROLINA</v>
      </c>
      <c r="Y424" s="4" t="str">
        <v>USA</v>
      </c>
      <c r="Z424" s="4" t="str">
        <v>BRONZE</v>
      </c>
    </row>
    <row r="425" spans="1:26" x14ac:dyDescent="0.25">
      <c r="A425" t="s">
        <v>1319</v>
      </c>
      <c r="B425" t="s">
        <v>1320</v>
      </c>
      <c r="C425">
        <v>45</v>
      </c>
      <c r="D425" t="s">
        <v>16</v>
      </c>
      <c r="E425" t="s">
        <v>1321</v>
      </c>
      <c r="F425" t="s">
        <v>77</v>
      </c>
      <c r="G425" t="s">
        <v>13</v>
      </c>
      <c r="H425" t="s">
        <v>19</v>
      </c>
      <c r="J425" s="4" t="str">
        <v>CUST1421</v>
      </c>
      <c r="K425" s="4" t="str">
        <v>Holly Robinson</v>
      </c>
      <c r="L425" s="4" t="str">
        <v>45</v>
      </c>
      <c r="M425" s="4" t="str">
        <v>Female</v>
      </c>
      <c r="N425" s="4" t="str">
        <v>East Amy</v>
      </c>
      <c r="O425" s="4" t="str">
        <v>Washington</v>
      </c>
      <c r="P425" s="4" t="str">
        <v>USA</v>
      </c>
      <c r="Q425" s="4" t="str">
        <v>Platinum</v>
      </c>
      <c r="S425" s="4" t="str">
        <v>CUST1421</v>
      </c>
      <c r="T425" s="4" t="str">
        <v>HOLLY ROBINSON</v>
      </c>
      <c r="U425" s="4" t="str">
        <v>45</v>
      </c>
      <c r="V425" s="4" t="str">
        <v>FEMALE</v>
      </c>
      <c r="W425" s="4" t="str">
        <v>EAST AMY</v>
      </c>
      <c r="X425" s="4" t="str">
        <v>WASHINGTON</v>
      </c>
      <c r="Y425" s="4" t="str">
        <v>USA</v>
      </c>
      <c r="Z425" s="4" t="str">
        <v>PLATINUM</v>
      </c>
    </row>
    <row r="426" spans="1:26" x14ac:dyDescent="0.25">
      <c r="A426" t="s">
        <v>1322</v>
      </c>
      <c r="B426" t="s">
        <v>1323</v>
      </c>
      <c r="C426">
        <v>42</v>
      </c>
      <c r="D426" t="s">
        <v>16</v>
      </c>
      <c r="E426" t="s">
        <v>1324</v>
      </c>
      <c r="F426" t="s">
        <v>65</v>
      </c>
      <c r="G426" t="s">
        <v>13</v>
      </c>
      <c r="H426" t="s">
        <v>19</v>
      </c>
      <c r="J426" s="4" t="str">
        <v>CUST1422</v>
      </c>
      <c r="K426" s="4" t="str">
        <v>Brittany Edwards DDS</v>
      </c>
      <c r="L426" s="4" t="str">
        <v>42</v>
      </c>
      <c r="M426" s="4" t="str">
        <v>Female</v>
      </c>
      <c r="N426" s="4" t="str">
        <v>Aliciahaven</v>
      </c>
      <c r="O426" s="4" t="str">
        <v>Kansas</v>
      </c>
      <c r="P426" s="4" t="str">
        <v>USA</v>
      </c>
      <c r="Q426" s="4" t="str">
        <v>Platinum</v>
      </c>
      <c r="S426" s="4" t="str">
        <v>CUST1422</v>
      </c>
      <c r="T426" s="4" t="str">
        <v>BRITTANY EDWARDS DDS</v>
      </c>
      <c r="U426" s="4" t="str">
        <v>42</v>
      </c>
      <c r="V426" s="4" t="str">
        <v>FEMALE</v>
      </c>
      <c r="W426" s="4" t="str">
        <v>ALICIAHAVEN</v>
      </c>
      <c r="X426" s="4" t="str">
        <v>KANSAS</v>
      </c>
      <c r="Y426" s="4" t="str">
        <v>USA</v>
      </c>
      <c r="Z426" s="4" t="str">
        <v>PLATINUM</v>
      </c>
    </row>
    <row r="427" spans="1:26" x14ac:dyDescent="0.25">
      <c r="A427" t="s">
        <v>1325</v>
      </c>
      <c r="B427" t="s">
        <v>1326</v>
      </c>
      <c r="C427">
        <v>35</v>
      </c>
      <c r="D427" t="s">
        <v>10</v>
      </c>
      <c r="E427" t="s">
        <v>1327</v>
      </c>
      <c r="F427" t="s">
        <v>65</v>
      </c>
      <c r="G427" t="s">
        <v>13</v>
      </c>
      <c r="H427" t="s">
        <v>33</v>
      </c>
      <c r="J427" s="4" t="str">
        <v>CUST1423</v>
      </c>
      <c r="K427" s="4" t="str">
        <v>Rebecca Baker</v>
      </c>
      <c r="L427" s="4" t="str">
        <v>35</v>
      </c>
      <c r="M427" s="4" t="str">
        <v>Male</v>
      </c>
      <c r="N427" s="4" t="str">
        <v>New Katherine</v>
      </c>
      <c r="O427" s="4" t="str">
        <v>Kansas</v>
      </c>
      <c r="P427" s="4" t="str">
        <v>USA</v>
      </c>
      <c r="Q427" s="4" t="str">
        <v>Silver</v>
      </c>
      <c r="S427" s="4" t="str">
        <v>CUST1423</v>
      </c>
      <c r="T427" s="4" t="str">
        <v>REBECCA BAKER</v>
      </c>
      <c r="U427" s="4" t="str">
        <v>35</v>
      </c>
      <c r="V427" s="4" t="str">
        <v>MALE</v>
      </c>
      <c r="W427" s="4" t="str">
        <v>NEW KATHERINE</v>
      </c>
      <c r="X427" s="4" t="str">
        <v>KANSAS</v>
      </c>
      <c r="Y427" s="4" t="str">
        <v>USA</v>
      </c>
      <c r="Z427" s="4" t="str">
        <v>SILVER</v>
      </c>
    </row>
    <row r="428" spans="1:26" x14ac:dyDescent="0.25">
      <c r="A428" t="s">
        <v>1328</v>
      </c>
      <c r="B428" t="s">
        <v>1329</v>
      </c>
      <c r="C428">
        <v>53</v>
      </c>
      <c r="D428" t="s">
        <v>10</v>
      </c>
      <c r="E428" t="s">
        <v>1330</v>
      </c>
      <c r="F428" t="s">
        <v>12</v>
      </c>
      <c r="G428" t="s">
        <v>13</v>
      </c>
      <c r="H428" t="s">
        <v>28</v>
      </c>
      <c r="J428" s="4" t="str">
        <v>CUST1424</v>
      </c>
      <c r="K428" s="4" t="str">
        <v>Edwin Barnes</v>
      </c>
      <c r="L428" s="4" t="str">
        <v>53</v>
      </c>
      <c r="M428" s="4" t="str">
        <v>Male</v>
      </c>
      <c r="N428" s="4" t="str">
        <v>Lake Alexandra</v>
      </c>
      <c r="O428" s="4" t="str">
        <v>North Carolina</v>
      </c>
      <c r="P428" s="4" t="str">
        <v>USA</v>
      </c>
      <c r="Q428" s="4" t="str">
        <v>Bronze</v>
      </c>
      <c r="S428" s="4" t="str">
        <v>CUST1424</v>
      </c>
      <c r="T428" s="4" t="str">
        <v>EDWIN BARNES</v>
      </c>
      <c r="U428" s="4" t="str">
        <v>53</v>
      </c>
      <c r="V428" s="4" t="str">
        <v>MALE</v>
      </c>
      <c r="W428" s="4" t="str">
        <v>LAKE ALEXANDRA</v>
      </c>
      <c r="X428" s="4" t="str">
        <v>NORTH CAROLINA</v>
      </c>
      <c r="Y428" s="4" t="str">
        <v>USA</v>
      </c>
      <c r="Z428" s="4" t="str">
        <v>BRONZE</v>
      </c>
    </row>
    <row r="429" spans="1:26" x14ac:dyDescent="0.25">
      <c r="A429" t="s">
        <v>1331</v>
      </c>
      <c r="B429" t="s">
        <v>1332</v>
      </c>
      <c r="C429">
        <v>40</v>
      </c>
      <c r="D429" t="s">
        <v>10</v>
      </c>
      <c r="E429" t="s">
        <v>1333</v>
      </c>
      <c r="F429" t="s">
        <v>121</v>
      </c>
      <c r="G429" t="s">
        <v>13</v>
      </c>
      <c r="H429" t="s">
        <v>28</v>
      </c>
      <c r="J429" s="4" t="str">
        <v>CUST1425</v>
      </c>
      <c r="K429" s="4" t="str">
        <v>Bryce Hawkins</v>
      </c>
      <c r="L429" s="4" t="str">
        <v>40</v>
      </c>
      <c r="M429" s="4" t="str">
        <v>Male</v>
      </c>
      <c r="N429" s="4" t="str">
        <v>Lake Monique</v>
      </c>
      <c r="O429" s="4" t="str">
        <v>Utah</v>
      </c>
      <c r="P429" s="4" t="str">
        <v>USA</v>
      </c>
      <c r="Q429" s="4" t="str">
        <v>Bronze</v>
      </c>
      <c r="S429" s="4" t="str">
        <v>CUST1425</v>
      </c>
      <c r="T429" s="4" t="str">
        <v>BRYCE HAWKINS</v>
      </c>
      <c r="U429" s="4" t="str">
        <v>40</v>
      </c>
      <c r="V429" s="4" t="str">
        <v>MALE</v>
      </c>
      <c r="W429" s="4" t="str">
        <v>LAKE MONIQUE</v>
      </c>
      <c r="X429" s="4" t="str">
        <v>UTAH</v>
      </c>
      <c r="Y429" s="4" t="str">
        <v>USA</v>
      </c>
      <c r="Z429" s="4" t="str">
        <v>BRONZE</v>
      </c>
    </row>
    <row r="430" spans="1:26" x14ac:dyDescent="0.25">
      <c r="A430" t="s">
        <v>1334</v>
      </c>
      <c r="B430" t="s">
        <v>1335</v>
      </c>
      <c r="C430">
        <v>28</v>
      </c>
      <c r="D430" t="s">
        <v>10</v>
      </c>
      <c r="E430" t="s">
        <v>1336</v>
      </c>
      <c r="F430" t="s">
        <v>12</v>
      </c>
      <c r="G430" t="s">
        <v>13</v>
      </c>
      <c r="H430" t="s">
        <v>19</v>
      </c>
      <c r="J430" s="4" t="str">
        <v>CUST1426</v>
      </c>
      <c r="K430" s="4" t="str">
        <v>Jeanette Nichols</v>
      </c>
      <c r="L430" s="4" t="str">
        <v>28</v>
      </c>
      <c r="M430" s="4" t="str">
        <v>Male</v>
      </c>
      <c r="N430" s="4" t="str">
        <v>Aguilarland</v>
      </c>
      <c r="O430" s="4" t="str">
        <v>North Carolina</v>
      </c>
      <c r="P430" s="4" t="str">
        <v>USA</v>
      </c>
      <c r="Q430" s="4" t="str">
        <v>Platinum</v>
      </c>
      <c r="S430" s="4" t="str">
        <v>CUST1426</v>
      </c>
      <c r="T430" s="4" t="str">
        <v>JEANETTE NICHOLS</v>
      </c>
      <c r="U430" s="4" t="str">
        <v>28</v>
      </c>
      <c r="V430" s="4" t="str">
        <v>MALE</v>
      </c>
      <c r="W430" s="4" t="str">
        <v>AGUILARLAND</v>
      </c>
      <c r="X430" s="4" t="str">
        <v>NORTH CAROLINA</v>
      </c>
      <c r="Y430" s="4" t="str">
        <v>USA</v>
      </c>
      <c r="Z430" s="4" t="str">
        <v>PLATINUM</v>
      </c>
    </row>
    <row r="431" spans="1:26" x14ac:dyDescent="0.25">
      <c r="A431" t="s">
        <v>1337</v>
      </c>
      <c r="B431" t="s">
        <v>1338</v>
      </c>
      <c r="C431">
        <v>18</v>
      </c>
      <c r="D431" t="s">
        <v>16</v>
      </c>
      <c r="E431" t="s">
        <v>1339</v>
      </c>
      <c r="F431" t="s">
        <v>439</v>
      </c>
      <c r="G431" t="s">
        <v>13</v>
      </c>
      <c r="H431" t="s">
        <v>50</v>
      </c>
      <c r="J431" s="4" t="str">
        <v>CUST1427</v>
      </c>
      <c r="K431" s="4" t="str">
        <v>Jose Stewart</v>
      </c>
      <c r="L431" s="4" t="str">
        <v>18</v>
      </c>
      <c r="M431" s="4" t="str">
        <v>Female</v>
      </c>
      <c r="N431" s="4" t="str">
        <v>South Robert</v>
      </c>
      <c r="O431" s="4" t="str">
        <v>Maine</v>
      </c>
      <c r="P431" s="4" t="str">
        <v>USA</v>
      </c>
      <c r="Q431" s="4" t="str">
        <v>Gold</v>
      </c>
      <c r="S431" s="4" t="str">
        <v>CUST1427</v>
      </c>
      <c r="T431" s="4" t="str">
        <v>JOSE STEWART</v>
      </c>
      <c r="U431" s="4" t="str">
        <v>18</v>
      </c>
      <c r="V431" s="4" t="str">
        <v>FEMALE</v>
      </c>
      <c r="W431" s="4" t="str">
        <v>SOUTH ROBERT</v>
      </c>
      <c r="X431" s="4" t="str">
        <v>MAINE</v>
      </c>
      <c r="Y431" s="4" t="str">
        <v>USA</v>
      </c>
      <c r="Z431" s="4" t="str">
        <v>GOLD</v>
      </c>
    </row>
    <row r="432" spans="1:26" x14ac:dyDescent="0.25">
      <c r="A432" t="s">
        <v>1340</v>
      </c>
      <c r="B432" t="s">
        <v>1341</v>
      </c>
      <c r="C432">
        <v>27</v>
      </c>
      <c r="D432" t="s">
        <v>16</v>
      </c>
      <c r="E432" t="s">
        <v>1342</v>
      </c>
      <c r="F432" t="s">
        <v>332</v>
      </c>
      <c r="G432" t="s">
        <v>13</v>
      </c>
      <c r="H432" t="s">
        <v>28</v>
      </c>
      <c r="J432" s="4" t="str">
        <v>CUST1428</v>
      </c>
      <c r="K432" s="4" t="str">
        <v>Samuel Mullins</v>
      </c>
      <c r="L432" s="4" t="str">
        <v>27</v>
      </c>
      <c r="M432" s="4" t="str">
        <v>Female</v>
      </c>
      <c r="N432" s="4" t="str">
        <v>Hartmouth</v>
      </c>
      <c r="O432" s="4" t="str">
        <v>Louisiana</v>
      </c>
      <c r="P432" s="4" t="str">
        <v>USA</v>
      </c>
      <c r="Q432" s="4" t="str">
        <v>Bronze</v>
      </c>
      <c r="S432" s="4" t="str">
        <v>CUST1428</v>
      </c>
      <c r="T432" s="4" t="str">
        <v>SAMUEL MULLINS</v>
      </c>
      <c r="U432" s="4" t="str">
        <v>27</v>
      </c>
      <c r="V432" s="4" t="str">
        <v>FEMALE</v>
      </c>
      <c r="W432" s="4" t="str">
        <v>HARTMOUTH</v>
      </c>
      <c r="X432" s="4" t="str">
        <v>LOUISIANA</v>
      </c>
      <c r="Y432" s="4" t="str">
        <v>USA</v>
      </c>
      <c r="Z432" s="4" t="str">
        <v>BRONZE</v>
      </c>
    </row>
    <row r="433" spans="1:26" x14ac:dyDescent="0.25">
      <c r="A433" t="s">
        <v>1343</v>
      </c>
      <c r="B433" t="s">
        <v>1344</v>
      </c>
      <c r="C433">
        <v>43</v>
      </c>
      <c r="D433" t="s">
        <v>10</v>
      </c>
      <c r="E433" t="s">
        <v>1345</v>
      </c>
      <c r="F433" t="s">
        <v>110</v>
      </c>
      <c r="G433" t="s">
        <v>13</v>
      </c>
      <c r="H433" t="s">
        <v>19</v>
      </c>
      <c r="J433" s="4" t="str">
        <v>CUST1429</v>
      </c>
      <c r="K433" s="4" t="str">
        <v>Sean Vang</v>
      </c>
      <c r="L433" s="4" t="str">
        <v>43</v>
      </c>
      <c r="M433" s="4" t="str">
        <v>Male</v>
      </c>
      <c r="N433" s="4" t="str">
        <v>Davidchester</v>
      </c>
      <c r="O433" s="4" t="str">
        <v>Idaho</v>
      </c>
      <c r="P433" s="4" t="str">
        <v>USA</v>
      </c>
      <c r="Q433" s="4" t="str">
        <v>Platinum</v>
      </c>
      <c r="S433" s="4" t="str">
        <v>CUST1429</v>
      </c>
      <c r="T433" s="4" t="str">
        <v>SEAN VANG</v>
      </c>
      <c r="U433" s="4" t="str">
        <v>43</v>
      </c>
      <c r="V433" s="4" t="str">
        <v>MALE</v>
      </c>
      <c r="W433" s="4" t="str">
        <v>DAVIDCHESTER</v>
      </c>
      <c r="X433" s="4" t="str">
        <v>IDAHO</v>
      </c>
      <c r="Y433" s="4" t="str">
        <v>USA</v>
      </c>
      <c r="Z433" s="4" t="str">
        <v>PLATINUM</v>
      </c>
    </row>
    <row r="434" spans="1:26" x14ac:dyDescent="0.25">
      <c r="A434" t="s">
        <v>1346</v>
      </c>
      <c r="B434" t="s">
        <v>1347</v>
      </c>
      <c r="C434">
        <v>36</v>
      </c>
      <c r="D434" t="s">
        <v>16</v>
      </c>
      <c r="E434" t="s">
        <v>1348</v>
      </c>
      <c r="F434" t="s">
        <v>91</v>
      </c>
      <c r="G434" t="s">
        <v>13</v>
      </c>
      <c r="H434" t="s">
        <v>50</v>
      </c>
      <c r="J434" s="4" t="str">
        <v>CUST1430</v>
      </c>
      <c r="K434" s="4" t="str">
        <v>Kimberly Roberts</v>
      </c>
      <c r="L434" s="4" t="str">
        <v>36</v>
      </c>
      <c r="M434" s="4" t="str">
        <v>Female</v>
      </c>
      <c r="N434" s="4" t="str">
        <v>Josephchester</v>
      </c>
      <c r="O434" s="4" t="str">
        <v>New Jersey</v>
      </c>
      <c r="P434" s="4" t="str">
        <v>USA</v>
      </c>
      <c r="Q434" s="4" t="str">
        <v>Gold</v>
      </c>
      <c r="S434" s="4" t="str">
        <v>CUST1430</v>
      </c>
      <c r="T434" s="4" t="str">
        <v>KIMBERLY ROBERTS</v>
      </c>
      <c r="U434" s="4" t="str">
        <v>36</v>
      </c>
      <c r="V434" s="4" t="str">
        <v>FEMALE</v>
      </c>
      <c r="W434" s="4" t="str">
        <v>JOSEPHCHESTER</v>
      </c>
      <c r="X434" s="4" t="str">
        <v>NEW JERSEY</v>
      </c>
      <c r="Y434" s="4" t="str">
        <v>USA</v>
      </c>
      <c r="Z434" s="4" t="str">
        <v>GOLD</v>
      </c>
    </row>
    <row r="435" spans="1:26" x14ac:dyDescent="0.25">
      <c r="A435" t="s">
        <v>1349</v>
      </c>
      <c r="B435" t="s">
        <v>1350</v>
      </c>
      <c r="C435">
        <v>27</v>
      </c>
      <c r="D435" t="s">
        <v>10</v>
      </c>
      <c r="E435" t="s">
        <v>1351</v>
      </c>
      <c r="F435" t="s">
        <v>32</v>
      </c>
      <c r="G435" t="s">
        <v>13</v>
      </c>
      <c r="H435" t="s">
        <v>19</v>
      </c>
      <c r="J435" s="4" t="str">
        <v>CUST1431</v>
      </c>
      <c r="K435" s="4" t="str">
        <v>John Smith</v>
      </c>
      <c r="L435" s="4" t="str">
        <v>27</v>
      </c>
      <c r="M435" s="4" t="str">
        <v>Male</v>
      </c>
      <c r="N435" s="4" t="str">
        <v>South Andrewport</v>
      </c>
      <c r="O435" s="4" t="str">
        <v>California</v>
      </c>
      <c r="P435" s="4" t="str">
        <v>USA</v>
      </c>
      <c r="Q435" s="4" t="str">
        <v>Platinum</v>
      </c>
      <c r="S435" s="4" t="str">
        <v>CUST1431</v>
      </c>
      <c r="T435" s="4" t="str">
        <v>JOHN SMITH</v>
      </c>
      <c r="U435" s="4" t="str">
        <v>27</v>
      </c>
      <c r="V435" s="4" t="str">
        <v>MALE</v>
      </c>
      <c r="W435" s="4" t="str">
        <v>SOUTH ANDREWPORT</v>
      </c>
      <c r="X435" s="4" t="str">
        <v>CALIFORNIA</v>
      </c>
      <c r="Y435" s="4" t="str">
        <v>USA</v>
      </c>
      <c r="Z435" s="4" t="str">
        <v>PLATINUM</v>
      </c>
    </row>
    <row r="436" spans="1:26" x14ac:dyDescent="0.25">
      <c r="A436" t="s">
        <v>1352</v>
      </c>
      <c r="B436" t="s">
        <v>1353</v>
      </c>
      <c r="C436">
        <v>37</v>
      </c>
      <c r="D436" t="s">
        <v>10</v>
      </c>
      <c r="E436" t="s">
        <v>1354</v>
      </c>
      <c r="F436" t="s">
        <v>91</v>
      </c>
      <c r="G436" t="s">
        <v>13</v>
      </c>
      <c r="H436" t="s">
        <v>28</v>
      </c>
      <c r="J436" s="4" t="str">
        <v>CUST1432</v>
      </c>
      <c r="K436" s="4" t="str">
        <v>Summer Weiss</v>
      </c>
      <c r="L436" s="4" t="str">
        <v>37</v>
      </c>
      <c r="M436" s="4" t="str">
        <v>Male</v>
      </c>
      <c r="N436" s="4" t="str">
        <v>Phyllisport</v>
      </c>
      <c r="O436" s="4" t="str">
        <v>New Jersey</v>
      </c>
      <c r="P436" s="4" t="str">
        <v>USA</v>
      </c>
      <c r="Q436" s="4" t="str">
        <v>Bronze</v>
      </c>
      <c r="S436" s="4" t="str">
        <v>CUST1432</v>
      </c>
      <c r="T436" s="4" t="str">
        <v>SUMMER WEISS</v>
      </c>
      <c r="U436" s="4" t="str">
        <v>37</v>
      </c>
      <c r="V436" s="4" t="str">
        <v>MALE</v>
      </c>
      <c r="W436" s="4" t="str">
        <v>PHYLLISPORT</v>
      </c>
      <c r="X436" s="4" t="str">
        <v>NEW JERSEY</v>
      </c>
      <c r="Y436" s="4" t="str">
        <v>USA</v>
      </c>
      <c r="Z436" s="4" t="str">
        <v>BRONZE</v>
      </c>
    </row>
    <row r="437" spans="1:26" x14ac:dyDescent="0.25">
      <c r="A437" t="s">
        <v>1355</v>
      </c>
      <c r="B437" t="s">
        <v>1356</v>
      </c>
      <c r="C437">
        <v>51</v>
      </c>
      <c r="D437" t="s">
        <v>16</v>
      </c>
      <c r="E437" t="s">
        <v>1357</v>
      </c>
      <c r="F437" t="s">
        <v>61</v>
      </c>
      <c r="G437" t="s">
        <v>13</v>
      </c>
      <c r="H437" t="s">
        <v>33</v>
      </c>
      <c r="J437" s="4" t="str">
        <v>CUST1433</v>
      </c>
      <c r="K437" s="4" t="str">
        <v>Thomas Moore</v>
      </c>
      <c r="L437" s="4" t="str">
        <v>51</v>
      </c>
      <c r="M437" s="4" t="str">
        <v>Female</v>
      </c>
      <c r="N437" s="4" t="str">
        <v>Williamsberg</v>
      </c>
      <c r="O437" s="4" t="str">
        <v>New York</v>
      </c>
      <c r="P437" s="4" t="str">
        <v>USA</v>
      </c>
      <c r="Q437" s="4" t="str">
        <v>Silver</v>
      </c>
      <c r="S437" s="4" t="str">
        <v>CUST1433</v>
      </c>
      <c r="T437" s="4" t="str">
        <v>THOMAS MOORE</v>
      </c>
      <c r="U437" s="4" t="str">
        <v>51</v>
      </c>
      <c r="V437" s="4" t="str">
        <v>FEMALE</v>
      </c>
      <c r="W437" s="4" t="str">
        <v>WILLIAMSBERG</v>
      </c>
      <c r="X437" s="4" t="str">
        <v>NEW YORK</v>
      </c>
      <c r="Y437" s="4" t="str">
        <v>USA</v>
      </c>
      <c r="Z437" s="4" t="str">
        <v>SILVER</v>
      </c>
    </row>
    <row r="438" spans="1:26" x14ac:dyDescent="0.25">
      <c r="A438" t="s">
        <v>1358</v>
      </c>
      <c r="B438" t="s">
        <v>1359</v>
      </c>
      <c r="C438">
        <v>48</v>
      </c>
      <c r="D438" t="s">
        <v>16</v>
      </c>
      <c r="E438" t="s">
        <v>1360</v>
      </c>
      <c r="F438" t="s">
        <v>258</v>
      </c>
      <c r="G438" t="s">
        <v>13</v>
      </c>
      <c r="H438" t="s">
        <v>50</v>
      </c>
      <c r="J438" s="4" t="str">
        <v>CUST1434</v>
      </c>
      <c r="K438" s="4" t="str">
        <v>Monique Castro</v>
      </c>
      <c r="L438" s="4" t="str">
        <v>48</v>
      </c>
      <c r="M438" s="4" t="str">
        <v>Female</v>
      </c>
      <c r="N438" s="4" t="str">
        <v>New Sarah</v>
      </c>
      <c r="O438" s="4" t="str">
        <v>Indiana</v>
      </c>
      <c r="P438" s="4" t="str">
        <v>USA</v>
      </c>
      <c r="Q438" s="4" t="str">
        <v>Gold</v>
      </c>
      <c r="S438" s="4" t="str">
        <v>CUST1434</v>
      </c>
      <c r="T438" s="4" t="str">
        <v>MONIQUE CASTRO</v>
      </c>
      <c r="U438" s="4" t="str">
        <v>48</v>
      </c>
      <c r="V438" s="4" t="str">
        <v>FEMALE</v>
      </c>
      <c r="W438" s="4" t="str">
        <v>NEW SARAH</v>
      </c>
      <c r="X438" s="4" t="str">
        <v>INDIANA</v>
      </c>
      <c r="Y438" s="4" t="str">
        <v>USA</v>
      </c>
      <c r="Z438" s="4" t="str">
        <v>GOLD</v>
      </c>
    </row>
    <row r="439" spans="1:26" x14ac:dyDescent="0.25">
      <c r="A439" t="s">
        <v>1361</v>
      </c>
      <c r="B439" t="s">
        <v>1362</v>
      </c>
      <c r="C439">
        <v>37</v>
      </c>
      <c r="D439" t="s">
        <v>16</v>
      </c>
      <c r="E439" t="s">
        <v>1363</v>
      </c>
      <c r="F439" t="s">
        <v>110</v>
      </c>
      <c r="G439" t="s">
        <v>13</v>
      </c>
      <c r="H439" t="s">
        <v>33</v>
      </c>
      <c r="J439" s="4" t="str">
        <v>CUST1435</v>
      </c>
      <c r="K439" s="4" t="str">
        <v>Lindsay Beasley</v>
      </c>
      <c r="L439" s="4" t="str">
        <v>37</v>
      </c>
      <c r="M439" s="4" t="str">
        <v>Female</v>
      </c>
      <c r="N439" s="4" t="str">
        <v>Wesleyhaven</v>
      </c>
      <c r="O439" s="4" t="str">
        <v>Idaho</v>
      </c>
      <c r="P439" s="4" t="str">
        <v>USA</v>
      </c>
      <c r="Q439" s="4" t="str">
        <v>Silver</v>
      </c>
      <c r="S439" s="4" t="str">
        <v>CUST1435</v>
      </c>
      <c r="T439" s="4" t="str">
        <v>LINDSAY BEASLEY</v>
      </c>
      <c r="U439" s="4" t="str">
        <v>37</v>
      </c>
      <c r="V439" s="4" t="str">
        <v>FEMALE</v>
      </c>
      <c r="W439" s="4" t="str">
        <v>WESLEYHAVEN</v>
      </c>
      <c r="X439" s="4" t="str">
        <v>IDAHO</v>
      </c>
      <c r="Y439" s="4" t="str">
        <v>USA</v>
      </c>
      <c r="Z439" s="4" t="str">
        <v>SILVER</v>
      </c>
    </row>
    <row r="440" spans="1:26" x14ac:dyDescent="0.25">
      <c r="A440" t="s">
        <v>1364</v>
      </c>
      <c r="B440" t="s">
        <v>1365</v>
      </c>
      <c r="C440">
        <v>61</v>
      </c>
      <c r="D440" t="s">
        <v>10</v>
      </c>
      <c r="E440" t="s">
        <v>1366</v>
      </c>
      <c r="F440" t="s">
        <v>41</v>
      </c>
      <c r="G440" t="s">
        <v>13</v>
      </c>
      <c r="H440" t="s">
        <v>50</v>
      </c>
      <c r="J440" s="4" t="str">
        <v>CUST1436</v>
      </c>
      <c r="K440" s="4" t="str">
        <v>Sharon Simpson</v>
      </c>
      <c r="L440" s="4" t="str">
        <v>61</v>
      </c>
      <c r="M440" s="4" t="str">
        <v>Male</v>
      </c>
      <c r="N440" s="4" t="str">
        <v>South Michellebury</v>
      </c>
      <c r="O440" s="4" t="str">
        <v>South Dakota</v>
      </c>
      <c r="P440" s="4" t="str">
        <v>USA</v>
      </c>
      <c r="Q440" s="4" t="str">
        <v>Gold</v>
      </c>
      <c r="S440" s="4" t="str">
        <v>CUST1436</v>
      </c>
      <c r="T440" s="4" t="str">
        <v>SHARON SIMPSON</v>
      </c>
      <c r="U440" s="4" t="str">
        <v>61</v>
      </c>
      <c r="V440" s="4" t="str">
        <v>MALE</v>
      </c>
      <c r="W440" s="4" t="str">
        <v>SOUTH MICHELLEBURY</v>
      </c>
      <c r="X440" s="4" t="str">
        <v>SOUTH DAKOTA</v>
      </c>
      <c r="Y440" s="4" t="str">
        <v>USA</v>
      </c>
      <c r="Z440" s="4" t="str">
        <v>GOLD</v>
      </c>
    </row>
    <row r="441" spans="1:26" x14ac:dyDescent="0.25">
      <c r="A441" t="s">
        <v>1367</v>
      </c>
      <c r="B441" t="s">
        <v>1368</v>
      </c>
      <c r="C441">
        <v>47</v>
      </c>
      <c r="D441" t="s">
        <v>16</v>
      </c>
      <c r="E441" t="s">
        <v>605</v>
      </c>
      <c r="F441" t="s">
        <v>49</v>
      </c>
      <c r="G441" t="s">
        <v>13</v>
      </c>
      <c r="H441" t="s">
        <v>19</v>
      </c>
      <c r="J441" s="4" t="str">
        <v>CUST1437</v>
      </c>
      <c r="K441" s="4" t="str">
        <v>Melinda Rivera</v>
      </c>
      <c r="L441" s="4" t="str">
        <v>47</v>
      </c>
      <c r="M441" s="4" t="str">
        <v>Female</v>
      </c>
      <c r="N441" s="4" t="str">
        <v>East Davidmouth</v>
      </c>
      <c r="O441" s="4" t="str">
        <v>New Hampshire</v>
      </c>
      <c r="P441" s="4" t="str">
        <v>USA</v>
      </c>
      <c r="Q441" s="4" t="str">
        <v>Platinum</v>
      </c>
      <c r="S441" s="4" t="str">
        <v>CUST1437</v>
      </c>
      <c r="T441" s="4" t="str">
        <v>MELINDA RIVERA</v>
      </c>
      <c r="U441" s="4" t="str">
        <v>47</v>
      </c>
      <c r="V441" s="4" t="str">
        <v>FEMALE</v>
      </c>
      <c r="W441" s="4" t="str">
        <v>EAST DAVIDMOUTH</v>
      </c>
      <c r="X441" s="4" t="str">
        <v>NEW HAMPSHIRE</v>
      </c>
      <c r="Y441" s="4" t="str">
        <v>USA</v>
      </c>
      <c r="Z441" s="4" t="str">
        <v>PLATINUM</v>
      </c>
    </row>
    <row r="442" spans="1:26" x14ac:dyDescent="0.25">
      <c r="A442" t="s">
        <v>1369</v>
      </c>
      <c r="B442" t="s">
        <v>1370</v>
      </c>
      <c r="C442">
        <v>59</v>
      </c>
      <c r="D442" t="s">
        <v>16</v>
      </c>
      <c r="E442" t="s">
        <v>1371</v>
      </c>
      <c r="F442" t="s">
        <v>241</v>
      </c>
      <c r="G442" t="s">
        <v>13</v>
      </c>
      <c r="H442" t="s">
        <v>19</v>
      </c>
      <c r="J442" s="4" t="str">
        <v>CUST1438</v>
      </c>
      <c r="K442" s="4" t="str">
        <v>Monica Flynn</v>
      </c>
      <c r="L442" s="4" t="str">
        <v>59</v>
      </c>
      <c r="M442" s="4" t="str">
        <v>Female</v>
      </c>
      <c r="N442" s="4" t="str">
        <v>Amberburgh</v>
      </c>
      <c r="O442" s="4" t="str">
        <v>Tennessee</v>
      </c>
      <c r="P442" s="4" t="str">
        <v>USA</v>
      </c>
      <c r="Q442" s="4" t="str">
        <v>Platinum</v>
      </c>
      <c r="S442" s="4" t="str">
        <v>CUST1438</v>
      </c>
      <c r="T442" s="4" t="str">
        <v>MONICA FLYNN</v>
      </c>
      <c r="U442" s="4" t="str">
        <v>59</v>
      </c>
      <c r="V442" s="4" t="str">
        <v>FEMALE</v>
      </c>
      <c r="W442" s="4" t="str">
        <v>AMBERBURGH</v>
      </c>
      <c r="X442" s="4" t="str">
        <v>TENNESSEE</v>
      </c>
      <c r="Y442" s="4" t="str">
        <v>USA</v>
      </c>
      <c r="Z442" s="4" t="str">
        <v>PLATINUM</v>
      </c>
    </row>
    <row r="443" spans="1:26" x14ac:dyDescent="0.25">
      <c r="A443" t="s">
        <v>1372</v>
      </c>
      <c r="B443" t="s">
        <v>1373</v>
      </c>
      <c r="C443">
        <v>53</v>
      </c>
      <c r="D443" t="s">
        <v>10</v>
      </c>
      <c r="E443" t="s">
        <v>942</v>
      </c>
      <c r="F443" t="s">
        <v>160</v>
      </c>
      <c r="G443" t="s">
        <v>13</v>
      </c>
      <c r="H443" t="s">
        <v>33</v>
      </c>
      <c r="J443" s="4" t="str">
        <v>CUST1439</v>
      </c>
      <c r="K443" s="4" t="str">
        <v>John Compton</v>
      </c>
      <c r="L443" s="4" t="str">
        <v>53</v>
      </c>
      <c r="M443" s="4" t="str">
        <v>Male</v>
      </c>
      <c r="N443" s="4" t="str">
        <v>North Daniel</v>
      </c>
      <c r="O443" s="4" t="str">
        <v>Michigan</v>
      </c>
      <c r="P443" s="4" t="str">
        <v>USA</v>
      </c>
      <c r="Q443" s="4" t="str">
        <v>Silver</v>
      </c>
      <c r="S443" s="4" t="str">
        <v>CUST1439</v>
      </c>
      <c r="T443" s="4" t="str">
        <v>JOHN COMPTON</v>
      </c>
      <c r="U443" s="4" t="str">
        <v>53</v>
      </c>
      <c r="V443" s="4" t="str">
        <v>MALE</v>
      </c>
      <c r="W443" s="4" t="str">
        <v>NORTH DANIEL</v>
      </c>
      <c r="X443" s="4" t="str">
        <v>MICHIGAN</v>
      </c>
      <c r="Y443" s="4" t="str">
        <v>USA</v>
      </c>
      <c r="Z443" s="4" t="str">
        <v>SILVER</v>
      </c>
    </row>
    <row r="444" spans="1:26" x14ac:dyDescent="0.25">
      <c r="A444" t="s">
        <v>1374</v>
      </c>
      <c r="B444" t="s">
        <v>1375</v>
      </c>
      <c r="C444">
        <v>60</v>
      </c>
      <c r="D444" t="s">
        <v>10</v>
      </c>
      <c r="E444" t="s">
        <v>1376</v>
      </c>
      <c r="F444" t="s">
        <v>18</v>
      </c>
      <c r="G444" t="s">
        <v>13</v>
      </c>
      <c r="H444" t="s">
        <v>33</v>
      </c>
      <c r="J444" s="4" t="str">
        <v>CUST1440</v>
      </c>
      <c r="K444" s="4" t="str">
        <v>Tammy Trevino</v>
      </c>
      <c r="L444" s="4" t="str">
        <v>60</v>
      </c>
      <c r="M444" s="4" t="str">
        <v>Male</v>
      </c>
      <c r="N444" s="4" t="str">
        <v>Justinberg</v>
      </c>
      <c r="O444" s="4" t="str">
        <v>North Dakota</v>
      </c>
      <c r="P444" s="4" t="str">
        <v>USA</v>
      </c>
      <c r="Q444" s="4" t="str">
        <v>Silver</v>
      </c>
      <c r="S444" s="4" t="str">
        <v>CUST1440</v>
      </c>
      <c r="T444" s="4" t="str">
        <v>TAMMY TREVINO</v>
      </c>
      <c r="U444" s="4" t="str">
        <v>60</v>
      </c>
      <c r="V444" s="4" t="str">
        <v>MALE</v>
      </c>
      <c r="W444" s="4" t="str">
        <v>JUSTINBERG</v>
      </c>
      <c r="X444" s="4" t="str">
        <v>NORTH DAKOTA</v>
      </c>
      <c r="Y444" s="4" t="str">
        <v>USA</v>
      </c>
      <c r="Z444" s="4" t="str">
        <v>SILVER</v>
      </c>
    </row>
    <row r="445" spans="1:26" x14ac:dyDescent="0.25">
      <c r="A445" t="s">
        <v>1377</v>
      </c>
      <c r="B445" t="s">
        <v>1378</v>
      </c>
      <c r="C445">
        <v>31</v>
      </c>
      <c r="D445" t="s">
        <v>10</v>
      </c>
      <c r="E445" t="s">
        <v>1379</v>
      </c>
      <c r="F445" t="s">
        <v>328</v>
      </c>
      <c r="G445" t="s">
        <v>13</v>
      </c>
      <c r="H445" t="s">
        <v>33</v>
      </c>
      <c r="J445" s="4" t="str">
        <v>CUST1441</v>
      </c>
      <c r="K445" s="4" t="str">
        <v>Dalton Walters</v>
      </c>
      <c r="L445" s="4" t="str">
        <v>31</v>
      </c>
      <c r="M445" s="4" t="str">
        <v>Male</v>
      </c>
      <c r="N445" s="4" t="str">
        <v>Jonesstad</v>
      </c>
      <c r="O445" s="4" t="str">
        <v>Wisconsin</v>
      </c>
      <c r="P445" s="4" t="str">
        <v>USA</v>
      </c>
      <c r="Q445" s="4" t="str">
        <v>Silver</v>
      </c>
      <c r="S445" s="4" t="str">
        <v>CUST1441</v>
      </c>
      <c r="T445" s="4" t="str">
        <v>DALTON WALTERS</v>
      </c>
      <c r="U445" s="4" t="str">
        <v>31</v>
      </c>
      <c r="V445" s="4" t="str">
        <v>MALE</v>
      </c>
      <c r="W445" s="4" t="str">
        <v>JONESSTAD</v>
      </c>
      <c r="X445" s="4" t="str">
        <v>WISCONSIN</v>
      </c>
      <c r="Y445" s="4" t="str">
        <v>USA</v>
      </c>
      <c r="Z445" s="4" t="str">
        <v>SILVER</v>
      </c>
    </row>
    <row r="446" spans="1:26" x14ac:dyDescent="0.25">
      <c r="A446" t="s">
        <v>1380</v>
      </c>
      <c r="B446" t="s">
        <v>1381</v>
      </c>
      <c r="C446">
        <v>42</v>
      </c>
      <c r="D446" t="s">
        <v>16</v>
      </c>
      <c r="E446" t="s">
        <v>1382</v>
      </c>
      <c r="F446" t="s">
        <v>37</v>
      </c>
      <c r="G446" t="s">
        <v>13</v>
      </c>
      <c r="H446" t="s">
        <v>28</v>
      </c>
      <c r="J446" s="4" t="str">
        <v>CUST1442</v>
      </c>
      <c r="K446" s="4" t="str">
        <v>Kelli Smith</v>
      </c>
      <c r="L446" s="4" t="str">
        <v>42</v>
      </c>
      <c r="M446" s="4" t="str">
        <v>Female</v>
      </c>
      <c r="N446" s="4" t="str">
        <v>North Maryfort</v>
      </c>
      <c r="O446" s="4" t="str">
        <v>Oregon</v>
      </c>
      <c r="P446" s="4" t="str">
        <v>USA</v>
      </c>
      <c r="Q446" s="4" t="str">
        <v>Bronze</v>
      </c>
      <c r="S446" s="4" t="str">
        <v>CUST1442</v>
      </c>
      <c r="T446" s="4" t="str">
        <v>KELLI SMITH</v>
      </c>
      <c r="U446" s="4" t="str">
        <v>42</v>
      </c>
      <c r="V446" s="4" t="str">
        <v>FEMALE</v>
      </c>
      <c r="W446" s="4" t="str">
        <v>NORTH MARYFORT</v>
      </c>
      <c r="X446" s="4" t="str">
        <v>OREGON</v>
      </c>
      <c r="Y446" s="4" t="str">
        <v>USA</v>
      </c>
      <c r="Z446" s="4" t="str">
        <v>BRONZE</v>
      </c>
    </row>
    <row r="447" spans="1:26" x14ac:dyDescent="0.25">
      <c r="A447" t="s">
        <v>1383</v>
      </c>
      <c r="B447" t="s">
        <v>1384</v>
      </c>
      <c r="C447">
        <v>51</v>
      </c>
      <c r="D447" t="s">
        <v>10</v>
      </c>
      <c r="E447" t="s">
        <v>1385</v>
      </c>
      <c r="F447" t="s">
        <v>363</v>
      </c>
      <c r="G447" t="s">
        <v>13</v>
      </c>
      <c r="H447" t="s">
        <v>33</v>
      </c>
      <c r="J447" s="4" t="str">
        <v>CUST1443</v>
      </c>
      <c r="K447" s="4" t="str">
        <v>Adam Castro</v>
      </c>
      <c r="L447" s="4" t="str">
        <v>51</v>
      </c>
      <c r="M447" s="4" t="str">
        <v>Male</v>
      </c>
      <c r="N447" s="4" t="str">
        <v>New Donnabury</v>
      </c>
      <c r="O447" s="4" t="str">
        <v>Texas</v>
      </c>
      <c r="P447" s="4" t="str">
        <v>USA</v>
      </c>
      <c r="Q447" s="4" t="str">
        <v>Silver</v>
      </c>
      <c r="S447" s="4" t="str">
        <v>CUST1443</v>
      </c>
      <c r="T447" s="4" t="str">
        <v>ADAM CASTRO</v>
      </c>
      <c r="U447" s="4" t="str">
        <v>51</v>
      </c>
      <c r="V447" s="4" t="str">
        <v>MALE</v>
      </c>
      <c r="W447" s="4" t="str">
        <v>NEW DONNABURY</v>
      </c>
      <c r="X447" s="4" t="str">
        <v>TEXAS</v>
      </c>
      <c r="Y447" s="4" t="str">
        <v>USA</v>
      </c>
      <c r="Z447" s="4" t="str">
        <v>SILVER</v>
      </c>
    </row>
    <row r="448" spans="1:26" x14ac:dyDescent="0.25">
      <c r="A448" t="s">
        <v>1386</v>
      </c>
      <c r="B448" t="s">
        <v>1387</v>
      </c>
      <c r="C448">
        <v>19</v>
      </c>
      <c r="D448" t="s">
        <v>10</v>
      </c>
      <c r="E448" t="s">
        <v>1388</v>
      </c>
      <c r="F448" t="s">
        <v>856</v>
      </c>
      <c r="G448" t="s">
        <v>13</v>
      </c>
      <c r="H448" t="s">
        <v>50</v>
      </c>
      <c r="J448" s="4" t="str">
        <v>CUST1444</v>
      </c>
      <c r="K448" s="4" t="str">
        <v>Cheryl Carr</v>
      </c>
      <c r="L448" s="4" t="str">
        <v>19</v>
      </c>
      <c r="M448" s="4" t="str">
        <v>Male</v>
      </c>
      <c r="N448" s="4" t="str">
        <v>Jessicaland</v>
      </c>
      <c r="O448" s="4" t="str">
        <v>Wyoming</v>
      </c>
      <c r="P448" s="4" t="str">
        <v>USA</v>
      </c>
      <c r="Q448" s="4" t="str">
        <v>Gold</v>
      </c>
      <c r="S448" s="4" t="str">
        <v>CUST1444</v>
      </c>
      <c r="T448" s="4" t="str">
        <v>CHERYL CARR</v>
      </c>
      <c r="U448" s="4" t="str">
        <v>19</v>
      </c>
      <c r="V448" s="4" t="str">
        <v>MALE</v>
      </c>
      <c r="W448" s="4" t="str">
        <v>JESSICALAND</v>
      </c>
      <c r="X448" s="4" t="str">
        <v>WYOMING</v>
      </c>
      <c r="Y448" s="4" t="str">
        <v>USA</v>
      </c>
      <c r="Z448" s="4" t="str">
        <v>GOLD</v>
      </c>
    </row>
    <row r="449" spans="1:26" x14ac:dyDescent="0.25">
      <c r="A449" t="s">
        <v>1389</v>
      </c>
      <c r="B449" t="s">
        <v>1390</v>
      </c>
      <c r="C449">
        <v>41</v>
      </c>
      <c r="D449" t="s">
        <v>16</v>
      </c>
      <c r="E449" t="s">
        <v>1391</v>
      </c>
      <c r="F449" t="s">
        <v>291</v>
      </c>
      <c r="G449" t="s">
        <v>13</v>
      </c>
      <c r="H449" t="s">
        <v>19</v>
      </c>
      <c r="J449" s="4" t="str">
        <v>CUST1445</v>
      </c>
      <c r="K449" s="4" t="str">
        <v>Gene Lee</v>
      </c>
      <c r="L449" s="4" t="str">
        <v>41</v>
      </c>
      <c r="M449" s="4" t="str">
        <v>Female</v>
      </c>
      <c r="N449" s="4" t="str">
        <v>Mcfarlandmouth</v>
      </c>
      <c r="O449" s="4" t="str">
        <v>Virginia</v>
      </c>
      <c r="P449" s="4" t="str">
        <v>USA</v>
      </c>
      <c r="Q449" s="4" t="str">
        <v>Platinum</v>
      </c>
      <c r="S449" s="4" t="str">
        <v>CUST1445</v>
      </c>
      <c r="T449" s="4" t="str">
        <v>GENE LEE</v>
      </c>
      <c r="U449" s="4" t="str">
        <v>41</v>
      </c>
      <c r="V449" s="4" t="str">
        <v>FEMALE</v>
      </c>
      <c r="W449" s="4" t="str">
        <v>MCFARLANDMOUTH</v>
      </c>
      <c r="X449" s="4" t="str">
        <v>VIRGINIA</v>
      </c>
      <c r="Y449" s="4" t="str">
        <v>USA</v>
      </c>
      <c r="Z449" s="4" t="str">
        <v>PLATINUM</v>
      </c>
    </row>
    <row r="450" spans="1:26" x14ac:dyDescent="0.25">
      <c r="A450" t="s">
        <v>1392</v>
      </c>
      <c r="B450" t="s">
        <v>1393</v>
      </c>
      <c r="C450">
        <v>35</v>
      </c>
      <c r="D450" t="s">
        <v>10</v>
      </c>
      <c r="E450" t="s">
        <v>1394</v>
      </c>
      <c r="F450" t="s">
        <v>99</v>
      </c>
      <c r="G450" t="s">
        <v>13</v>
      </c>
      <c r="H450" t="s">
        <v>33</v>
      </c>
      <c r="J450" s="4" t="str">
        <v>CUST1446</v>
      </c>
      <c r="K450" s="4" t="str">
        <v>Shannon Turner</v>
      </c>
      <c r="L450" s="4" t="str">
        <v>35</v>
      </c>
      <c r="M450" s="4" t="str">
        <v>Male</v>
      </c>
      <c r="N450" s="4" t="str">
        <v>West Jorge</v>
      </c>
      <c r="O450" s="4" t="str">
        <v>Oklahoma</v>
      </c>
      <c r="P450" s="4" t="str">
        <v>USA</v>
      </c>
      <c r="Q450" s="4" t="str">
        <v>Silver</v>
      </c>
      <c r="S450" s="4" t="str">
        <v>CUST1446</v>
      </c>
      <c r="T450" s="4" t="str">
        <v>SHANNON TURNER</v>
      </c>
      <c r="U450" s="4" t="str">
        <v>35</v>
      </c>
      <c r="V450" s="4" t="str">
        <v>MALE</v>
      </c>
      <c r="W450" s="4" t="str">
        <v>WEST JORGE</v>
      </c>
      <c r="X450" s="4" t="str">
        <v>OKLAHOMA</v>
      </c>
      <c r="Y450" s="4" t="str">
        <v>USA</v>
      </c>
      <c r="Z450" s="4" t="str">
        <v>SILVER</v>
      </c>
    </row>
    <row r="451" spans="1:26" x14ac:dyDescent="0.25">
      <c r="A451" t="s">
        <v>1395</v>
      </c>
      <c r="B451" t="s">
        <v>1396</v>
      </c>
      <c r="C451">
        <v>45</v>
      </c>
      <c r="D451" t="s">
        <v>10</v>
      </c>
      <c r="E451" t="s">
        <v>1397</v>
      </c>
      <c r="F451" t="s">
        <v>12</v>
      </c>
      <c r="G451" t="s">
        <v>13</v>
      </c>
      <c r="H451" t="s">
        <v>50</v>
      </c>
      <c r="J451" s="4" t="str">
        <v>CUST1447</v>
      </c>
      <c r="K451" s="4" t="str">
        <v>Monica Wright</v>
      </c>
      <c r="L451" s="4" t="str">
        <v>45</v>
      </c>
      <c r="M451" s="4" t="str">
        <v>Male</v>
      </c>
      <c r="N451" s="4" t="str">
        <v>Paulside</v>
      </c>
      <c r="O451" s="4" t="str">
        <v>North Carolina</v>
      </c>
      <c r="P451" s="4" t="str">
        <v>USA</v>
      </c>
      <c r="Q451" s="4" t="str">
        <v>Gold</v>
      </c>
      <c r="S451" s="4" t="str">
        <v>CUST1447</v>
      </c>
      <c r="T451" s="4" t="str">
        <v>MONICA WRIGHT</v>
      </c>
      <c r="U451" s="4" t="str">
        <v>45</v>
      </c>
      <c r="V451" s="4" t="str">
        <v>MALE</v>
      </c>
      <c r="W451" s="4" t="str">
        <v>PAULSIDE</v>
      </c>
      <c r="X451" s="4" t="str">
        <v>NORTH CAROLINA</v>
      </c>
      <c r="Y451" s="4" t="str">
        <v>USA</v>
      </c>
      <c r="Z451" s="4" t="str">
        <v>GOLD</v>
      </c>
    </row>
    <row r="452" spans="1:26" x14ac:dyDescent="0.25">
      <c r="A452" t="s">
        <v>1398</v>
      </c>
      <c r="B452" t="s">
        <v>1399</v>
      </c>
      <c r="C452">
        <v>64</v>
      </c>
      <c r="D452" t="s">
        <v>16</v>
      </c>
      <c r="E452" t="s">
        <v>1400</v>
      </c>
      <c r="F452" t="s">
        <v>856</v>
      </c>
      <c r="G452" t="s">
        <v>13</v>
      </c>
      <c r="H452" t="s">
        <v>28</v>
      </c>
      <c r="J452" s="4" t="str">
        <v>CUST1448</v>
      </c>
      <c r="K452" s="4" t="str">
        <v>Eric Holmes</v>
      </c>
      <c r="L452" s="4" t="str">
        <v>64</v>
      </c>
      <c r="M452" s="4" t="str">
        <v>Female</v>
      </c>
      <c r="N452" s="4" t="str">
        <v>Smithville</v>
      </c>
      <c r="O452" s="4" t="str">
        <v>Wyoming</v>
      </c>
      <c r="P452" s="4" t="str">
        <v>USA</v>
      </c>
      <c r="Q452" s="4" t="str">
        <v>Bronze</v>
      </c>
      <c r="S452" s="4" t="str">
        <v>CUST1448</v>
      </c>
      <c r="T452" s="4" t="str">
        <v>ERIC HOLMES</v>
      </c>
      <c r="U452" s="4" t="str">
        <v>64</v>
      </c>
      <c r="V452" s="4" t="str">
        <v>FEMALE</v>
      </c>
      <c r="W452" s="4" t="str">
        <v>SMITHVILLE</v>
      </c>
      <c r="X452" s="4" t="str">
        <v>WYOMING</v>
      </c>
      <c r="Y452" s="4" t="str">
        <v>USA</v>
      </c>
      <c r="Z452" s="4" t="str">
        <v>BRONZE</v>
      </c>
    </row>
    <row r="453" spans="1:26" x14ac:dyDescent="0.25">
      <c r="A453" t="s">
        <v>1401</v>
      </c>
      <c r="B453" t="s">
        <v>1402</v>
      </c>
      <c r="C453">
        <v>29</v>
      </c>
      <c r="D453" t="s">
        <v>10</v>
      </c>
      <c r="E453" t="s">
        <v>1403</v>
      </c>
      <c r="F453" t="s">
        <v>27</v>
      </c>
      <c r="G453" t="s">
        <v>13</v>
      </c>
      <c r="H453" t="s">
        <v>28</v>
      </c>
      <c r="J453" s="4" t="str">
        <v>CUST1449</v>
      </c>
      <c r="K453" s="4" t="str">
        <v>William Cortez</v>
      </c>
      <c r="L453" s="4" t="str">
        <v>29</v>
      </c>
      <c r="M453" s="4" t="str">
        <v>Male</v>
      </c>
      <c r="N453" s="4" t="str">
        <v>Port Hannahport</v>
      </c>
      <c r="O453" s="4" t="str">
        <v>Ohio</v>
      </c>
      <c r="P453" s="4" t="str">
        <v>USA</v>
      </c>
      <c r="Q453" s="4" t="str">
        <v>Bronze</v>
      </c>
      <c r="S453" s="4" t="str">
        <v>CUST1449</v>
      </c>
      <c r="T453" s="4" t="str">
        <v>WILLIAM CORTEZ</v>
      </c>
      <c r="U453" s="4" t="str">
        <v>29</v>
      </c>
      <c r="V453" s="4" t="str">
        <v>MALE</v>
      </c>
      <c r="W453" s="4" t="str">
        <v>PORT HANNAHPORT</v>
      </c>
      <c r="X453" s="4" t="str">
        <v>OHIO</v>
      </c>
      <c r="Y453" s="4" t="str">
        <v>USA</v>
      </c>
      <c r="Z453" s="4" t="str">
        <v>BRONZE</v>
      </c>
    </row>
    <row r="454" spans="1:26" x14ac:dyDescent="0.25">
      <c r="A454" t="s">
        <v>1404</v>
      </c>
      <c r="B454" t="s">
        <v>1405</v>
      </c>
      <c r="C454">
        <v>59</v>
      </c>
      <c r="D454" t="s">
        <v>10</v>
      </c>
      <c r="E454" t="s">
        <v>1406</v>
      </c>
      <c r="F454" t="s">
        <v>73</v>
      </c>
      <c r="G454" t="s">
        <v>13</v>
      </c>
      <c r="H454" t="s">
        <v>28</v>
      </c>
      <c r="J454" s="4" t="str">
        <v>CUST1450</v>
      </c>
      <c r="K454" s="4" t="str">
        <v>Shane Mills</v>
      </c>
      <c r="L454" s="4" t="str">
        <v>59</v>
      </c>
      <c r="M454" s="4" t="str">
        <v>Male</v>
      </c>
      <c r="N454" s="4" t="str">
        <v>Lake Meganstad</v>
      </c>
      <c r="O454" s="4" t="str">
        <v>Nebraska</v>
      </c>
      <c r="P454" s="4" t="str">
        <v>USA</v>
      </c>
      <c r="Q454" s="4" t="str">
        <v>Bronze</v>
      </c>
      <c r="S454" s="4" t="str">
        <v>CUST1450</v>
      </c>
      <c r="T454" s="4" t="str">
        <v>SHANE MILLS</v>
      </c>
      <c r="U454" s="4" t="str">
        <v>59</v>
      </c>
      <c r="V454" s="4" t="str">
        <v>MALE</v>
      </c>
      <c r="W454" s="4" t="str">
        <v>LAKE MEGANSTAD</v>
      </c>
      <c r="X454" s="4" t="str">
        <v>NEBRASKA</v>
      </c>
      <c r="Y454" s="4" t="str">
        <v>USA</v>
      </c>
      <c r="Z454" s="4" t="str">
        <v>BRONZE</v>
      </c>
    </row>
    <row r="455" spans="1:26" x14ac:dyDescent="0.25">
      <c r="A455" t="s">
        <v>1407</v>
      </c>
      <c r="B455" t="s">
        <v>1408</v>
      </c>
      <c r="C455">
        <v>46</v>
      </c>
      <c r="D455" t="s">
        <v>10</v>
      </c>
      <c r="E455" t="s">
        <v>571</v>
      </c>
      <c r="F455" t="s">
        <v>237</v>
      </c>
      <c r="G455" t="s">
        <v>13</v>
      </c>
      <c r="H455" t="s">
        <v>50</v>
      </c>
      <c r="J455" s="4" t="str">
        <v>CUST1451</v>
      </c>
      <c r="K455" s="4" t="str">
        <v>Ashley Roberts</v>
      </c>
      <c r="L455" s="4" t="str">
        <v>46</v>
      </c>
      <c r="M455" s="4" t="str">
        <v>Male</v>
      </c>
      <c r="N455" s="4" t="str">
        <v>Josephmouth</v>
      </c>
      <c r="O455" s="4" t="str">
        <v>New Mexico</v>
      </c>
      <c r="P455" s="4" t="str">
        <v>USA</v>
      </c>
      <c r="Q455" s="4" t="str">
        <v>Gold</v>
      </c>
      <c r="S455" s="4" t="str">
        <v>CUST1451</v>
      </c>
      <c r="T455" s="4" t="str">
        <v>ASHLEY ROBERTS</v>
      </c>
      <c r="U455" s="4" t="str">
        <v>46</v>
      </c>
      <c r="V455" s="4" t="str">
        <v>MALE</v>
      </c>
      <c r="W455" s="4" t="str">
        <v>JOSEPHMOUTH</v>
      </c>
      <c r="X455" s="4" t="str">
        <v>NEW MEXICO</v>
      </c>
      <c r="Y455" s="4" t="str">
        <v>USA</v>
      </c>
      <c r="Z455" s="4" t="str">
        <v>GOLD</v>
      </c>
    </row>
    <row r="456" spans="1:26" x14ac:dyDescent="0.25">
      <c r="A456" t="s">
        <v>1409</v>
      </c>
      <c r="B456" t="s">
        <v>1410</v>
      </c>
      <c r="C456">
        <v>60</v>
      </c>
      <c r="D456" t="s">
        <v>16</v>
      </c>
      <c r="E456" t="s">
        <v>1411</v>
      </c>
      <c r="F456" t="s">
        <v>317</v>
      </c>
      <c r="G456" t="s">
        <v>13</v>
      </c>
      <c r="H456" t="s">
        <v>28</v>
      </c>
      <c r="J456" s="4" t="str">
        <v>CUST1452</v>
      </c>
      <c r="K456" s="4" t="str">
        <v>Jeffery Wolf</v>
      </c>
      <c r="L456" s="4" t="str">
        <v>60</v>
      </c>
      <c r="M456" s="4" t="str">
        <v>Female</v>
      </c>
      <c r="N456" s="4" t="str">
        <v>New Laura</v>
      </c>
      <c r="O456" s="4" t="str">
        <v>Mississippi</v>
      </c>
      <c r="P456" s="4" t="str">
        <v>USA</v>
      </c>
      <c r="Q456" s="4" t="str">
        <v>Bronze</v>
      </c>
      <c r="S456" s="4" t="str">
        <v>CUST1452</v>
      </c>
      <c r="T456" s="4" t="str">
        <v>JEFFERY WOLF</v>
      </c>
      <c r="U456" s="4" t="str">
        <v>60</v>
      </c>
      <c r="V456" s="4" t="str">
        <v>FEMALE</v>
      </c>
      <c r="W456" s="4" t="str">
        <v>NEW LAURA</v>
      </c>
      <c r="X456" s="4" t="str">
        <v>MISSISSIPPI</v>
      </c>
      <c r="Y456" s="4" t="str">
        <v>USA</v>
      </c>
      <c r="Z456" s="4" t="str">
        <v>BRONZE</v>
      </c>
    </row>
    <row r="457" spans="1:26" x14ac:dyDescent="0.25">
      <c r="A457" t="s">
        <v>1412</v>
      </c>
      <c r="B457" t="s">
        <v>1413</v>
      </c>
      <c r="C457">
        <v>62</v>
      </c>
      <c r="D457" t="s">
        <v>16</v>
      </c>
      <c r="E457" t="s">
        <v>1414</v>
      </c>
      <c r="F457" t="s">
        <v>103</v>
      </c>
      <c r="G457" t="s">
        <v>13</v>
      </c>
      <c r="H457" t="s">
        <v>19</v>
      </c>
      <c r="J457" s="4" t="str">
        <v>CUST1453</v>
      </c>
      <c r="K457" s="4" t="str">
        <v>April Phillips</v>
      </c>
      <c r="L457" s="4" t="str">
        <v>62</v>
      </c>
      <c r="M457" s="4" t="str">
        <v>Female</v>
      </c>
      <c r="N457" s="4" t="str">
        <v>Lake Carolyn</v>
      </c>
      <c r="O457" s="4" t="str">
        <v>Hawaii</v>
      </c>
      <c r="P457" s="4" t="str">
        <v>USA</v>
      </c>
      <c r="Q457" s="4" t="str">
        <v>Platinum</v>
      </c>
      <c r="S457" s="4" t="str">
        <v>CUST1453</v>
      </c>
      <c r="T457" s="4" t="str">
        <v>APRIL PHILLIPS</v>
      </c>
      <c r="U457" s="4" t="str">
        <v>62</v>
      </c>
      <c r="V457" s="4" t="str">
        <v>FEMALE</v>
      </c>
      <c r="W457" s="4" t="str">
        <v>LAKE CAROLYN</v>
      </c>
      <c r="X457" s="4" t="str">
        <v>HAWAII</v>
      </c>
      <c r="Y457" s="4" t="str">
        <v>USA</v>
      </c>
      <c r="Z457" s="4" t="str">
        <v>PLATINUM</v>
      </c>
    </row>
    <row r="458" spans="1:26" x14ac:dyDescent="0.25">
      <c r="A458" t="s">
        <v>1415</v>
      </c>
      <c r="B458" t="s">
        <v>1416</v>
      </c>
      <c r="C458">
        <v>60</v>
      </c>
      <c r="D458" t="s">
        <v>10</v>
      </c>
      <c r="E458" t="s">
        <v>133</v>
      </c>
      <c r="F458" t="s">
        <v>99</v>
      </c>
      <c r="G458" t="s">
        <v>13</v>
      </c>
      <c r="H458" t="s">
        <v>50</v>
      </c>
      <c r="J458" s="4" t="str">
        <v>CUST1454</v>
      </c>
      <c r="K458" s="4" t="str">
        <v>John Berg</v>
      </c>
      <c r="L458" s="4" t="str">
        <v>60</v>
      </c>
      <c r="M458" s="4" t="str">
        <v>Male</v>
      </c>
      <c r="N458" s="4" t="str">
        <v>Johnsonville</v>
      </c>
      <c r="O458" s="4" t="str">
        <v>Oklahoma</v>
      </c>
      <c r="P458" s="4" t="str">
        <v>USA</v>
      </c>
      <c r="Q458" s="4" t="str">
        <v>Gold</v>
      </c>
      <c r="S458" s="4" t="str">
        <v>CUST1454</v>
      </c>
      <c r="T458" s="4" t="str">
        <v>JOHN BERG</v>
      </c>
      <c r="U458" s="4" t="str">
        <v>60</v>
      </c>
      <c r="V458" s="4" t="str">
        <v>MALE</v>
      </c>
      <c r="W458" s="4" t="str">
        <v>JOHNSONVILLE</v>
      </c>
      <c r="X458" s="4" t="str">
        <v>OKLAHOMA</v>
      </c>
      <c r="Y458" s="4" t="str">
        <v>USA</v>
      </c>
      <c r="Z458" s="4" t="str">
        <v>GOLD</v>
      </c>
    </row>
    <row r="459" spans="1:26" x14ac:dyDescent="0.25">
      <c r="A459" t="s">
        <v>1417</v>
      </c>
      <c r="B459" t="s">
        <v>1418</v>
      </c>
      <c r="C459">
        <v>54</v>
      </c>
      <c r="D459" t="s">
        <v>10</v>
      </c>
      <c r="E459" t="s">
        <v>1419</v>
      </c>
      <c r="F459" t="s">
        <v>198</v>
      </c>
      <c r="G459" t="s">
        <v>13</v>
      </c>
      <c r="H459" t="s">
        <v>50</v>
      </c>
      <c r="J459" s="4" t="str">
        <v>CUST1455</v>
      </c>
      <c r="K459" s="4" t="str">
        <v>Tyler Weber</v>
      </c>
      <c r="L459" s="4" t="str">
        <v>54</v>
      </c>
      <c r="M459" s="4" t="str">
        <v>Male</v>
      </c>
      <c r="N459" s="4" t="str">
        <v>East Yvette</v>
      </c>
      <c r="O459" s="4" t="str">
        <v>Illinois</v>
      </c>
      <c r="P459" s="4" t="str">
        <v>USA</v>
      </c>
      <c r="Q459" s="4" t="str">
        <v>Gold</v>
      </c>
      <c r="S459" s="4" t="str">
        <v>CUST1455</v>
      </c>
      <c r="T459" s="4" t="str">
        <v>TYLER WEBER</v>
      </c>
      <c r="U459" s="4" t="str">
        <v>54</v>
      </c>
      <c r="V459" s="4" t="str">
        <v>MALE</v>
      </c>
      <c r="W459" s="4" t="str">
        <v>EAST YVETTE</v>
      </c>
      <c r="X459" s="4" t="str">
        <v>ILLINOIS</v>
      </c>
      <c r="Y459" s="4" t="str">
        <v>USA</v>
      </c>
      <c r="Z459" s="4" t="str">
        <v>GOLD</v>
      </c>
    </row>
    <row r="460" spans="1:26" x14ac:dyDescent="0.25">
      <c r="A460" t="s">
        <v>1420</v>
      </c>
      <c r="B460" t="s">
        <v>1421</v>
      </c>
      <c r="C460">
        <v>59</v>
      </c>
      <c r="D460" t="s">
        <v>16</v>
      </c>
      <c r="E460" t="s">
        <v>1422</v>
      </c>
      <c r="F460" t="s">
        <v>295</v>
      </c>
      <c r="G460" t="s">
        <v>13</v>
      </c>
      <c r="H460" t="s">
        <v>50</v>
      </c>
      <c r="J460" s="4" t="str">
        <v>CUST1456</v>
      </c>
      <c r="K460" s="4" t="str">
        <v>Julie Powell</v>
      </c>
      <c r="L460" s="4" t="str">
        <v>59</v>
      </c>
      <c r="M460" s="4" t="str">
        <v>Female</v>
      </c>
      <c r="N460" s="4" t="str">
        <v>South Barbara</v>
      </c>
      <c r="O460" s="4" t="str">
        <v>Arkansas</v>
      </c>
      <c r="P460" s="4" t="str">
        <v>USA</v>
      </c>
      <c r="Q460" s="4" t="str">
        <v>Gold</v>
      </c>
      <c r="S460" s="4" t="str">
        <v>CUST1456</v>
      </c>
      <c r="T460" s="4" t="str">
        <v>JULIE POWELL</v>
      </c>
      <c r="U460" s="4" t="str">
        <v>59</v>
      </c>
      <c r="V460" s="4" t="str">
        <v>FEMALE</v>
      </c>
      <c r="W460" s="4" t="str">
        <v>SOUTH BARBARA</v>
      </c>
      <c r="X460" s="4" t="str">
        <v>ARKANSAS</v>
      </c>
      <c r="Y460" s="4" t="str">
        <v>USA</v>
      </c>
      <c r="Z460" s="4" t="str">
        <v>GOLD</v>
      </c>
    </row>
    <row r="461" spans="1:26" x14ac:dyDescent="0.25">
      <c r="A461" t="s">
        <v>1423</v>
      </c>
      <c r="B461" t="s">
        <v>1424</v>
      </c>
      <c r="C461">
        <v>59</v>
      </c>
      <c r="D461" t="s">
        <v>10</v>
      </c>
      <c r="E461" t="s">
        <v>1425</v>
      </c>
      <c r="F461" t="s">
        <v>596</v>
      </c>
      <c r="G461" t="s">
        <v>13</v>
      </c>
      <c r="H461" t="s">
        <v>19</v>
      </c>
      <c r="J461" s="4" t="str">
        <v>CUST1457</v>
      </c>
      <c r="K461" s="4" t="str">
        <v>Christina Robertson</v>
      </c>
      <c r="L461" s="4" t="str">
        <v>59</v>
      </c>
      <c r="M461" s="4" t="str">
        <v>Male</v>
      </c>
      <c r="N461" s="4" t="str">
        <v>Hubbardborough</v>
      </c>
      <c r="O461" s="4" t="str">
        <v>Kentucky</v>
      </c>
      <c r="P461" s="4" t="str">
        <v>USA</v>
      </c>
      <c r="Q461" s="4" t="str">
        <v>Platinum</v>
      </c>
      <c r="S461" s="4" t="str">
        <v>CUST1457</v>
      </c>
      <c r="T461" s="4" t="str">
        <v>CHRISTINA ROBERTSON</v>
      </c>
      <c r="U461" s="4" t="str">
        <v>59</v>
      </c>
      <c r="V461" s="4" t="str">
        <v>MALE</v>
      </c>
      <c r="W461" s="4" t="str">
        <v>HUBBARDBOROUGH</v>
      </c>
      <c r="X461" s="4" t="str">
        <v>KENTUCKY</v>
      </c>
      <c r="Y461" s="4" t="str">
        <v>USA</v>
      </c>
      <c r="Z461" s="4" t="str">
        <v>PLATINUM</v>
      </c>
    </row>
    <row r="462" spans="1:26" x14ac:dyDescent="0.25">
      <c r="A462" t="s">
        <v>1426</v>
      </c>
      <c r="B462" t="s">
        <v>1427</v>
      </c>
      <c r="C462">
        <v>62</v>
      </c>
      <c r="D462" t="s">
        <v>16</v>
      </c>
      <c r="E462" t="s">
        <v>1428</v>
      </c>
      <c r="F462" t="s">
        <v>54</v>
      </c>
      <c r="G462" t="s">
        <v>13</v>
      </c>
      <c r="H462" t="s">
        <v>33</v>
      </c>
      <c r="J462" s="4" t="str">
        <v>CUST1458</v>
      </c>
      <c r="K462" s="4" t="str">
        <v>Kelly Garrett</v>
      </c>
      <c r="L462" s="4" t="str">
        <v>62</v>
      </c>
      <c r="M462" s="4" t="str">
        <v>Female</v>
      </c>
      <c r="N462" s="4" t="str">
        <v>Port Taylorberg</v>
      </c>
      <c r="O462" s="4" t="str">
        <v>Pennsylvania</v>
      </c>
      <c r="P462" s="4" t="str">
        <v>USA</v>
      </c>
      <c r="Q462" s="4" t="str">
        <v>Silver</v>
      </c>
      <c r="S462" s="4" t="str">
        <v>CUST1458</v>
      </c>
      <c r="T462" s="4" t="str">
        <v>KELLY GARRETT</v>
      </c>
      <c r="U462" s="4" t="str">
        <v>62</v>
      </c>
      <c r="V462" s="4" t="str">
        <v>FEMALE</v>
      </c>
      <c r="W462" s="4" t="str">
        <v>PORT TAYLORBERG</v>
      </c>
      <c r="X462" s="4" t="str">
        <v>PENNSYLVANIA</v>
      </c>
      <c r="Y462" s="4" t="str">
        <v>USA</v>
      </c>
      <c r="Z462" s="4" t="str">
        <v>SILVER</v>
      </c>
    </row>
    <row r="463" spans="1:26" x14ac:dyDescent="0.25">
      <c r="A463" t="s">
        <v>1429</v>
      </c>
      <c r="B463" t="s">
        <v>687</v>
      </c>
      <c r="C463">
        <v>29</v>
      </c>
      <c r="D463" t="s">
        <v>16</v>
      </c>
      <c r="E463" t="s">
        <v>1430</v>
      </c>
      <c r="F463" t="s">
        <v>321</v>
      </c>
      <c r="G463" t="s">
        <v>13</v>
      </c>
      <c r="H463" t="s">
        <v>50</v>
      </c>
      <c r="J463" s="4" t="str">
        <v>CUST1459</v>
      </c>
      <c r="K463" s="4" t="str">
        <v>John Perez</v>
      </c>
      <c r="L463" s="4" t="str">
        <v>29</v>
      </c>
      <c r="M463" s="4" t="str">
        <v>Female</v>
      </c>
      <c r="N463" s="4" t="str">
        <v>Brandontown</v>
      </c>
      <c r="O463" s="4" t="str">
        <v>South Carolina</v>
      </c>
      <c r="P463" s="4" t="str">
        <v>USA</v>
      </c>
      <c r="Q463" s="4" t="str">
        <v>Gold</v>
      </c>
      <c r="S463" s="4" t="str">
        <v>CUST1459</v>
      </c>
      <c r="T463" s="4" t="str">
        <v>JOHN PEREZ</v>
      </c>
      <c r="U463" s="4" t="str">
        <v>29</v>
      </c>
      <c r="V463" s="4" t="str">
        <v>FEMALE</v>
      </c>
      <c r="W463" s="4" t="str">
        <v>BRANDONTOWN</v>
      </c>
      <c r="X463" s="4" t="str">
        <v>SOUTH CAROLINA</v>
      </c>
      <c r="Y463" s="4" t="str">
        <v>USA</v>
      </c>
      <c r="Z463" s="4" t="str">
        <v>GOLD</v>
      </c>
    </row>
    <row r="464" spans="1:26" x14ac:dyDescent="0.25">
      <c r="A464" t="s">
        <v>1431</v>
      </c>
      <c r="B464" t="s">
        <v>1432</v>
      </c>
      <c r="C464">
        <v>35</v>
      </c>
      <c r="D464" t="s">
        <v>10</v>
      </c>
      <c r="E464" t="s">
        <v>1433</v>
      </c>
      <c r="F464" t="s">
        <v>271</v>
      </c>
      <c r="G464" t="s">
        <v>13</v>
      </c>
      <c r="H464" t="s">
        <v>50</v>
      </c>
      <c r="J464" s="4" t="str">
        <v>CUST1460</v>
      </c>
      <c r="K464" s="4" t="str">
        <v>Justin Johnson</v>
      </c>
      <c r="L464" s="4" t="str">
        <v>35</v>
      </c>
      <c r="M464" s="4" t="str">
        <v>Male</v>
      </c>
      <c r="N464" s="4" t="str">
        <v>Hughesview</v>
      </c>
      <c r="O464" s="4" t="str">
        <v>Iowa</v>
      </c>
      <c r="P464" s="4" t="str">
        <v>USA</v>
      </c>
      <c r="Q464" s="4" t="str">
        <v>Gold</v>
      </c>
      <c r="S464" s="4" t="str">
        <v>CUST1460</v>
      </c>
      <c r="T464" s="4" t="str">
        <v>JUSTIN JOHNSON</v>
      </c>
      <c r="U464" s="4" t="str">
        <v>35</v>
      </c>
      <c r="V464" s="4" t="str">
        <v>MALE</v>
      </c>
      <c r="W464" s="4" t="str">
        <v>HUGHESVIEW</v>
      </c>
      <c r="X464" s="4" t="str">
        <v>IOWA</v>
      </c>
      <c r="Y464" s="4" t="str">
        <v>USA</v>
      </c>
      <c r="Z464" s="4" t="str">
        <v>GOLD</v>
      </c>
    </row>
    <row r="465" spans="1:26" x14ac:dyDescent="0.25">
      <c r="A465" t="s">
        <v>1434</v>
      </c>
      <c r="B465" t="s">
        <v>1435</v>
      </c>
      <c r="C465">
        <v>60</v>
      </c>
      <c r="D465" t="s">
        <v>16</v>
      </c>
      <c r="E465" t="s">
        <v>1436</v>
      </c>
      <c r="F465" t="s">
        <v>65</v>
      </c>
      <c r="G465" t="s">
        <v>13</v>
      </c>
      <c r="H465" t="s">
        <v>33</v>
      </c>
      <c r="J465" s="4" t="str">
        <v>CUST1461</v>
      </c>
      <c r="K465" s="4" t="str">
        <v>Paul Cox</v>
      </c>
      <c r="L465" s="4" t="str">
        <v>60</v>
      </c>
      <c r="M465" s="4" t="str">
        <v>Female</v>
      </c>
      <c r="N465" s="4" t="str">
        <v>East Julie</v>
      </c>
      <c r="O465" s="4" t="str">
        <v>Kansas</v>
      </c>
      <c r="P465" s="4" t="str">
        <v>USA</v>
      </c>
      <c r="Q465" s="4" t="str">
        <v>Silver</v>
      </c>
      <c r="S465" s="4" t="str">
        <v>CUST1461</v>
      </c>
      <c r="T465" s="4" t="str">
        <v>PAUL COX</v>
      </c>
      <c r="U465" s="4" t="str">
        <v>60</v>
      </c>
      <c r="V465" s="4" t="str">
        <v>FEMALE</v>
      </c>
      <c r="W465" s="4" t="str">
        <v>EAST JULIE</v>
      </c>
      <c r="X465" s="4" t="str">
        <v>KANSAS</v>
      </c>
      <c r="Y465" s="4" t="str">
        <v>USA</v>
      </c>
      <c r="Z465" s="4" t="str">
        <v>SILVER</v>
      </c>
    </row>
    <row r="466" spans="1:26" x14ac:dyDescent="0.25">
      <c r="A466" t="s">
        <v>1437</v>
      </c>
      <c r="B466" t="s">
        <v>1438</v>
      </c>
      <c r="C466">
        <v>34</v>
      </c>
      <c r="D466" t="s">
        <v>16</v>
      </c>
      <c r="E466" t="s">
        <v>1439</v>
      </c>
      <c r="F466" t="s">
        <v>45</v>
      </c>
      <c r="G466" t="s">
        <v>13</v>
      </c>
      <c r="H466" t="s">
        <v>33</v>
      </c>
      <c r="J466" s="4" t="str">
        <v>CUST1462</v>
      </c>
      <c r="K466" s="4" t="str">
        <v>Beth Martin</v>
      </c>
      <c r="L466" s="4" t="str">
        <v>34</v>
      </c>
      <c r="M466" s="4" t="str">
        <v>Female</v>
      </c>
      <c r="N466" s="4" t="str">
        <v>Burkefurt</v>
      </c>
      <c r="O466" s="4" t="str">
        <v>West Virginia</v>
      </c>
      <c r="P466" s="4" t="str">
        <v>USA</v>
      </c>
      <c r="Q466" s="4" t="str">
        <v>Silver</v>
      </c>
      <c r="S466" s="4" t="str">
        <v>CUST1462</v>
      </c>
      <c r="T466" s="4" t="str">
        <v>BETH MARTIN</v>
      </c>
      <c r="U466" s="4" t="str">
        <v>34</v>
      </c>
      <c r="V466" s="4" t="str">
        <v>FEMALE</v>
      </c>
      <c r="W466" s="4" t="str">
        <v>BURKEFURT</v>
      </c>
      <c r="X466" s="4" t="str">
        <v>WEST VIRGINIA</v>
      </c>
      <c r="Y466" s="4" t="str">
        <v>USA</v>
      </c>
      <c r="Z466" s="4" t="str">
        <v>SILVER</v>
      </c>
    </row>
    <row r="467" spans="1:26" x14ac:dyDescent="0.25">
      <c r="A467" t="s">
        <v>1440</v>
      </c>
      <c r="B467" t="s">
        <v>1441</v>
      </c>
      <c r="C467">
        <v>36</v>
      </c>
      <c r="D467" t="s">
        <v>16</v>
      </c>
      <c r="E467" t="s">
        <v>1442</v>
      </c>
      <c r="F467" t="s">
        <v>171</v>
      </c>
      <c r="G467" t="s">
        <v>13</v>
      </c>
      <c r="H467" t="s">
        <v>28</v>
      </c>
      <c r="J467" s="4" t="str">
        <v>CUST1463</v>
      </c>
      <c r="K467" s="4" t="str">
        <v>Samantha Lee</v>
      </c>
      <c r="L467" s="4" t="str">
        <v>36</v>
      </c>
      <c r="M467" s="4" t="str">
        <v>Female</v>
      </c>
      <c r="N467" s="4" t="str">
        <v>Port Anthony</v>
      </c>
      <c r="O467" s="4" t="str">
        <v>Connecticut</v>
      </c>
      <c r="P467" s="4" t="str">
        <v>USA</v>
      </c>
      <c r="Q467" s="4" t="str">
        <v>Bronze</v>
      </c>
      <c r="S467" s="4" t="str">
        <v>CUST1463</v>
      </c>
      <c r="T467" s="4" t="str">
        <v>SAMANTHA LEE</v>
      </c>
      <c r="U467" s="4" t="str">
        <v>36</v>
      </c>
      <c r="V467" s="4" t="str">
        <v>FEMALE</v>
      </c>
      <c r="W467" s="4" t="str">
        <v>PORT ANTHONY</v>
      </c>
      <c r="X467" s="4" t="str">
        <v>CONNECTICUT</v>
      </c>
      <c r="Y467" s="4" t="str">
        <v>USA</v>
      </c>
      <c r="Z467" s="4" t="str">
        <v>BRONZE</v>
      </c>
    </row>
    <row r="468" spans="1:26" x14ac:dyDescent="0.25">
      <c r="A468" t="s">
        <v>1550</v>
      </c>
      <c r="B468" t="s">
        <v>1444</v>
      </c>
      <c r="C468">
        <v>45</v>
      </c>
      <c r="D468" t="s">
        <v>16</v>
      </c>
      <c r="E468" t="s">
        <v>1445</v>
      </c>
      <c r="F468" t="s">
        <v>77</v>
      </c>
      <c r="G468" t="s">
        <v>13</v>
      </c>
      <c r="H468" t="s">
        <v>19</v>
      </c>
      <c r="J468" s="4" t="str">
        <v>CUST1464</v>
      </c>
      <c r="K468" s="4" t="str">
        <v>David Pierce</v>
      </c>
      <c r="L468" s="4" t="str">
        <v>45</v>
      </c>
      <c r="M468" s="4" t="str">
        <v>Female</v>
      </c>
      <c r="N468" s="4" t="str">
        <v>Grayland</v>
      </c>
      <c r="O468" s="4" t="str">
        <v>Washington</v>
      </c>
      <c r="P468" s="4" t="str">
        <v>USA</v>
      </c>
      <c r="Q468" s="4" t="str">
        <v>Platinum</v>
      </c>
      <c r="S468" s="4" t="str">
        <v>CUST1464</v>
      </c>
      <c r="T468" s="4" t="str">
        <v>DAVID PIERCE</v>
      </c>
      <c r="U468" s="4" t="str">
        <v>45</v>
      </c>
      <c r="V468" s="4" t="str">
        <v>FEMALE</v>
      </c>
      <c r="W468" s="4" t="str">
        <v>GRAYLAND</v>
      </c>
      <c r="X468" s="4" t="str">
        <v>WASHINGTON</v>
      </c>
      <c r="Y468" s="4" t="str">
        <v>USA</v>
      </c>
      <c r="Z468" s="4" t="str">
        <v>PLATINUM</v>
      </c>
    </row>
    <row r="469" spans="1:26" x14ac:dyDescent="0.25">
      <c r="A469" t="s">
        <v>1446</v>
      </c>
      <c r="B469" t="s">
        <v>1447</v>
      </c>
      <c r="C469">
        <v>28</v>
      </c>
      <c r="D469" t="s">
        <v>16</v>
      </c>
      <c r="E469" t="s">
        <v>1448</v>
      </c>
      <c r="F469" t="s">
        <v>12</v>
      </c>
      <c r="G469" t="s">
        <v>13</v>
      </c>
      <c r="H469" t="s">
        <v>33</v>
      </c>
      <c r="J469" s="4" t="str">
        <v>CUST1465</v>
      </c>
      <c r="K469" s="4" t="str">
        <v>Ronald Ross</v>
      </c>
      <c r="L469" s="4" t="str">
        <v>28</v>
      </c>
      <c r="M469" s="4" t="str">
        <v>Female</v>
      </c>
      <c r="N469" s="4" t="str">
        <v>Hartmanside</v>
      </c>
      <c r="O469" s="4" t="str">
        <v>North Carolina</v>
      </c>
      <c r="P469" s="4" t="str">
        <v>USA</v>
      </c>
      <c r="Q469" s="4" t="str">
        <v>Silver</v>
      </c>
      <c r="S469" s="4" t="str">
        <v>CUST1465</v>
      </c>
      <c r="T469" s="4" t="str">
        <v>RONALD ROSS</v>
      </c>
      <c r="U469" s="4" t="str">
        <v>28</v>
      </c>
      <c r="V469" s="4" t="str">
        <v>FEMALE</v>
      </c>
      <c r="W469" s="4" t="str">
        <v>HARTMANSIDE</v>
      </c>
      <c r="X469" s="4" t="str">
        <v>NORTH CAROLINA</v>
      </c>
      <c r="Y469" s="4" t="str">
        <v>USA</v>
      </c>
      <c r="Z469" s="4" t="str">
        <v>SILVER</v>
      </c>
    </row>
    <row r="470" spans="1:26" x14ac:dyDescent="0.25">
      <c r="A470" t="s">
        <v>1449</v>
      </c>
      <c r="B470" t="s">
        <v>1450</v>
      </c>
      <c r="C470">
        <v>18</v>
      </c>
      <c r="D470" t="s">
        <v>10</v>
      </c>
      <c r="E470" t="s">
        <v>1451</v>
      </c>
      <c r="F470" t="s">
        <v>205</v>
      </c>
      <c r="G470" t="s">
        <v>13</v>
      </c>
      <c r="H470" t="s">
        <v>33</v>
      </c>
      <c r="J470" s="4" t="str">
        <v>CUST1466</v>
      </c>
      <c r="K470" s="4" t="str">
        <v>Cynthia Parrish</v>
      </c>
      <c r="L470" s="4" t="str">
        <v>18</v>
      </c>
      <c r="M470" s="4" t="str">
        <v>Male</v>
      </c>
      <c r="N470" s="4" t="str">
        <v>Espinozaberg</v>
      </c>
      <c r="O470" s="4" t="str">
        <v>Minnesota</v>
      </c>
      <c r="P470" s="4" t="str">
        <v>USA</v>
      </c>
      <c r="Q470" s="4" t="str">
        <v>Silver</v>
      </c>
      <c r="S470" s="4" t="str">
        <v>CUST1466</v>
      </c>
      <c r="T470" s="4" t="str">
        <v>CYNTHIA PARRISH</v>
      </c>
      <c r="U470" s="4" t="str">
        <v>18</v>
      </c>
      <c r="V470" s="4" t="str">
        <v>MALE</v>
      </c>
      <c r="W470" s="4" t="str">
        <v>ESPINOZABERG</v>
      </c>
      <c r="X470" s="4" t="str">
        <v>MINNESOTA</v>
      </c>
      <c r="Y470" s="4" t="str">
        <v>USA</v>
      </c>
      <c r="Z470" s="4" t="str">
        <v>SILVER</v>
      </c>
    </row>
    <row r="471" spans="1:26" x14ac:dyDescent="0.25">
      <c r="A471" t="s">
        <v>1452</v>
      </c>
      <c r="B471" t="s">
        <v>1453</v>
      </c>
      <c r="C471">
        <v>63</v>
      </c>
      <c r="D471" t="s">
        <v>16</v>
      </c>
      <c r="E471" t="s">
        <v>1454</v>
      </c>
      <c r="F471" t="s">
        <v>175</v>
      </c>
      <c r="G471" t="s">
        <v>13</v>
      </c>
      <c r="H471" t="s">
        <v>50</v>
      </c>
      <c r="J471" s="4" t="str">
        <v>CUST1467</v>
      </c>
      <c r="K471" s="4" t="str">
        <v>Michael Foley</v>
      </c>
      <c r="L471" s="4" t="str">
        <v>63</v>
      </c>
      <c r="M471" s="4" t="str">
        <v>Female</v>
      </c>
      <c r="N471" s="4" t="str">
        <v>Oneillfurt</v>
      </c>
      <c r="O471" s="4" t="str">
        <v>Vermont</v>
      </c>
      <c r="P471" s="4" t="str">
        <v>USA</v>
      </c>
      <c r="Q471" s="4" t="str">
        <v>Gold</v>
      </c>
      <c r="S471" s="4" t="str">
        <v>CUST1467</v>
      </c>
      <c r="T471" s="4" t="str">
        <v>MICHAEL FOLEY</v>
      </c>
      <c r="U471" s="4" t="str">
        <v>63</v>
      </c>
      <c r="V471" s="4" t="str">
        <v>FEMALE</v>
      </c>
      <c r="W471" s="4" t="str">
        <v>ONEILLFURT</v>
      </c>
      <c r="X471" s="4" t="str">
        <v>VERMONT</v>
      </c>
      <c r="Y471" s="4" t="str">
        <v>USA</v>
      </c>
      <c r="Z471" s="4" t="str">
        <v>GOLD</v>
      </c>
    </row>
    <row r="472" spans="1:26" x14ac:dyDescent="0.25">
      <c r="A472" t="s">
        <v>1455</v>
      </c>
      <c r="B472" t="s">
        <v>1456</v>
      </c>
      <c r="C472">
        <v>45</v>
      </c>
      <c r="D472" t="s">
        <v>10</v>
      </c>
      <c r="E472" t="s">
        <v>1457</v>
      </c>
      <c r="F472" t="s">
        <v>175</v>
      </c>
      <c r="G472" t="s">
        <v>13</v>
      </c>
      <c r="H472" t="s">
        <v>28</v>
      </c>
      <c r="J472" s="4" t="str">
        <v>CUST1468</v>
      </c>
      <c r="K472" s="4" t="str">
        <v>Gregory Curtis</v>
      </c>
      <c r="L472" s="4" t="str">
        <v>45</v>
      </c>
      <c r="M472" s="4" t="str">
        <v>Male</v>
      </c>
      <c r="N472" s="4" t="str">
        <v>Bergermouth</v>
      </c>
      <c r="O472" s="4" t="str">
        <v>Vermont</v>
      </c>
      <c r="P472" s="4" t="str">
        <v>USA</v>
      </c>
      <c r="Q472" s="4" t="str">
        <v>Bronze</v>
      </c>
      <c r="S472" s="4" t="str">
        <v>CUST1468</v>
      </c>
      <c r="T472" s="4" t="str">
        <v>GREGORY CURTIS</v>
      </c>
      <c r="U472" s="4" t="str">
        <v>45</v>
      </c>
      <c r="V472" s="4" t="str">
        <v>MALE</v>
      </c>
      <c r="W472" s="4" t="str">
        <v>BERGERMOUTH</v>
      </c>
      <c r="X472" s="4" t="str">
        <v>VERMONT</v>
      </c>
      <c r="Y472" s="4" t="str">
        <v>USA</v>
      </c>
      <c r="Z472" s="4" t="str">
        <v>BRONZE</v>
      </c>
    </row>
    <row r="473" spans="1:26" x14ac:dyDescent="0.25">
      <c r="A473" t="s">
        <v>1458</v>
      </c>
      <c r="B473" t="s">
        <v>1459</v>
      </c>
      <c r="C473">
        <v>19</v>
      </c>
      <c r="D473" t="s">
        <v>10</v>
      </c>
      <c r="E473" t="s">
        <v>1460</v>
      </c>
      <c r="F473" t="s">
        <v>121</v>
      </c>
      <c r="G473" t="s">
        <v>13</v>
      </c>
      <c r="H473" t="s">
        <v>50</v>
      </c>
      <c r="J473" s="4" t="str">
        <v>CUST1469</v>
      </c>
      <c r="K473" s="4" t="str">
        <v>James Foster</v>
      </c>
      <c r="L473" s="4" t="str">
        <v>19</v>
      </c>
      <c r="M473" s="4" t="str">
        <v>Male</v>
      </c>
      <c r="N473" s="4" t="str">
        <v>East Audrey</v>
      </c>
      <c r="O473" s="4" t="str">
        <v>Utah</v>
      </c>
      <c r="P473" s="4" t="str">
        <v>USA</v>
      </c>
      <c r="Q473" s="4" t="str">
        <v>Gold</v>
      </c>
      <c r="S473" s="4" t="str">
        <v>CUST1469</v>
      </c>
      <c r="T473" s="4" t="str">
        <v>JAMES FOSTER</v>
      </c>
      <c r="U473" s="4" t="str">
        <v>19</v>
      </c>
      <c r="V473" s="4" t="str">
        <v>MALE</v>
      </c>
      <c r="W473" s="4" t="str">
        <v>EAST AUDREY</v>
      </c>
      <c r="X473" s="4" t="str">
        <v>UTAH</v>
      </c>
      <c r="Y473" s="4" t="str">
        <v>USA</v>
      </c>
      <c r="Z473" s="4" t="str">
        <v>GOLD</v>
      </c>
    </row>
    <row r="474" spans="1:26" x14ac:dyDescent="0.25">
      <c r="A474" t="s">
        <v>1461</v>
      </c>
      <c r="B474" t="s">
        <v>1462</v>
      </c>
      <c r="C474">
        <v>21</v>
      </c>
      <c r="D474" t="s">
        <v>16</v>
      </c>
      <c r="E474" t="s">
        <v>1463</v>
      </c>
      <c r="F474" t="s">
        <v>49</v>
      </c>
      <c r="G474" t="s">
        <v>13</v>
      </c>
      <c r="H474" t="s">
        <v>50</v>
      </c>
      <c r="J474" s="4" t="str">
        <v>CUST1470</v>
      </c>
      <c r="K474" s="4" t="str">
        <v>Manuel Fisher</v>
      </c>
      <c r="L474" s="4" t="str">
        <v>21</v>
      </c>
      <c r="M474" s="4" t="str">
        <v>Female</v>
      </c>
      <c r="N474" s="4" t="str">
        <v>Kanebury</v>
      </c>
      <c r="O474" s="4" t="str">
        <v>New Hampshire</v>
      </c>
      <c r="P474" s="4" t="str">
        <v>USA</v>
      </c>
      <c r="Q474" s="4" t="str">
        <v>Gold</v>
      </c>
      <c r="S474" s="4" t="str">
        <v>CUST1470</v>
      </c>
      <c r="T474" s="4" t="str">
        <v>MANUEL FISHER</v>
      </c>
      <c r="U474" s="4" t="str">
        <v>21</v>
      </c>
      <c r="V474" s="4" t="str">
        <v>FEMALE</v>
      </c>
      <c r="W474" s="4" t="str">
        <v>KANEBURY</v>
      </c>
      <c r="X474" s="4" t="str">
        <v>NEW HAMPSHIRE</v>
      </c>
      <c r="Y474" s="4" t="str">
        <v>USA</v>
      </c>
      <c r="Z474" s="4" t="str">
        <v>GOLD</v>
      </c>
    </row>
    <row r="475" spans="1:26" x14ac:dyDescent="0.25">
      <c r="A475" t="s">
        <v>1464</v>
      </c>
      <c r="B475" t="s">
        <v>1465</v>
      </c>
      <c r="C475">
        <v>42</v>
      </c>
      <c r="D475" t="s">
        <v>10</v>
      </c>
      <c r="E475" t="s">
        <v>1466</v>
      </c>
      <c r="F475" t="s">
        <v>69</v>
      </c>
      <c r="G475" t="s">
        <v>13</v>
      </c>
      <c r="H475" t="s">
        <v>19</v>
      </c>
      <c r="J475" s="4" t="str">
        <v>CUST1471</v>
      </c>
      <c r="K475" s="4" t="str">
        <v>Debra Mccullough</v>
      </c>
      <c r="L475" s="4" t="str">
        <v>42</v>
      </c>
      <c r="M475" s="4" t="str">
        <v>Male</v>
      </c>
      <c r="N475" s="4" t="str">
        <v>Mcdanielfurt</v>
      </c>
      <c r="O475" s="4" t="str">
        <v>Montana</v>
      </c>
      <c r="P475" s="4" t="str">
        <v>USA</v>
      </c>
      <c r="Q475" s="4" t="str">
        <v>Platinum</v>
      </c>
      <c r="S475" s="4" t="str">
        <v>CUST1471</v>
      </c>
      <c r="T475" s="4" t="str">
        <v>DEBRA MCCULLOUGH</v>
      </c>
      <c r="U475" s="4" t="str">
        <v>42</v>
      </c>
      <c r="V475" s="4" t="str">
        <v>MALE</v>
      </c>
      <c r="W475" s="4" t="str">
        <v>MCDANIELFURT</v>
      </c>
      <c r="X475" s="4" t="str">
        <v>MONTANA</v>
      </c>
      <c r="Y475" s="4" t="str">
        <v>USA</v>
      </c>
      <c r="Z475" s="4" t="str">
        <v>PLATINUM</v>
      </c>
    </row>
    <row r="476" spans="1:26" x14ac:dyDescent="0.25">
      <c r="A476" t="s">
        <v>1467</v>
      </c>
      <c r="B476" t="s">
        <v>1468</v>
      </c>
      <c r="C476">
        <v>42</v>
      </c>
      <c r="D476" t="s">
        <v>10</v>
      </c>
      <c r="E476" t="s">
        <v>1469</v>
      </c>
      <c r="F476" t="s">
        <v>725</v>
      </c>
      <c r="G476" t="s">
        <v>13</v>
      </c>
      <c r="H476" t="s">
        <v>33</v>
      </c>
      <c r="J476" s="4" t="str">
        <v>CUST1472</v>
      </c>
      <c r="K476" s="4" t="str">
        <v>Philip Mendoza</v>
      </c>
      <c r="L476" s="4" t="str">
        <v>42</v>
      </c>
      <c r="M476" s="4" t="str">
        <v>Male</v>
      </c>
      <c r="N476" s="4" t="str">
        <v>Tylermouth</v>
      </c>
      <c r="O476" s="4" t="str">
        <v>Massachusetts</v>
      </c>
      <c r="P476" s="4" t="str">
        <v>USA</v>
      </c>
      <c r="Q476" s="4" t="str">
        <v>Silver</v>
      </c>
      <c r="S476" s="4" t="str">
        <v>CUST1472</v>
      </c>
      <c r="T476" s="4" t="str">
        <v>PHILIP MENDOZA</v>
      </c>
      <c r="U476" s="4" t="str">
        <v>42</v>
      </c>
      <c r="V476" s="4" t="str">
        <v>MALE</v>
      </c>
      <c r="W476" s="4" t="str">
        <v>TYLERMOUTH</v>
      </c>
      <c r="X476" s="4" t="str">
        <v>MASSACHUSETTS</v>
      </c>
      <c r="Y476" s="4" t="str">
        <v>USA</v>
      </c>
      <c r="Z476" s="4" t="str">
        <v>SILVER</v>
      </c>
    </row>
    <row r="477" spans="1:26" x14ac:dyDescent="0.25">
      <c r="A477" t="s">
        <v>1470</v>
      </c>
      <c r="B477" t="s">
        <v>1471</v>
      </c>
      <c r="C477">
        <v>53</v>
      </c>
      <c r="D477" t="s">
        <v>10</v>
      </c>
      <c r="E477" t="s">
        <v>1472</v>
      </c>
      <c r="F477" t="s">
        <v>328</v>
      </c>
      <c r="G477" t="s">
        <v>13</v>
      </c>
      <c r="H477" t="s">
        <v>28</v>
      </c>
      <c r="J477" s="4" t="str">
        <v>CUST1473</v>
      </c>
      <c r="K477" s="4" t="str">
        <v>Laura Mathews</v>
      </c>
      <c r="L477" s="4" t="str">
        <v>53</v>
      </c>
      <c r="M477" s="4" t="str">
        <v>Male</v>
      </c>
      <c r="N477" s="4" t="str">
        <v>Chambersfurt</v>
      </c>
      <c r="O477" s="4" t="str">
        <v>Wisconsin</v>
      </c>
      <c r="P477" s="4" t="str">
        <v>USA</v>
      </c>
      <c r="Q477" s="4" t="str">
        <v>Bronze</v>
      </c>
      <c r="S477" s="4" t="str">
        <v>CUST1473</v>
      </c>
      <c r="T477" s="4" t="str">
        <v>LAURA MATHEWS</v>
      </c>
      <c r="U477" s="4" t="str">
        <v>53</v>
      </c>
      <c r="V477" s="4" t="str">
        <v>MALE</v>
      </c>
      <c r="W477" s="4" t="str">
        <v>CHAMBERSFURT</v>
      </c>
      <c r="X477" s="4" t="str">
        <v>WISCONSIN</v>
      </c>
      <c r="Y477" s="4" t="str">
        <v>USA</v>
      </c>
      <c r="Z477" s="4" t="str">
        <v>BRONZE</v>
      </c>
    </row>
    <row r="478" spans="1:26" x14ac:dyDescent="0.25">
      <c r="A478" t="s">
        <v>1473</v>
      </c>
      <c r="B478" t="s">
        <v>1474</v>
      </c>
      <c r="C478">
        <v>32</v>
      </c>
      <c r="D478" t="s">
        <v>16</v>
      </c>
      <c r="E478" t="s">
        <v>1475</v>
      </c>
      <c r="F478" t="s">
        <v>41</v>
      </c>
      <c r="G478" t="s">
        <v>13</v>
      </c>
      <c r="H478" t="s">
        <v>19</v>
      </c>
      <c r="J478" s="4" t="str">
        <v>CUST1474</v>
      </c>
      <c r="K478" s="4" t="str">
        <v>Joshua Howard</v>
      </c>
      <c r="L478" s="4" t="str">
        <v>32</v>
      </c>
      <c r="M478" s="4" t="str">
        <v>Female</v>
      </c>
      <c r="N478" s="4" t="str">
        <v>East Christopherhaven</v>
      </c>
      <c r="O478" s="4" t="str">
        <v>South Dakota</v>
      </c>
      <c r="P478" s="4" t="str">
        <v>USA</v>
      </c>
      <c r="Q478" s="4" t="str">
        <v>Platinum</v>
      </c>
      <c r="S478" s="4" t="str">
        <v>CUST1474</v>
      </c>
      <c r="T478" s="4" t="str">
        <v>JOSHUA HOWARD</v>
      </c>
      <c r="U478" s="4" t="str">
        <v>32</v>
      </c>
      <c r="V478" s="4" t="str">
        <v>FEMALE</v>
      </c>
      <c r="W478" s="4" t="str">
        <v>EAST CHRISTOPHERHAVEN</v>
      </c>
      <c r="X478" s="4" t="str">
        <v>SOUTH DAKOTA</v>
      </c>
      <c r="Y478" s="4" t="str">
        <v>USA</v>
      </c>
      <c r="Z478" s="4" t="str">
        <v>PLATINUM</v>
      </c>
    </row>
    <row r="479" spans="1:26" x14ac:dyDescent="0.25">
      <c r="A479" t="s">
        <v>1476</v>
      </c>
      <c r="B479" t="s">
        <v>1477</v>
      </c>
      <c r="C479">
        <v>18</v>
      </c>
      <c r="D479" t="s">
        <v>16</v>
      </c>
      <c r="E479" t="s">
        <v>399</v>
      </c>
      <c r="F479" t="s">
        <v>175</v>
      </c>
      <c r="G479" t="s">
        <v>13</v>
      </c>
      <c r="H479" t="s">
        <v>19</v>
      </c>
      <c r="J479" s="4" t="str">
        <v>CUST1475</v>
      </c>
      <c r="K479" s="4" t="str">
        <v>Barbara Berry</v>
      </c>
      <c r="L479" s="4" t="str">
        <v>18</v>
      </c>
      <c r="M479" s="4" t="str">
        <v>Female</v>
      </c>
      <c r="N479" s="4" t="str">
        <v>Lake Michael</v>
      </c>
      <c r="O479" s="4" t="str">
        <v>Vermont</v>
      </c>
      <c r="P479" s="4" t="str">
        <v>USA</v>
      </c>
      <c r="Q479" s="4" t="str">
        <v>Platinum</v>
      </c>
      <c r="S479" s="4" t="str">
        <v>CUST1475</v>
      </c>
      <c r="T479" s="4" t="str">
        <v>BARBARA BERRY</v>
      </c>
      <c r="U479" s="4" t="str">
        <v>18</v>
      </c>
      <c r="V479" s="4" t="str">
        <v>FEMALE</v>
      </c>
      <c r="W479" s="4" t="str">
        <v>LAKE MICHAEL</v>
      </c>
      <c r="X479" s="4" t="str">
        <v>VERMONT</v>
      </c>
      <c r="Y479" s="4" t="str">
        <v>USA</v>
      </c>
      <c r="Z479" s="4" t="str">
        <v>PLATINUM</v>
      </c>
    </row>
    <row r="480" spans="1:26" x14ac:dyDescent="0.25">
      <c r="A480" t="s">
        <v>1478</v>
      </c>
      <c r="B480" t="s">
        <v>1479</v>
      </c>
      <c r="C480">
        <v>33</v>
      </c>
      <c r="D480" t="s">
        <v>16</v>
      </c>
      <c r="E480" t="s">
        <v>1480</v>
      </c>
      <c r="F480" t="s">
        <v>99</v>
      </c>
      <c r="G480" t="s">
        <v>13</v>
      </c>
      <c r="H480" t="s">
        <v>50</v>
      </c>
      <c r="J480" s="4" t="str">
        <v>CUST1476</v>
      </c>
      <c r="K480" s="4" t="str">
        <v>Elizabeth Foster</v>
      </c>
      <c r="L480" s="4" t="str">
        <v>33</v>
      </c>
      <c r="M480" s="4" t="str">
        <v>Female</v>
      </c>
      <c r="N480" s="4" t="str">
        <v>Anthonymouth</v>
      </c>
      <c r="O480" s="4" t="str">
        <v>Oklahoma</v>
      </c>
      <c r="P480" s="4" t="str">
        <v>USA</v>
      </c>
      <c r="Q480" s="4" t="str">
        <v>Gold</v>
      </c>
      <c r="S480" s="4" t="str">
        <v>CUST1476</v>
      </c>
      <c r="T480" s="4" t="str">
        <v>ELIZABETH FOSTER</v>
      </c>
      <c r="U480" s="4" t="str">
        <v>33</v>
      </c>
      <c r="V480" s="4" t="str">
        <v>FEMALE</v>
      </c>
      <c r="W480" s="4" t="str">
        <v>ANTHONYMOUTH</v>
      </c>
      <c r="X480" s="4" t="str">
        <v>OKLAHOMA</v>
      </c>
      <c r="Y480" s="4" t="str">
        <v>USA</v>
      </c>
      <c r="Z480" s="4" t="str">
        <v>GOLD</v>
      </c>
    </row>
    <row r="481" spans="1:26" x14ac:dyDescent="0.25">
      <c r="A481" t="s">
        <v>1481</v>
      </c>
      <c r="B481" t="s">
        <v>1482</v>
      </c>
      <c r="C481">
        <v>41</v>
      </c>
      <c r="D481" t="s">
        <v>16</v>
      </c>
      <c r="E481" t="s">
        <v>1483</v>
      </c>
      <c r="F481" t="s">
        <v>65</v>
      </c>
      <c r="G481" t="s">
        <v>13</v>
      </c>
      <c r="H481" t="s">
        <v>19</v>
      </c>
      <c r="J481" s="4" t="str">
        <v>CUST1477</v>
      </c>
      <c r="K481" s="4" t="str">
        <v>Andrea Harris</v>
      </c>
      <c r="L481" s="4" t="str">
        <v>41</v>
      </c>
      <c r="M481" s="4" t="str">
        <v>Female</v>
      </c>
      <c r="N481" s="4" t="str">
        <v>West Kelseyberg</v>
      </c>
      <c r="O481" s="4" t="str">
        <v>Kansas</v>
      </c>
      <c r="P481" s="4" t="str">
        <v>USA</v>
      </c>
      <c r="Q481" s="4" t="str">
        <v>Platinum</v>
      </c>
      <c r="S481" s="4" t="str">
        <v>CUST1477</v>
      </c>
      <c r="T481" s="4" t="str">
        <v>ANDREA HARRIS</v>
      </c>
      <c r="U481" s="4" t="str">
        <v>41</v>
      </c>
      <c r="V481" s="4" t="str">
        <v>FEMALE</v>
      </c>
      <c r="W481" s="4" t="str">
        <v>WEST KELSEYBERG</v>
      </c>
      <c r="X481" s="4" t="str">
        <v>KANSAS</v>
      </c>
      <c r="Y481" s="4" t="str">
        <v>USA</v>
      </c>
      <c r="Z481" s="4" t="str">
        <v>PLATINUM</v>
      </c>
    </row>
    <row r="482" spans="1:26" x14ac:dyDescent="0.25">
      <c r="A482" t="s">
        <v>1484</v>
      </c>
      <c r="B482" t="s">
        <v>1485</v>
      </c>
      <c r="C482">
        <v>59</v>
      </c>
      <c r="D482" t="s">
        <v>10</v>
      </c>
      <c r="E482" t="s">
        <v>1486</v>
      </c>
      <c r="F482" t="s">
        <v>41</v>
      </c>
      <c r="G482" t="s">
        <v>13</v>
      </c>
      <c r="H482" t="s">
        <v>50</v>
      </c>
      <c r="J482" s="4" t="str">
        <v>CUST1478</v>
      </c>
      <c r="K482" s="4" t="str">
        <v>Earl Smith DDS</v>
      </c>
      <c r="L482" s="4" t="str">
        <v>59</v>
      </c>
      <c r="M482" s="4" t="str">
        <v>Male</v>
      </c>
      <c r="N482" s="4" t="str">
        <v>West Sarah</v>
      </c>
      <c r="O482" s="4" t="str">
        <v>South Dakota</v>
      </c>
      <c r="P482" s="4" t="str">
        <v>USA</v>
      </c>
      <c r="Q482" s="4" t="str">
        <v>Gold</v>
      </c>
      <c r="S482" s="4" t="str">
        <v>CUST1478</v>
      </c>
      <c r="T482" s="4" t="str">
        <v>EARL SMITH DDS</v>
      </c>
      <c r="U482" s="4" t="str">
        <v>59</v>
      </c>
      <c r="V482" s="4" t="str">
        <v>MALE</v>
      </c>
      <c r="W482" s="4" t="str">
        <v>WEST SARAH</v>
      </c>
      <c r="X482" s="4" t="str">
        <v>SOUTH DAKOTA</v>
      </c>
      <c r="Y482" s="4" t="str">
        <v>USA</v>
      </c>
      <c r="Z482" s="4" t="str">
        <v>GOLD</v>
      </c>
    </row>
    <row r="483" spans="1:26" x14ac:dyDescent="0.25">
      <c r="A483" t="s">
        <v>1487</v>
      </c>
      <c r="B483" t="s">
        <v>1488</v>
      </c>
      <c r="C483">
        <v>40</v>
      </c>
      <c r="D483" t="s">
        <v>10</v>
      </c>
      <c r="E483" t="s">
        <v>1489</v>
      </c>
      <c r="F483" t="s">
        <v>45</v>
      </c>
      <c r="G483" t="s">
        <v>13</v>
      </c>
      <c r="H483" t="s">
        <v>28</v>
      </c>
      <c r="J483" s="4" t="str">
        <v>CUST1479</v>
      </c>
      <c r="K483" s="4" t="str">
        <v>Dylan Gutierrez</v>
      </c>
      <c r="L483" s="4" t="str">
        <v>40</v>
      </c>
      <c r="M483" s="4" t="str">
        <v>Male</v>
      </c>
      <c r="N483" s="4" t="str">
        <v>New Jamesview</v>
      </c>
      <c r="O483" s="4" t="str">
        <v>West Virginia</v>
      </c>
      <c r="P483" s="4" t="str">
        <v>USA</v>
      </c>
      <c r="Q483" s="4" t="str">
        <v>Bronze</v>
      </c>
      <c r="S483" s="4" t="str">
        <v>CUST1479</v>
      </c>
      <c r="T483" s="4" t="str">
        <v>DYLAN GUTIERREZ</v>
      </c>
      <c r="U483" s="4" t="str">
        <v>40</v>
      </c>
      <c r="V483" s="4" t="str">
        <v>MALE</v>
      </c>
      <c r="W483" s="4" t="str">
        <v>NEW JAMESVIEW</v>
      </c>
      <c r="X483" s="4" t="str">
        <v>WEST VIRGINIA</v>
      </c>
      <c r="Y483" s="4" t="str">
        <v>USA</v>
      </c>
      <c r="Z483" s="4" t="str">
        <v>BRONZE</v>
      </c>
    </row>
    <row r="484" spans="1:26" x14ac:dyDescent="0.25">
      <c r="A484" t="s">
        <v>1490</v>
      </c>
      <c r="B484" t="s">
        <v>1491</v>
      </c>
      <c r="C484">
        <v>33</v>
      </c>
      <c r="D484" t="s">
        <v>10</v>
      </c>
      <c r="E484" t="s">
        <v>1492</v>
      </c>
      <c r="F484" t="s">
        <v>254</v>
      </c>
      <c r="G484" t="s">
        <v>13</v>
      </c>
      <c r="H484" t="s">
        <v>28</v>
      </c>
      <c r="J484" s="4" t="str">
        <v>CUST1480</v>
      </c>
      <c r="K484" s="4" t="str">
        <v>Jordan Medina</v>
      </c>
      <c r="L484" s="4" t="str">
        <v>33</v>
      </c>
      <c r="M484" s="4" t="str">
        <v>Male</v>
      </c>
      <c r="N484" s="4" t="str">
        <v>Robinchester</v>
      </c>
      <c r="O484" s="4" t="str">
        <v>Florida</v>
      </c>
      <c r="P484" s="4" t="str">
        <v>USA</v>
      </c>
      <c r="Q484" s="4" t="str">
        <v>Bronze</v>
      </c>
      <c r="S484" s="4" t="str">
        <v>CUST1480</v>
      </c>
      <c r="T484" s="4" t="str">
        <v>JORDAN MEDINA</v>
      </c>
      <c r="U484" s="4" t="str">
        <v>33</v>
      </c>
      <c r="V484" s="4" t="str">
        <v>MALE</v>
      </c>
      <c r="W484" s="4" t="str">
        <v>ROBINCHESTER</v>
      </c>
      <c r="X484" s="4" t="str">
        <v>FLORIDA</v>
      </c>
      <c r="Y484" s="4" t="str">
        <v>USA</v>
      </c>
      <c r="Z484" s="4" t="str">
        <v>BRONZE</v>
      </c>
    </row>
    <row r="485" spans="1:26" x14ac:dyDescent="0.25">
      <c r="A485" t="s">
        <v>1493</v>
      </c>
      <c r="B485" t="s">
        <v>1494</v>
      </c>
      <c r="C485">
        <v>21</v>
      </c>
      <c r="D485" t="s">
        <v>10</v>
      </c>
      <c r="E485" t="s">
        <v>1495</v>
      </c>
      <c r="F485" t="s">
        <v>84</v>
      </c>
      <c r="G485" t="s">
        <v>13</v>
      </c>
      <c r="H485" t="s">
        <v>50</v>
      </c>
      <c r="J485" s="4" t="str">
        <v>CUST1481</v>
      </c>
      <c r="K485" s="4" t="str">
        <v>Bryan Tran</v>
      </c>
      <c r="L485" s="4" t="str">
        <v>21</v>
      </c>
      <c r="M485" s="4" t="str">
        <v>Male</v>
      </c>
      <c r="N485" s="4" t="str">
        <v>Kelseybury</v>
      </c>
      <c r="O485" s="4" t="str">
        <v>Georgia</v>
      </c>
      <c r="P485" s="4" t="str">
        <v>USA</v>
      </c>
      <c r="Q485" s="4" t="str">
        <v>Gold</v>
      </c>
      <c r="S485" s="4" t="str">
        <v>CUST1481</v>
      </c>
      <c r="T485" s="4" t="str">
        <v>BRYAN TRAN</v>
      </c>
      <c r="U485" s="4" t="str">
        <v>21</v>
      </c>
      <c r="V485" s="4" t="str">
        <v>MALE</v>
      </c>
      <c r="W485" s="4" t="str">
        <v>KELSEYBURY</v>
      </c>
      <c r="X485" s="4" t="str">
        <v>GEORGIA</v>
      </c>
      <c r="Y485" s="4" t="str">
        <v>USA</v>
      </c>
      <c r="Z485" s="4" t="str">
        <v>GOLD</v>
      </c>
    </row>
    <row r="486" spans="1:26" x14ac:dyDescent="0.25">
      <c r="A486" t="s">
        <v>1496</v>
      </c>
      <c r="B486" t="s">
        <v>1497</v>
      </c>
      <c r="C486">
        <v>26</v>
      </c>
      <c r="D486" t="s">
        <v>10</v>
      </c>
      <c r="E486" t="s">
        <v>1498</v>
      </c>
      <c r="F486" t="s">
        <v>596</v>
      </c>
      <c r="G486" t="s">
        <v>13</v>
      </c>
      <c r="H486" t="s">
        <v>19</v>
      </c>
      <c r="J486" s="4" t="str">
        <v>CUST1482</v>
      </c>
      <c r="K486" s="4" t="str">
        <v>Sheri Joyce</v>
      </c>
      <c r="L486" s="4" t="str">
        <v>26</v>
      </c>
      <c r="M486" s="4" t="str">
        <v>Male</v>
      </c>
      <c r="N486" s="4" t="str">
        <v>West Tylerfort</v>
      </c>
      <c r="O486" s="4" t="str">
        <v>Kentucky</v>
      </c>
      <c r="P486" s="4" t="str">
        <v>USA</v>
      </c>
      <c r="Q486" s="4" t="str">
        <v>Platinum</v>
      </c>
      <c r="S486" s="4" t="str">
        <v>CUST1482</v>
      </c>
      <c r="T486" s="4" t="str">
        <v>SHERI JOYCE</v>
      </c>
      <c r="U486" s="4" t="str">
        <v>26</v>
      </c>
      <c r="V486" s="4" t="str">
        <v>MALE</v>
      </c>
      <c r="W486" s="4" t="str">
        <v>WEST TYLERFORT</v>
      </c>
      <c r="X486" s="4" t="str">
        <v>KENTUCKY</v>
      </c>
      <c r="Y486" s="4" t="str">
        <v>USA</v>
      </c>
      <c r="Z486" s="4" t="str">
        <v>PLATINUM</v>
      </c>
    </row>
    <row r="487" spans="1:26" x14ac:dyDescent="0.25">
      <c r="A487" t="s">
        <v>1499</v>
      </c>
      <c r="B487" t="s">
        <v>1285</v>
      </c>
      <c r="C487">
        <v>48</v>
      </c>
      <c r="D487" t="s">
        <v>10</v>
      </c>
      <c r="E487" t="s">
        <v>1500</v>
      </c>
      <c r="F487" t="s">
        <v>188</v>
      </c>
      <c r="G487" t="s">
        <v>13</v>
      </c>
      <c r="H487" t="s">
        <v>50</v>
      </c>
      <c r="J487" s="4" t="str">
        <v>CUST1483</v>
      </c>
      <c r="K487" s="4" t="str">
        <v>Sarah Smith</v>
      </c>
      <c r="L487" s="4" t="str">
        <v>48</v>
      </c>
      <c r="M487" s="4" t="str">
        <v>Male</v>
      </c>
      <c r="N487" s="4" t="str">
        <v>East Rodney</v>
      </c>
      <c r="O487" s="4" t="str">
        <v>Nevada</v>
      </c>
      <c r="P487" s="4" t="str">
        <v>USA</v>
      </c>
      <c r="Q487" s="4" t="str">
        <v>Gold</v>
      </c>
      <c r="S487" s="4" t="str">
        <v>CUST1483</v>
      </c>
      <c r="T487" s="4" t="str">
        <v>SARAH SMITH</v>
      </c>
      <c r="U487" s="4" t="str">
        <v>48</v>
      </c>
      <c r="V487" s="4" t="str">
        <v>MALE</v>
      </c>
      <c r="W487" s="4" t="str">
        <v>EAST RODNEY</v>
      </c>
      <c r="X487" s="4" t="str">
        <v>NEVADA</v>
      </c>
      <c r="Y487" s="4" t="str">
        <v>USA</v>
      </c>
      <c r="Z487" s="4" t="str">
        <v>GOLD</v>
      </c>
    </row>
    <row r="488" spans="1:26" x14ac:dyDescent="0.25">
      <c r="A488" t="s">
        <v>1501</v>
      </c>
      <c r="B488" t="s">
        <v>1502</v>
      </c>
      <c r="C488">
        <v>32</v>
      </c>
      <c r="D488" t="s">
        <v>10</v>
      </c>
      <c r="E488" t="s">
        <v>1503</v>
      </c>
      <c r="F488" t="s">
        <v>725</v>
      </c>
      <c r="G488" t="s">
        <v>13</v>
      </c>
      <c r="H488" t="s">
        <v>28</v>
      </c>
      <c r="J488" s="4" t="str">
        <v>CUST1484</v>
      </c>
      <c r="K488" s="4" t="str">
        <v>Jessica Castro</v>
      </c>
      <c r="L488" s="4" t="str">
        <v>32</v>
      </c>
      <c r="M488" s="4" t="str">
        <v>Male</v>
      </c>
      <c r="N488" s="4" t="str">
        <v>West Markton</v>
      </c>
      <c r="O488" s="4" t="str">
        <v>Massachusetts</v>
      </c>
      <c r="P488" s="4" t="str">
        <v>USA</v>
      </c>
      <c r="Q488" s="4" t="str">
        <v>Bronze</v>
      </c>
      <c r="S488" s="4" t="str">
        <v>CUST1484</v>
      </c>
      <c r="T488" s="4" t="str">
        <v>JESSICA CASTRO</v>
      </c>
      <c r="U488" s="4" t="str">
        <v>32</v>
      </c>
      <c r="V488" s="4" t="str">
        <v>MALE</v>
      </c>
      <c r="W488" s="4" t="str">
        <v>WEST MARKTON</v>
      </c>
      <c r="X488" s="4" t="str">
        <v>MASSACHUSETTS</v>
      </c>
      <c r="Y488" s="4" t="str">
        <v>USA</v>
      </c>
      <c r="Z488" s="4" t="str">
        <v>BRONZE</v>
      </c>
    </row>
    <row r="489" spans="1:26" x14ac:dyDescent="0.25">
      <c r="A489" t="s">
        <v>1504</v>
      </c>
      <c r="B489" t="s">
        <v>1505</v>
      </c>
      <c r="C489">
        <v>46</v>
      </c>
      <c r="D489" t="s">
        <v>16</v>
      </c>
      <c r="E489" t="s">
        <v>1506</v>
      </c>
      <c r="F489" t="s">
        <v>291</v>
      </c>
      <c r="G489" t="s">
        <v>13</v>
      </c>
      <c r="H489" t="s">
        <v>28</v>
      </c>
      <c r="J489" s="4" t="str">
        <v>CUST1485</v>
      </c>
      <c r="K489" s="4" t="str">
        <v>Sara Ingram</v>
      </c>
      <c r="L489" s="4" t="str">
        <v>46</v>
      </c>
      <c r="M489" s="4" t="str">
        <v>Female</v>
      </c>
      <c r="N489" s="4" t="str">
        <v>East Dillonview</v>
      </c>
      <c r="O489" s="4" t="str">
        <v>Virginia</v>
      </c>
      <c r="P489" s="4" t="str">
        <v>USA</v>
      </c>
      <c r="Q489" s="4" t="str">
        <v>Bronze</v>
      </c>
      <c r="S489" s="4" t="str">
        <v>CUST1485</v>
      </c>
      <c r="T489" s="4" t="str">
        <v>SARA INGRAM</v>
      </c>
      <c r="U489" s="4" t="str">
        <v>46</v>
      </c>
      <c r="V489" s="4" t="str">
        <v>FEMALE</v>
      </c>
      <c r="W489" s="4" t="str">
        <v>EAST DILLONVIEW</v>
      </c>
      <c r="X489" s="4" t="str">
        <v>VIRGINIA</v>
      </c>
      <c r="Y489" s="4" t="str">
        <v>USA</v>
      </c>
      <c r="Z489" s="4" t="str">
        <v>BRONZE</v>
      </c>
    </row>
    <row r="490" spans="1:26" x14ac:dyDescent="0.25">
      <c r="A490" t="s">
        <v>1551</v>
      </c>
      <c r="B490" t="s">
        <v>1508</v>
      </c>
      <c r="C490">
        <v>22</v>
      </c>
      <c r="D490" t="s">
        <v>16</v>
      </c>
      <c r="E490" t="s">
        <v>1509</v>
      </c>
      <c r="F490" t="s">
        <v>175</v>
      </c>
      <c r="G490" t="s">
        <v>13</v>
      </c>
      <c r="H490" t="s">
        <v>28</v>
      </c>
      <c r="J490" s="4" t="str">
        <v>CUST1486</v>
      </c>
      <c r="K490" s="4" t="str">
        <v>Eric Lee</v>
      </c>
      <c r="L490" s="4" t="str">
        <v>22</v>
      </c>
      <c r="M490" s="4" t="str">
        <v>Female</v>
      </c>
      <c r="N490" s="4" t="str">
        <v>Lake April</v>
      </c>
      <c r="O490" s="4" t="str">
        <v>Vermont</v>
      </c>
      <c r="P490" s="4" t="str">
        <v>USA</v>
      </c>
      <c r="Q490" s="4" t="str">
        <v>Bronze</v>
      </c>
      <c r="S490" s="4" t="str">
        <v>CUST1486</v>
      </c>
      <c r="T490" s="4" t="str">
        <v>ERIC LEE</v>
      </c>
      <c r="U490" s="4" t="str">
        <v>22</v>
      </c>
      <c r="V490" s="4" t="str">
        <v>FEMALE</v>
      </c>
      <c r="W490" s="4" t="str">
        <v>LAKE APRIL</v>
      </c>
      <c r="X490" s="4" t="str">
        <v>VERMONT</v>
      </c>
      <c r="Y490" s="4" t="str">
        <v>USA</v>
      </c>
      <c r="Z490" s="4" t="str">
        <v>BRONZE</v>
      </c>
    </row>
    <row r="491" spans="1:26" x14ac:dyDescent="0.25">
      <c r="A491" t="s">
        <v>1510</v>
      </c>
      <c r="B491" t="s">
        <v>1511</v>
      </c>
      <c r="C491">
        <v>36</v>
      </c>
      <c r="D491" t="s">
        <v>16</v>
      </c>
      <c r="E491" t="s">
        <v>1512</v>
      </c>
      <c r="F491" t="s">
        <v>121</v>
      </c>
      <c r="G491" t="s">
        <v>13</v>
      </c>
      <c r="H491" t="s">
        <v>19</v>
      </c>
      <c r="J491" s="4" t="str">
        <v>CUST1487</v>
      </c>
      <c r="K491" s="4" t="str">
        <v>Amanda Medina</v>
      </c>
      <c r="L491" s="4" t="str">
        <v>36</v>
      </c>
      <c r="M491" s="4" t="str">
        <v>Female</v>
      </c>
      <c r="N491" s="4" t="str">
        <v>East Patriciastad</v>
      </c>
      <c r="O491" s="4" t="str">
        <v>Utah</v>
      </c>
      <c r="P491" s="4" t="str">
        <v>USA</v>
      </c>
      <c r="Q491" s="4" t="str">
        <v>Platinum</v>
      </c>
      <c r="S491" s="4" t="str">
        <v>CUST1487</v>
      </c>
      <c r="T491" s="4" t="str">
        <v>AMANDA MEDINA</v>
      </c>
      <c r="U491" s="4" t="str">
        <v>36</v>
      </c>
      <c r="V491" s="4" t="str">
        <v>FEMALE</v>
      </c>
      <c r="W491" s="4" t="str">
        <v>EAST PATRICIASTAD</v>
      </c>
      <c r="X491" s="4" t="str">
        <v>UTAH</v>
      </c>
      <c r="Y491" s="4" t="str">
        <v>USA</v>
      </c>
      <c r="Z491" s="4" t="str">
        <v>PLATINUM</v>
      </c>
    </row>
    <row r="492" spans="1:26" x14ac:dyDescent="0.25">
      <c r="A492" t="s">
        <v>1513</v>
      </c>
      <c r="B492" t="s">
        <v>1514</v>
      </c>
      <c r="C492">
        <v>23</v>
      </c>
      <c r="D492" t="s">
        <v>16</v>
      </c>
      <c r="E492" t="s">
        <v>1515</v>
      </c>
      <c r="F492" t="s">
        <v>32</v>
      </c>
      <c r="G492" t="s">
        <v>13</v>
      </c>
      <c r="H492" t="s">
        <v>19</v>
      </c>
      <c r="J492" s="4" t="str">
        <v>CUST1488</v>
      </c>
      <c r="K492" s="4" t="str">
        <v>Zachary Andrade</v>
      </c>
      <c r="L492" s="4" t="str">
        <v>23</v>
      </c>
      <c r="M492" s="4" t="str">
        <v>Female</v>
      </c>
      <c r="N492" s="4" t="str">
        <v>South Davidport</v>
      </c>
      <c r="O492" s="4" t="str">
        <v>California</v>
      </c>
      <c r="P492" s="4" t="str">
        <v>USA</v>
      </c>
      <c r="Q492" s="4" t="str">
        <v>Platinum</v>
      </c>
      <c r="S492" s="4" t="str">
        <v>CUST1488</v>
      </c>
      <c r="T492" s="4" t="str">
        <v>ZACHARY ANDRADE</v>
      </c>
      <c r="U492" s="4" t="str">
        <v>23</v>
      </c>
      <c r="V492" s="4" t="str">
        <v>FEMALE</v>
      </c>
      <c r="W492" s="4" t="str">
        <v>SOUTH DAVIDPORT</v>
      </c>
      <c r="X492" s="4" t="str">
        <v>CALIFORNIA</v>
      </c>
      <c r="Y492" s="4" t="str">
        <v>USA</v>
      </c>
      <c r="Z492" s="4" t="str">
        <v>PLATINUM</v>
      </c>
    </row>
    <row r="493" spans="1:26" x14ac:dyDescent="0.25">
      <c r="A493" t="s">
        <v>1516</v>
      </c>
      <c r="B493" t="s">
        <v>1517</v>
      </c>
      <c r="C493">
        <v>42</v>
      </c>
      <c r="D493" t="s">
        <v>16</v>
      </c>
      <c r="E493" t="s">
        <v>1518</v>
      </c>
      <c r="F493" t="s">
        <v>258</v>
      </c>
      <c r="G493" t="s">
        <v>13</v>
      </c>
      <c r="H493" t="s">
        <v>33</v>
      </c>
      <c r="J493" s="4" t="str">
        <v>CUST1489</v>
      </c>
      <c r="K493" s="4" t="str">
        <v>Melinda Thomas</v>
      </c>
      <c r="L493" s="4" t="str">
        <v>42</v>
      </c>
      <c r="M493" s="4" t="str">
        <v>Female</v>
      </c>
      <c r="N493" s="4" t="str">
        <v>Lake Elizabethside</v>
      </c>
      <c r="O493" s="4" t="str">
        <v>Indiana</v>
      </c>
      <c r="P493" s="4" t="str">
        <v>USA</v>
      </c>
      <c r="Q493" s="4" t="str">
        <v>Silver</v>
      </c>
      <c r="S493" s="4" t="str">
        <v>CUST1489</v>
      </c>
      <c r="T493" s="4" t="str">
        <v>MELINDA THOMAS</v>
      </c>
      <c r="U493" s="4" t="str">
        <v>42</v>
      </c>
      <c r="V493" s="4" t="str">
        <v>FEMALE</v>
      </c>
      <c r="W493" s="4" t="str">
        <v>LAKE ELIZABETHSIDE</v>
      </c>
      <c r="X493" s="4" t="str">
        <v>INDIANA</v>
      </c>
      <c r="Y493" s="4" t="str">
        <v>USA</v>
      </c>
      <c r="Z493" s="4" t="str">
        <v>SILVER</v>
      </c>
    </row>
    <row r="494" spans="1:26" x14ac:dyDescent="0.25">
      <c r="A494" t="s">
        <v>1519</v>
      </c>
      <c r="B494" t="s">
        <v>1520</v>
      </c>
      <c r="C494">
        <v>23</v>
      </c>
      <c r="D494" t="s">
        <v>10</v>
      </c>
      <c r="E494" t="s">
        <v>1521</v>
      </c>
      <c r="F494" t="s">
        <v>144</v>
      </c>
      <c r="G494" t="s">
        <v>13</v>
      </c>
      <c r="H494" t="s">
        <v>19</v>
      </c>
      <c r="J494" s="4" t="str">
        <v>CUST1490</v>
      </c>
      <c r="K494" s="4" t="str">
        <v>Scott Harris</v>
      </c>
      <c r="L494" s="4" t="str">
        <v>23</v>
      </c>
      <c r="M494" s="4" t="str">
        <v>Male</v>
      </c>
      <c r="N494" s="4" t="str">
        <v>North Nataliemouth</v>
      </c>
      <c r="O494" s="4" t="str">
        <v>Maryland</v>
      </c>
      <c r="P494" s="4" t="str">
        <v>USA</v>
      </c>
      <c r="Q494" s="4" t="str">
        <v>Platinum</v>
      </c>
      <c r="S494" s="4" t="str">
        <v>CUST1490</v>
      </c>
      <c r="T494" s="4" t="str">
        <v>SCOTT HARRIS</v>
      </c>
      <c r="U494" s="4" t="str">
        <v>23</v>
      </c>
      <c r="V494" s="4" t="str">
        <v>MALE</v>
      </c>
      <c r="W494" s="4" t="str">
        <v>NORTH NATALIEMOUTH</v>
      </c>
      <c r="X494" s="4" t="str">
        <v>MARYLAND</v>
      </c>
      <c r="Y494" s="4" t="str">
        <v>USA</v>
      </c>
      <c r="Z494" s="4" t="str">
        <v>PLATINUM</v>
      </c>
    </row>
    <row r="495" spans="1:26" x14ac:dyDescent="0.25">
      <c r="A495" t="s">
        <v>1552</v>
      </c>
      <c r="B495" t="s">
        <v>1523</v>
      </c>
      <c r="C495">
        <v>52</v>
      </c>
      <c r="D495" t="s">
        <v>16</v>
      </c>
      <c r="E495" t="s">
        <v>1524</v>
      </c>
      <c r="F495" t="s">
        <v>41</v>
      </c>
      <c r="G495" t="s">
        <v>13</v>
      </c>
      <c r="H495" t="s">
        <v>50</v>
      </c>
      <c r="J495" s="4" t="str">
        <v>CUST1491</v>
      </c>
      <c r="K495" s="4" t="str">
        <v>Kaitlin Brown</v>
      </c>
      <c r="L495" s="4" t="str">
        <v>52</v>
      </c>
      <c r="M495" s="4" t="str">
        <v>Female</v>
      </c>
      <c r="N495" s="4" t="str">
        <v>Kellyberg</v>
      </c>
      <c r="O495" s="4" t="str">
        <v>South Dakota</v>
      </c>
      <c r="P495" s="4" t="str">
        <v>USA</v>
      </c>
      <c r="Q495" s="4" t="str">
        <v>Gold</v>
      </c>
      <c r="S495" s="4" t="str">
        <v>CUST1491</v>
      </c>
      <c r="T495" s="4" t="str">
        <v>KAITLIN BROWN</v>
      </c>
      <c r="U495" s="4" t="str">
        <v>52</v>
      </c>
      <c r="V495" s="4" t="str">
        <v>FEMALE</v>
      </c>
      <c r="W495" s="4" t="str">
        <v>KELLYBERG</v>
      </c>
      <c r="X495" s="4" t="str">
        <v>SOUTH DAKOTA</v>
      </c>
      <c r="Y495" s="4" t="str">
        <v>USA</v>
      </c>
      <c r="Z495" s="4" t="str">
        <v>GOLD</v>
      </c>
    </row>
    <row r="496" spans="1:26" x14ac:dyDescent="0.25">
      <c r="A496" t="s">
        <v>1525</v>
      </c>
      <c r="B496" t="s">
        <v>1526</v>
      </c>
      <c r="C496">
        <v>59</v>
      </c>
      <c r="D496" t="s">
        <v>16</v>
      </c>
      <c r="E496" t="s">
        <v>1527</v>
      </c>
      <c r="F496" t="s">
        <v>254</v>
      </c>
      <c r="G496" t="s">
        <v>13</v>
      </c>
      <c r="H496" t="s">
        <v>19</v>
      </c>
      <c r="J496" s="4" t="str">
        <v>CUST1492</v>
      </c>
      <c r="K496" s="4" t="str">
        <v>Darrell Miller</v>
      </c>
      <c r="L496" s="4" t="str">
        <v>59</v>
      </c>
      <c r="M496" s="4" t="str">
        <v>Female</v>
      </c>
      <c r="N496" s="4" t="str">
        <v>Port Carol</v>
      </c>
      <c r="O496" s="4" t="str">
        <v>Florida</v>
      </c>
      <c r="P496" s="4" t="str">
        <v>USA</v>
      </c>
      <c r="Q496" s="4" t="str">
        <v>Platinum</v>
      </c>
      <c r="S496" s="4" t="str">
        <v>CUST1492</v>
      </c>
      <c r="T496" s="4" t="str">
        <v>DARRELL MILLER</v>
      </c>
      <c r="U496" s="4" t="str">
        <v>59</v>
      </c>
      <c r="V496" s="4" t="str">
        <v>FEMALE</v>
      </c>
      <c r="W496" s="4" t="str">
        <v>PORT CAROL</v>
      </c>
      <c r="X496" s="4" t="str">
        <v>FLORIDA</v>
      </c>
      <c r="Y496" s="4" t="str">
        <v>USA</v>
      </c>
      <c r="Z496" s="4" t="str">
        <v>PLATINUM</v>
      </c>
    </row>
    <row r="497" spans="1:26" x14ac:dyDescent="0.25">
      <c r="A497" t="s">
        <v>1528</v>
      </c>
      <c r="B497" t="s">
        <v>1529</v>
      </c>
      <c r="C497">
        <v>28</v>
      </c>
      <c r="D497" t="s">
        <v>10</v>
      </c>
      <c r="E497" t="s">
        <v>87</v>
      </c>
      <c r="F497" t="s">
        <v>23</v>
      </c>
      <c r="G497" t="s">
        <v>13</v>
      </c>
      <c r="H497" t="s">
        <v>33</v>
      </c>
      <c r="J497" s="4" t="str">
        <v>CUST1493</v>
      </c>
      <c r="K497" s="4" t="str">
        <v>Amanda Powell</v>
      </c>
      <c r="L497" s="4" t="str">
        <v>28</v>
      </c>
      <c r="M497" s="4" t="str">
        <v>Male</v>
      </c>
      <c r="N497" s="4" t="str">
        <v>South William</v>
      </c>
      <c r="O497" s="4" t="str">
        <v>Alabama</v>
      </c>
      <c r="P497" s="4" t="str">
        <v>USA</v>
      </c>
      <c r="Q497" s="4" t="str">
        <v>Silver</v>
      </c>
      <c r="S497" s="4" t="str">
        <v>CUST1493</v>
      </c>
      <c r="T497" s="4" t="str">
        <v>AMANDA POWELL</v>
      </c>
      <c r="U497" s="4" t="str">
        <v>28</v>
      </c>
      <c r="V497" s="4" t="str">
        <v>MALE</v>
      </c>
      <c r="W497" s="4" t="str">
        <v>SOUTH WILLIAM</v>
      </c>
      <c r="X497" s="4" t="str">
        <v>ALABAMA</v>
      </c>
      <c r="Y497" s="4" t="str">
        <v>USA</v>
      </c>
      <c r="Z497" s="4" t="str">
        <v>SILVER</v>
      </c>
    </row>
    <row r="498" spans="1:26" x14ac:dyDescent="0.25">
      <c r="A498" t="s">
        <v>1530</v>
      </c>
      <c r="B498" t="s">
        <v>1531</v>
      </c>
      <c r="C498">
        <v>21</v>
      </c>
      <c r="D498" t="s">
        <v>10</v>
      </c>
      <c r="E498" t="s">
        <v>1532</v>
      </c>
      <c r="F498" t="s">
        <v>363</v>
      </c>
      <c r="G498" t="s">
        <v>13</v>
      </c>
      <c r="H498" t="s">
        <v>50</v>
      </c>
      <c r="J498" s="4" t="str">
        <v>CUST1494</v>
      </c>
      <c r="K498" s="4" t="str">
        <v>Justin Lopez</v>
      </c>
      <c r="L498" s="4" t="str">
        <v>21</v>
      </c>
      <c r="M498" s="4" t="str">
        <v>Male</v>
      </c>
      <c r="N498" s="4" t="str">
        <v>Port Cheryl</v>
      </c>
      <c r="O498" s="4" t="str">
        <v>Texas</v>
      </c>
      <c r="P498" s="4" t="str">
        <v>USA</v>
      </c>
      <c r="Q498" s="4" t="str">
        <v>Gold</v>
      </c>
      <c r="S498" s="4" t="str">
        <v>CUST1494</v>
      </c>
      <c r="T498" s="4" t="str">
        <v>JUSTIN LOPEZ</v>
      </c>
      <c r="U498" s="4" t="str">
        <v>21</v>
      </c>
      <c r="V498" s="4" t="str">
        <v>MALE</v>
      </c>
      <c r="W498" s="4" t="str">
        <v>PORT CHERYL</v>
      </c>
      <c r="X498" s="4" t="str">
        <v>TEXAS</v>
      </c>
      <c r="Y498" s="4" t="str">
        <v>USA</v>
      </c>
      <c r="Z498" s="4" t="str">
        <v>GOLD</v>
      </c>
    </row>
    <row r="499" spans="1:26" x14ac:dyDescent="0.25">
      <c r="A499" t="s">
        <v>1533</v>
      </c>
      <c r="B499" t="s">
        <v>1534</v>
      </c>
      <c r="C499">
        <v>23</v>
      </c>
      <c r="D499" t="s">
        <v>16</v>
      </c>
      <c r="E499" t="s">
        <v>1535</v>
      </c>
      <c r="F499" t="s">
        <v>95</v>
      </c>
      <c r="G499" t="s">
        <v>13</v>
      </c>
      <c r="H499" t="s">
        <v>28</v>
      </c>
      <c r="J499" s="4" t="str">
        <v>CUST1495</v>
      </c>
      <c r="K499" s="4" t="str">
        <v>James Berger</v>
      </c>
      <c r="L499" s="4" t="str">
        <v>23</v>
      </c>
      <c r="M499" s="4" t="str">
        <v>Female</v>
      </c>
      <c r="N499" s="4" t="str">
        <v>Bryanmouth</v>
      </c>
      <c r="O499" s="4" t="str">
        <v>Delaware</v>
      </c>
      <c r="P499" s="4" t="str">
        <v>USA</v>
      </c>
      <c r="Q499" s="4" t="str">
        <v>Bronze</v>
      </c>
      <c r="S499" s="4" t="str">
        <v>CUST1495</v>
      </c>
      <c r="T499" s="4" t="str">
        <v>JAMES BERGER</v>
      </c>
      <c r="U499" s="4" t="str">
        <v>23</v>
      </c>
      <c r="V499" s="4" t="str">
        <v>FEMALE</v>
      </c>
      <c r="W499" s="4" t="str">
        <v>BRYANMOUTH</v>
      </c>
      <c r="X499" s="4" t="str">
        <v>DELAWARE</v>
      </c>
      <c r="Y499" s="4" t="str">
        <v>USA</v>
      </c>
      <c r="Z499" s="4" t="str">
        <v>BRONZE</v>
      </c>
    </row>
    <row r="500" spans="1:26" x14ac:dyDescent="0.25">
      <c r="A500" t="s">
        <v>1536</v>
      </c>
      <c r="B500" t="s">
        <v>1537</v>
      </c>
      <c r="C500">
        <v>56</v>
      </c>
      <c r="D500" t="s">
        <v>10</v>
      </c>
      <c r="E500" t="s">
        <v>1538</v>
      </c>
      <c r="F500" t="s">
        <v>27</v>
      </c>
      <c r="G500" t="s">
        <v>13</v>
      </c>
      <c r="H500" t="s">
        <v>28</v>
      </c>
      <c r="J500" s="4" t="str">
        <v>CUST1496</v>
      </c>
      <c r="K500" s="4" t="str">
        <v>Christopher Ford</v>
      </c>
      <c r="L500" s="4" t="str">
        <v>56</v>
      </c>
      <c r="M500" s="4" t="str">
        <v>Male</v>
      </c>
      <c r="N500" s="4" t="str">
        <v>North Seanfurt</v>
      </c>
      <c r="O500" s="4" t="str">
        <v>Ohio</v>
      </c>
      <c r="P500" s="4" t="str">
        <v>USA</v>
      </c>
      <c r="Q500" s="4" t="str">
        <v>Bronze</v>
      </c>
      <c r="S500" s="4" t="str">
        <v>CUST1496</v>
      </c>
      <c r="T500" s="4" t="str">
        <v>CHRISTOPHER FORD</v>
      </c>
      <c r="U500" s="4" t="str">
        <v>56</v>
      </c>
      <c r="V500" s="4" t="str">
        <v>MALE</v>
      </c>
      <c r="W500" s="4" t="str">
        <v>NORTH SEANFURT</v>
      </c>
      <c r="X500" s="4" t="str">
        <v>OHIO</v>
      </c>
      <c r="Y500" s="4" t="str">
        <v>USA</v>
      </c>
      <c r="Z500" s="4" t="str">
        <v>BRONZE</v>
      </c>
    </row>
    <row r="501" spans="1:26" x14ac:dyDescent="0.25">
      <c r="A501" t="s">
        <v>1539</v>
      </c>
      <c r="B501" t="s">
        <v>1540</v>
      </c>
      <c r="C501">
        <v>47</v>
      </c>
      <c r="D501" t="s">
        <v>16</v>
      </c>
      <c r="E501" t="s">
        <v>1541</v>
      </c>
      <c r="F501" t="s">
        <v>61</v>
      </c>
      <c r="G501" t="s">
        <v>13</v>
      </c>
      <c r="H501" t="s">
        <v>50</v>
      </c>
      <c r="J501" s="4" t="str">
        <v>CUST1497</v>
      </c>
      <c r="K501" s="4" t="str">
        <v>Sarah Marsh</v>
      </c>
      <c r="L501" s="4" t="str">
        <v>47</v>
      </c>
      <c r="M501" s="4" t="str">
        <v>Female</v>
      </c>
      <c r="N501" s="4" t="str">
        <v>Port William</v>
      </c>
      <c r="O501" s="4" t="str">
        <v>New York</v>
      </c>
      <c r="P501" s="4" t="str">
        <v>USA</v>
      </c>
      <c r="Q501" s="4" t="str">
        <v>Gold</v>
      </c>
      <c r="S501" s="4" t="str">
        <v>CUST1497</v>
      </c>
      <c r="T501" s="4" t="str">
        <v>SARAH MARSH</v>
      </c>
      <c r="U501" s="4" t="str">
        <v>47</v>
      </c>
      <c r="V501" s="4" t="str">
        <v>FEMALE</v>
      </c>
      <c r="W501" s="4" t="str">
        <v>PORT WILLIAM</v>
      </c>
      <c r="X501" s="4" t="str">
        <v>NEW YORK</v>
      </c>
      <c r="Y501" s="4" t="str">
        <v>USA</v>
      </c>
      <c r="Z501" s="4" t="str">
        <v>GOLD</v>
      </c>
    </row>
    <row r="502" spans="1:26" x14ac:dyDescent="0.25">
      <c r="A502" t="s">
        <v>1542</v>
      </c>
      <c r="B502" t="s">
        <v>1543</v>
      </c>
      <c r="C502">
        <v>35</v>
      </c>
      <c r="D502" t="s">
        <v>10</v>
      </c>
      <c r="E502" t="s">
        <v>1544</v>
      </c>
      <c r="F502" t="s">
        <v>237</v>
      </c>
      <c r="G502" t="s">
        <v>13</v>
      </c>
      <c r="H502" t="s">
        <v>33</v>
      </c>
      <c r="J502" s="4" t="str">
        <v>CUST1498</v>
      </c>
      <c r="K502" s="4" t="str">
        <v>Traci Gonzalez</v>
      </c>
      <c r="L502" s="4" t="str">
        <v>35</v>
      </c>
      <c r="M502" s="4" t="str">
        <v>Male</v>
      </c>
      <c r="N502" s="4" t="str">
        <v>Snyderfurt</v>
      </c>
      <c r="O502" s="4" t="str">
        <v>New Mexico</v>
      </c>
      <c r="P502" s="4" t="str">
        <v>USA</v>
      </c>
      <c r="Q502" s="4" t="str">
        <v>Silver</v>
      </c>
      <c r="S502" s="4" t="str">
        <v>CUST1498</v>
      </c>
      <c r="T502" s="4" t="str">
        <v>TRACI GONZALEZ</v>
      </c>
      <c r="U502" s="4" t="str">
        <v>35</v>
      </c>
      <c r="V502" s="4" t="str">
        <v>MALE</v>
      </c>
      <c r="W502" s="4" t="str">
        <v>SNYDERFURT</v>
      </c>
      <c r="X502" s="4" t="str">
        <v>NEW MEXICO</v>
      </c>
      <c r="Y502" s="4" t="str">
        <v>USA</v>
      </c>
      <c r="Z502" s="4" t="str">
        <v>SILVER</v>
      </c>
    </row>
    <row r="503" spans="1:26" x14ac:dyDescent="0.25">
      <c r="A503" t="s">
        <v>1553</v>
      </c>
      <c r="B503" t="s">
        <v>1546</v>
      </c>
      <c r="C503">
        <v>27</v>
      </c>
      <c r="D503" t="s">
        <v>16</v>
      </c>
      <c r="E503" t="s">
        <v>1547</v>
      </c>
      <c r="F503" t="s">
        <v>37</v>
      </c>
      <c r="G503" t="s">
        <v>13</v>
      </c>
      <c r="H503" t="s">
        <v>19</v>
      </c>
      <c r="J503" s="4" t="str">
        <v>CUST1499</v>
      </c>
      <c r="K503" s="4" t="str">
        <v>Philip Pennington</v>
      </c>
      <c r="L503" s="4" t="str">
        <v>27</v>
      </c>
      <c r="M503" s="4" t="str">
        <v>Female</v>
      </c>
      <c r="N503" s="4" t="str">
        <v>East Valerieview</v>
      </c>
      <c r="O503" s="4" t="str">
        <v>Oregon</v>
      </c>
      <c r="P503" s="4" t="str">
        <v>USA</v>
      </c>
      <c r="Q503" s="4" t="str">
        <v>Platinum</v>
      </c>
      <c r="S503" s="4" t="str">
        <v>CUST1499</v>
      </c>
      <c r="T503" s="4" t="str">
        <v>PHILIP PENNINGTON</v>
      </c>
      <c r="U503" s="4" t="str">
        <v>27</v>
      </c>
      <c r="V503" s="4" t="str">
        <v>FEMALE</v>
      </c>
      <c r="W503" s="4" t="str">
        <v>EAST VALERIEVIEW</v>
      </c>
      <c r="X503" s="4" t="str">
        <v>OREGON</v>
      </c>
      <c r="Y503" s="4" t="str">
        <v>USA</v>
      </c>
      <c r="Z503" s="4" t="str">
        <v>PLATINUM</v>
      </c>
    </row>
  </sheetData>
  <mergeCells count="4">
    <mergeCell ref="G1:H1"/>
    <mergeCell ref="B1:E1"/>
    <mergeCell ref="J2:Q2"/>
    <mergeCell ref="S2:Z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B8C5-6D59-4126-8EB1-8BAD91105422}">
  <dimension ref="A1:H511"/>
  <sheetViews>
    <sheetView workbookViewId="0">
      <selection sqref="A1:H501"/>
    </sheetView>
  </sheetViews>
  <sheetFormatPr defaultRowHeight="15" x14ac:dyDescent="0.25"/>
  <cols>
    <col min="1" max="1" width="17" bestFit="1" customWidth="1"/>
    <col min="2" max="2" width="22" bestFit="1" customWidth="1"/>
    <col min="3" max="3" width="9" bestFit="1" customWidth="1"/>
    <col min="4" max="4" width="12.28515625" bestFit="1" customWidth="1"/>
    <col min="5" max="5" width="22.42578125" bestFit="1" customWidth="1"/>
    <col min="6" max="6" width="15.28515625" bestFit="1" customWidth="1"/>
    <col min="7" max="7" width="23.28515625" bestFit="1" customWidth="1"/>
    <col min="8" max="8" width="1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 x14ac:dyDescent="0.25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 x14ac:dyDescent="0.25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 x14ac:dyDescent="0.25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 x14ac:dyDescent="0.25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 x14ac:dyDescent="0.25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 x14ac:dyDescent="0.25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 x14ac:dyDescent="0.25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 x14ac:dyDescent="0.25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 x14ac:dyDescent="0.25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 x14ac:dyDescent="0.25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 x14ac:dyDescent="0.25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 x14ac:dyDescent="0.25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 x14ac:dyDescent="0.25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 x14ac:dyDescent="0.25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 x14ac:dyDescent="0.25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 x14ac:dyDescent="0.25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 x14ac:dyDescent="0.25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 x14ac:dyDescent="0.25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 x14ac:dyDescent="0.25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 x14ac:dyDescent="0.25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 x14ac:dyDescent="0.25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 x14ac:dyDescent="0.25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 x14ac:dyDescent="0.25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 x14ac:dyDescent="0.25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 x14ac:dyDescent="0.25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 x14ac:dyDescent="0.25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 x14ac:dyDescent="0.25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 x14ac:dyDescent="0.25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 x14ac:dyDescent="0.25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 x14ac:dyDescent="0.25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 x14ac:dyDescent="0.25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 x14ac:dyDescent="0.25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 x14ac:dyDescent="0.25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 x14ac:dyDescent="0.25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 x14ac:dyDescent="0.25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 x14ac:dyDescent="0.25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 x14ac:dyDescent="0.25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 x14ac:dyDescent="0.25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 x14ac:dyDescent="0.25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 x14ac:dyDescent="0.25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 x14ac:dyDescent="0.25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 x14ac:dyDescent="0.25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 x14ac:dyDescent="0.25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 x14ac:dyDescent="0.25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 x14ac:dyDescent="0.25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 x14ac:dyDescent="0.25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 x14ac:dyDescent="0.25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 x14ac:dyDescent="0.25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 x14ac:dyDescent="0.25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 x14ac:dyDescent="0.25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 x14ac:dyDescent="0.25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 x14ac:dyDescent="0.25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 x14ac:dyDescent="0.25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 x14ac:dyDescent="0.25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 x14ac:dyDescent="0.25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 x14ac:dyDescent="0.25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 x14ac:dyDescent="0.25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 x14ac:dyDescent="0.25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 x14ac:dyDescent="0.25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 x14ac:dyDescent="0.25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 x14ac:dyDescent="0.25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 x14ac:dyDescent="0.25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 x14ac:dyDescent="0.25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 x14ac:dyDescent="0.25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 x14ac:dyDescent="0.25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 x14ac:dyDescent="0.25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 x14ac:dyDescent="0.25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 x14ac:dyDescent="0.25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 x14ac:dyDescent="0.25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 x14ac:dyDescent="0.25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 x14ac:dyDescent="0.25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 x14ac:dyDescent="0.25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 x14ac:dyDescent="0.25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 x14ac:dyDescent="0.25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 x14ac:dyDescent="0.25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 x14ac:dyDescent="0.25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 x14ac:dyDescent="0.25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 x14ac:dyDescent="0.25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 x14ac:dyDescent="0.25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 x14ac:dyDescent="0.25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 x14ac:dyDescent="0.25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 x14ac:dyDescent="0.25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 x14ac:dyDescent="0.25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 x14ac:dyDescent="0.25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 x14ac:dyDescent="0.25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 x14ac:dyDescent="0.25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 x14ac:dyDescent="0.25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 x14ac:dyDescent="0.25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 x14ac:dyDescent="0.25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 x14ac:dyDescent="0.25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 x14ac:dyDescent="0.25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 x14ac:dyDescent="0.25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 x14ac:dyDescent="0.25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 x14ac:dyDescent="0.25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 x14ac:dyDescent="0.25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 x14ac:dyDescent="0.25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 x14ac:dyDescent="0.25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 x14ac:dyDescent="0.25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 x14ac:dyDescent="0.25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 x14ac:dyDescent="0.25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 x14ac:dyDescent="0.25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 x14ac:dyDescent="0.25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 x14ac:dyDescent="0.25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 x14ac:dyDescent="0.25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 x14ac:dyDescent="0.25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 x14ac:dyDescent="0.25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 x14ac:dyDescent="0.25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 x14ac:dyDescent="0.25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 x14ac:dyDescent="0.25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 x14ac:dyDescent="0.25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 x14ac:dyDescent="0.25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 x14ac:dyDescent="0.25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 x14ac:dyDescent="0.25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 x14ac:dyDescent="0.25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 x14ac:dyDescent="0.25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 x14ac:dyDescent="0.25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 x14ac:dyDescent="0.25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 x14ac:dyDescent="0.25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 x14ac:dyDescent="0.25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 x14ac:dyDescent="0.25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 x14ac:dyDescent="0.25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 x14ac:dyDescent="0.25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 x14ac:dyDescent="0.25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 x14ac:dyDescent="0.25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 x14ac:dyDescent="0.25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 x14ac:dyDescent="0.25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 x14ac:dyDescent="0.25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 x14ac:dyDescent="0.25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 x14ac:dyDescent="0.25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 x14ac:dyDescent="0.25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 x14ac:dyDescent="0.25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 x14ac:dyDescent="0.25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 x14ac:dyDescent="0.25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 x14ac:dyDescent="0.25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 x14ac:dyDescent="0.25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 x14ac:dyDescent="0.25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 x14ac:dyDescent="0.25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 x14ac:dyDescent="0.25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 x14ac:dyDescent="0.25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 x14ac:dyDescent="0.25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 x14ac:dyDescent="0.25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 x14ac:dyDescent="0.25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 x14ac:dyDescent="0.25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 x14ac:dyDescent="0.25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 x14ac:dyDescent="0.25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 x14ac:dyDescent="0.25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 x14ac:dyDescent="0.25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 x14ac:dyDescent="0.25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 x14ac:dyDescent="0.25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 x14ac:dyDescent="0.25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 x14ac:dyDescent="0.25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 x14ac:dyDescent="0.25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 x14ac:dyDescent="0.25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 x14ac:dyDescent="0.25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 x14ac:dyDescent="0.25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 x14ac:dyDescent="0.25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 x14ac:dyDescent="0.25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 x14ac:dyDescent="0.25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 x14ac:dyDescent="0.25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 x14ac:dyDescent="0.25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 x14ac:dyDescent="0.25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 x14ac:dyDescent="0.25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 x14ac:dyDescent="0.25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 x14ac:dyDescent="0.25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 x14ac:dyDescent="0.25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 x14ac:dyDescent="0.25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 x14ac:dyDescent="0.25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 x14ac:dyDescent="0.25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 x14ac:dyDescent="0.25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 x14ac:dyDescent="0.25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 x14ac:dyDescent="0.25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 x14ac:dyDescent="0.25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 x14ac:dyDescent="0.25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 x14ac:dyDescent="0.25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 x14ac:dyDescent="0.25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 x14ac:dyDescent="0.25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 x14ac:dyDescent="0.25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 x14ac:dyDescent="0.25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 x14ac:dyDescent="0.25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 x14ac:dyDescent="0.25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 x14ac:dyDescent="0.25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 x14ac:dyDescent="0.25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 x14ac:dyDescent="0.25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 x14ac:dyDescent="0.25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 x14ac:dyDescent="0.25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 x14ac:dyDescent="0.25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 x14ac:dyDescent="0.25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 x14ac:dyDescent="0.25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 x14ac:dyDescent="0.25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 x14ac:dyDescent="0.25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 x14ac:dyDescent="0.25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 x14ac:dyDescent="0.25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 x14ac:dyDescent="0.25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 x14ac:dyDescent="0.25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 x14ac:dyDescent="0.25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 x14ac:dyDescent="0.25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 x14ac:dyDescent="0.25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 x14ac:dyDescent="0.25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 x14ac:dyDescent="0.25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 x14ac:dyDescent="0.25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 x14ac:dyDescent="0.25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 x14ac:dyDescent="0.25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 x14ac:dyDescent="0.25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 x14ac:dyDescent="0.25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 x14ac:dyDescent="0.25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 x14ac:dyDescent="0.25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 x14ac:dyDescent="0.25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 x14ac:dyDescent="0.25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 x14ac:dyDescent="0.25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 x14ac:dyDescent="0.25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 x14ac:dyDescent="0.25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 x14ac:dyDescent="0.25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 x14ac:dyDescent="0.25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 x14ac:dyDescent="0.25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 x14ac:dyDescent="0.25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 x14ac:dyDescent="0.25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 x14ac:dyDescent="0.25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 x14ac:dyDescent="0.25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 x14ac:dyDescent="0.25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 x14ac:dyDescent="0.25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 x14ac:dyDescent="0.25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 x14ac:dyDescent="0.25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 x14ac:dyDescent="0.25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 x14ac:dyDescent="0.25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 x14ac:dyDescent="0.25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 x14ac:dyDescent="0.25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 x14ac:dyDescent="0.25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 x14ac:dyDescent="0.25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 x14ac:dyDescent="0.25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 x14ac:dyDescent="0.25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 x14ac:dyDescent="0.25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 x14ac:dyDescent="0.25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 x14ac:dyDescent="0.25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 x14ac:dyDescent="0.25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 x14ac:dyDescent="0.25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 x14ac:dyDescent="0.25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 x14ac:dyDescent="0.25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 x14ac:dyDescent="0.25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 x14ac:dyDescent="0.25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 x14ac:dyDescent="0.25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 x14ac:dyDescent="0.25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 x14ac:dyDescent="0.25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 x14ac:dyDescent="0.25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 x14ac:dyDescent="0.25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 x14ac:dyDescent="0.25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 x14ac:dyDescent="0.25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 x14ac:dyDescent="0.25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 x14ac:dyDescent="0.25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 x14ac:dyDescent="0.25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 x14ac:dyDescent="0.25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 x14ac:dyDescent="0.25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 x14ac:dyDescent="0.25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 x14ac:dyDescent="0.25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 x14ac:dyDescent="0.25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 x14ac:dyDescent="0.25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 x14ac:dyDescent="0.25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 x14ac:dyDescent="0.25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 x14ac:dyDescent="0.25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 x14ac:dyDescent="0.25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 x14ac:dyDescent="0.25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 x14ac:dyDescent="0.25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 x14ac:dyDescent="0.25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 x14ac:dyDescent="0.25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 x14ac:dyDescent="0.25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 x14ac:dyDescent="0.25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 x14ac:dyDescent="0.25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 x14ac:dyDescent="0.25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 x14ac:dyDescent="0.25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 x14ac:dyDescent="0.25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 x14ac:dyDescent="0.25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 x14ac:dyDescent="0.25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 x14ac:dyDescent="0.25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 x14ac:dyDescent="0.25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 x14ac:dyDescent="0.25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 x14ac:dyDescent="0.25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 x14ac:dyDescent="0.25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 x14ac:dyDescent="0.25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 x14ac:dyDescent="0.25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 x14ac:dyDescent="0.25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 x14ac:dyDescent="0.25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 x14ac:dyDescent="0.25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 x14ac:dyDescent="0.25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 x14ac:dyDescent="0.25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 x14ac:dyDescent="0.25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 x14ac:dyDescent="0.25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 x14ac:dyDescent="0.25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 x14ac:dyDescent="0.25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 x14ac:dyDescent="0.25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 x14ac:dyDescent="0.25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 x14ac:dyDescent="0.25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 x14ac:dyDescent="0.25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 x14ac:dyDescent="0.25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 x14ac:dyDescent="0.25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 x14ac:dyDescent="0.25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 x14ac:dyDescent="0.25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 x14ac:dyDescent="0.25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 x14ac:dyDescent="0.25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 x14ac:dyDescent="0.25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 x14ac:dyDescent="0.25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 x14ac:dyDescent="0.25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 x14ac:dyDescent="0.25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 x14ac:dyDescent="0.25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 x14ac:dyDescent="0.25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 x14ac:dyDescent="0.25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 x14ac:dyDescent="0.25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 x14ac:dyDescent="0.25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 x14ac:dyDescent="0.25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 x14ac:dyDescent="0.25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 x14ac:dyDescent="0.25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 x14ac:dyDescent="0.25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 x14ac:dyDescent="0.25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 x14ac:dyDescent="0.25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 x14ac:dyDescent="0.25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 x14ac:dyDescent="0.25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 x14ac:dyDescent="0.25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 x14ac:dyDescent="0.25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 x14ac:dyDescent="0.25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 x14ac:dyDescent="0.25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 x14ac:dyDescent="0.25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 x14ac:dyDescent="0.25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 x14ac:dyDescent="0.25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 x14ac:dyDescent="0.25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 x14ac:dyDescent="0.25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 x14ac:dyDescent="0.25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 x14ac:dyDescent="0.25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 x14ac:dyDescent="0.25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 x14ac:dyDescent="0.25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 x14ac:dyDescent="0.25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 x14ac:dyDescent="0.25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 x14ac:dyDescent="0.25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 x14ac:dyDescent="0.25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 x14ac:dyDescent="0.25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 x14ac:dyDescent="0.25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 x14ac:dyDescent="0.25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 x14ac:dyDescent="0.25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 x14ac:dyDescent="0.25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 x14ac:dyDescent="0.25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 x14ac:dyDescent="0.25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 x14ac:dyDescent="0.25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 x14ac:dyDescent="0.25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 x14ac:dyDescent="0.25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 x14ac:dyDescent="0.25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 x14ac:dyDescent="0.25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 x14ac:dyDescent="0.25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 x14ac:dyDescent="0.25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 x14ac:dyDescent="0.25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 x14ac:dyDescent="0.25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 x14ac:dyDescent="0.25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 x14ac:dyDescent="0.25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 x14ac:dyDescent="0.25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 x14ac:dyDescent="0.25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 x14ac:dyDescent="0.25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 x14ac:dyDescent="0.25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 x14ac:dyDescent="0.25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 x14ac:dyDescent="0.25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 x14ac:dyDescent="0.25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 x14ac:dyDescent="0.25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 x14ac:dyDescent="0.25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 x14ac:dyDescent="0.25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 x14ac:dyDescent="0.25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 x14ac:dyDescent="0.25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 x14ac:dyDescent="0.25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 x14ac:dyDescent="0.25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 x14ac:dyDescent="0.25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 x14ac:dyDescent="0.25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 x14ac:dyDescent="0.25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 x14ac:dyDescent="0.25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 x14ac:dyDescent="0.25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 x14ac:dyDescent="0.25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 x14ac:dyDescent="0.25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 x14ac:dyDescent="0.25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 x14ac:dyDescent="0.25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 x14ac:dyDescent="0.25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 x14ac:dyDescent="0.25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 x14ac:dyDescent="0.25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 x14ac:dyDescent="0.25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 x14ac:dyDescent="0.25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 x14ac:dyDescent="0.25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 x14ac:dyDescent="0.25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 x14ac:dyDescent="0.25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 x14ac:dyDescent="0.25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 x14ac:dyDescent="0.25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 x14ac:dyDescent="0.25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 x14ac:dyDescent="0.25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 x14ac:dyDescent="0.25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 x14ac:dyDescent="0.25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 x14ac:dyDescent="0.25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 x14ac:dyDescent="0.25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 x14ac:dyDescent="0.25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 x14ac:dyDescent="0.25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 x14ac:dyDescent="0.25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 x14ac:dyDescent="0.25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 x14ac:dyDescent="0.25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 x14ac:dyDescent="0.25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 x14ac:dyDescent="0.25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 x14ac:dyDescent="0.25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 x14ac:dyDescent="0.25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 x14ac:dyDescent="0.25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 x14ac:dyDescent="0.25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 x14ac:dyDescent="0.25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 x14ac:dyDescent="0.25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 x14ac:dyDescent="0.25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 x14ac:dyDescent="0.25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 x14ac:dyDescent="0.25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 x14ac:dyDescent="0.25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 x14ac:dyDescent="0.25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 x14ac:dyDescent="0.25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 x14ac:dyDescent="0.25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 x14ac:dyDescent="0.25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 x14ac:dyDescent="0.25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 x14ac:dyDescent="0.25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 x14ac:dyDescent="0.25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 x14ac:dyDescent="0.25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 x14ac:dyDescent="0.25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 x14ac:dyDescent="0.25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 x14ac:dyDescent="0.25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 x14ac:dyDescent="0.25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 x14ac:dyDescent="0.25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 x14ac:dyDescent="0.25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 x14ac:dyDescent="0.25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 x14ac:dyDescent="0.25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 x14ac:dyDescent="0.25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 x14ac:dyDescent="0.25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 x14ac:dyDescent="0.25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 x14ac:dyDescent="0.25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 x14ac:dyDescent="0.25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 x14ac:dyDescent="0.25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 x14ac:dyDescent="0.25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 x14ac:dyDescent="0.25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 x14ac:dyDescent="0.25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 x14ac:dyDescent="0.25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 x14ac:dyDescent="0.25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 x14ac:dyDescent="0.25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 x14ac:dyDescent="0.25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 x14ac:dyDescent="0.25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 x14ac:dyDescent="0.25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 x14ac:dyDescent="0.25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 x14ac:dyDescent="0.25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 x14ac:dyDescent="0.25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 x14ac:dyDescent="0.25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 x14ac:dyDescent="0.25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 x14ac:dyDescent="0.25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 x14ac:dyDescent="0.25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 x14ac:dyDescent="0.25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 x14ac:dyDescent="0.25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 x14ac:dyDescent="0.25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 x14ac:dyDescent="0.25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 x14ac:dyDescent="0.25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 x14ac:dyDescent="0.25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 x14ac:dyDescent="0.25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 x14ac:dyDescent="0.25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 x14ac:dyDescent="0.25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 x14ac:dyDescent="0.25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 x14ac:dyDescent="0.25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 x14ac:dyDescent="0.25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 x14ac:dyDescent="0.25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 x14ac:dyDescent="0.25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 x14ac:dyDescent="0.25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 x14ac:dyDescent="0.25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 x14ac:dyDescent="0.25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 x14ac:dyDescent="0.25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 x14ac:dyDescent="0.25">
      <c r="A466" t="s">
        <v>1550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 x14ac:dyDescent="0.25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 x14ac:dyDescent="0.25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 x14ac:dyDescent="0.25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 x14ac:dyDescent="0.25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 x14ac:dyDescent="0.25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 x14ac:dyDescent="0.25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 x14ac:dyDescent="0.25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 x14ac:dyDescent="0.25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 x14ac:dyDescent="0.25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 x14ac:dyDescent="0.25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 x14ac:dyDescent="0.25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 x14ac:dyDescent="0.25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 x14ac:dyDescent="0.25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 x14ac:dyDescent="0.25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 x14ac:dyDescent="0.25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 x14ac:dyDescent="0.25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 x14ac:dyDescent="0.25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 x14ac:dyDescent="0.25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 x14ac:dyDescent="0.25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 x14ac:dyDescent="0.25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 x14ac:dyDescent="0.25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 x14ac:dyDescent="0.25">
      <c r="A488" t="s">
        <v>1551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 x14ac:dyDescent="0.25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 x14ac:dyDescent="0.25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 x14ac:dyDescent="0.25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 x14ac:dyDescent="0.25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 x14ac:dyDescent="0.25">
      <c r="A493" t="s">
        <v>1552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 x14ac:dyDescent="0.25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 x14ac:dyDescent="0.25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 x14ac:dyDescent="0.25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 x14ac:dyDescent="0.25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 x14ac:dyDescent="0.25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 x14ac:dyDescent="0.25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 x14ac:dyDescent="0.25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 x14ac:dyDescent="0.25">
      <c r="A501" t="s">
        <v>1553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  <row r="507" spans="1:8" ht="15.75" thickBot="1" x14ac:dyDescent="0.3"/>
    <row r="508" spans="1:8" ht="21.75" thickTop="1" x14ac:dyDescent="0.35">
      <c r="B508" s="7" t="s">
        <v>1558</v>
      </c>
      <c r="C508" s="5">
        <f>SUBTOTAL(103,Table136[Customer_ID])</f>
        <v>500</v>
      </c>
      <c r="E508" s="7" t="s">
        <v>1559</v>
      </c>
      <c r="F508" s="6">
        <f>SUM(109,Table136[Age])</f>
        <v>20890</v>
      </c>
    </row>
    <row r="510" spans="1:8" ht="15.75" thickBot="1" x14ac:dyDescent="0.3"/>
    <row r="511" spans="1:8" ht="24" thickTop="1" x14ac:dyDescent="0.35">
      <c r="C511" s="8" t="s">
        <v>1560</v>
      </c>
      <c r="D511" s="5">
        <f>AVERAGE(C2:C501)</f>
        <v>41.561999999999998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D605-F8E3-4AAB-B8D4-1432E1951150}">
  <dimension ref="A1:H502"/>
  <sheetViews>
    <sheetView workbookViewId="0">
      <selection activeCell="A11" sqref="A11"/>
    </sheetView>
  </sheetViews>
  <sheetFormatPr defaultRowHeight="15" x14ac:dyDescent="0.25"/>
  <cols>
    <col min="1" max="1" width="12.42578125" bestFit="1" customWidth="1"/>
    <col min="2" max="2" width="22" bestFit="1" customWidth="1"/>
    <col min="3" max="3" width="4.42578125" bestFit="1" customWidth="1"/>
    <col min="4" max="4" width="7.5703125" bestFit="1" customWidth="1"/>
    <col min="5" max="5" width="22.42578125" bestFit="1" customWidth="1"/>
    <col min="6" max="6" width="15.28515625" bestFit="1" customWidth="1"/>
    <col min="7" max="7" width="23.28515625" bestFit="1" customWidth="1"/>
    <col min="8" max="8" width="13.140625" bestFit="1" customWidth="1"/>
  </cols>
  <sheetData>
    <row r="1" spans="1:8" x14ac:dyDescent="0.25">
      <c r="A1" s="19" t="s">
        <v>1561</v>
      </c>
      <c r="B1" s="19"/>
      <c r="C1" s="19"/>
      <c r="D1" s="19"/>
      <c r="E1" s="19"/>
      <c r="F1" s="19"/>
      <c r="G1" s="19"/>
      <c r="H1" s="19"/>
    </row>
    <row r="2" spans="1:8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9" t="s">
        <v>8</v>
      </c>
      <c r="B3" s="4" t="str">
        <f>VLOOKUP(A3,'f Excel formulas for calculatio'!A:H,2,FALSE)</f>
        <v xml:space="preserve">  sheena bonilla  </v>
      </c>
      <c r="C3" s="4">
        <f>VLOOKUP(A3,'f Excel formulas for calculatio'!A:H,3,FALSE)</f>
        <v>55</v>
      </c>
      <c r="D3" s="4" t="str">
        <f>VLOOKUP(A3,'f Excel formulas for calculatio'!A:H,4,FALSE)</f>
        <v>Male</v>
      </c>
      <c r="E3" s="4" t="str">
        <f>VLOOKUP(A3,'f Excel formulas for calculatio'!A:H,5,FALSE)</f>
        <v>Donaldton</v>
      </c>
      <c r="F3" s="4" t="str">
        <f>VLOOKUP(A3,'f Excel formulas for calculatio'!A:H,6,FALSE)</f>
        <v>North Carolina</v>
      </c>
      <c r="G3" s="4" t="str">
        <f>VLOOKUP(A3,'f Excel formulas for calculatio'!A:H,7,FALSE)</f>
        <v>USA</v>
      </c>
      <c r="H3" s="4">
        <f>VLOOKUP(A3,'f Excel formulas for calculatio'!A:H,8,FALSE)</f>
        <v>0</v>
      </c>
    </row>
    <row r="4" spans="1:8" x14ac:dyDescent="0.25">
      <c r="A4" s="4" t="s">
        <v>14</v>
      </c>
      <c r="B4" s="4" t="str">
        <f>VLOOKUP(A4,'f Excel formulas for calculatio'!A:H,2,FALSE)</f>
        <v>Eugene Nelson</v>
      </c>
      <c r="C4" s="4">
        <f>VLOOKUP(A4,'f Excel formulas for calculatio'!A:H,3,FALSE)</f>
        <v>26</v>
      </c>
      <c r="D4" s="4" t="str">
        <f>VLOOKUP(A4,'f Excel formulas for calculatio'!A:H,4,FALSE)</f>
        <v>Female</v>
      </c>
      <c r="E4" s="4" t="str">
        <f>VLOOKUP(A4,'f Excel formulas for calculatio'!A:H,5,FALSE)</f>
        <v>Phillipsmouth</v>
      </c>
      <c r="F4" s="4" t="str">
        <f>VLOOKUP(A4,'f Excel formulas for calculatio'!A:H,6,FALSE)</f>
        <v>North Dakota</v>
      </c>
      <c r="G4" s="4" t="str">
        <f>VLOOKUP(A4,'f Excel formulas for calculatio'!A:H,7,FALSE)</f>
        <v>USA</v>
      </c>
      <c r="H4" s="4" t="str">
        <f>VLOOKUP(A4,'f Excel formulas for calculatio'!A:H,8,FALSE)</f>
        <v>Platinum</v>
      </c>
    </row>
    <row r="5" spans="1:8" x14ac:dyDescent="0.25">
      <c r="A5" s="9" t="s">
        <v>20</v>
      </c>
      <c r="B5" s="4" t="str">
        <f>VLOOKUP(A5,'f Excel formulas for calculatio'!A:H,2,FALSE)</f>
        <v>dr. Benjamin Price</v>
      </c>
      <c r="C5" s="4">
        <f>VLOOKUP(A5,'f Excel formulas for calculatio'!A:H,3,FALSE)</f>
        <v>29</v>
      </c>
      <c r="D5" s="4" t="str">
        <f>VLOOKUP(A5,'f Excel formulas for calculatio'!A:H,4,FALSE)</f>
        <v>Female</v>
      </c>
      <c r="E5" s="4" t="str">
        <f>VLOOKUP(A5,'f Excel formulas for calculatio'!A:H,5,FALSE)</f>
        <v>Kylebury</v>
      </c>
      <c r="F5" s="4" t="str">
        <f>VLOOKUP(A5,'f Excel formulas for calculatio'!A:H,6,FALSE)</f>
        <v>Alabama</v>
      </c>
      <c r="G5" s="4" t="str">
        <f>VLOOKUP(A5,'f Excel formulas for calculatio'!A:H,7,FALSE)</f>
        <v>USA</v>
      </c>
      <c r="H5" s="4" t="str">
        <f>VLOOKUP(A5,'f Excel formulas for calculatio'!A:H,8,FALSE)</f>
        <v>Platinum</v>
      </c>
    </row>
    <row r="6" spans="1:8" x14ac:dyDescent="0.25">
      <c r="A6" s="4" t="s">
        <v>24</v>
      </c>
      <c r="B6" s="4" t="str">
        <f>VLOOKUP(A6,'f Excel formulas for calculatio'!A:H,2,FALSE)</f>
        <v>jeremy harris</v>
      </c>
      <c r="C6" s="4">
        <f>VLOOKUP(A6,'f Excel formulas for calculatio'!A:H,3,FALSE)</f>
        <v>59</v>
      </c>
      <c r="D6" s="4" t="str">
        <f>VLOOKUP(A6,'f Excel formulas for calculatio'!A:H,4,FALSE)</f>
        <v>Female</v>
      </c>
      <c r="E6" s="4" t="str">
        <f>VLOOKUP(A6,'f Excel formulas for calculatio'!A:H,5,FALSE)</f>
        <v>Thomastown</v>
      </c>
      <c r="F6" s="4" t="str">
        <f>VLOOKUP(A6,'f Excel formulas for calculatio'!A:H,6,FALSE)</f>
        <v>Ohio</v>
      </c>
      <c r="G6" s="4" t="str">
        <f>VLOOKUP(A6,'f Excel formulas for calculatio'!A:H,7,FALSE)</f>
        <v>USA</v>
      </c>
      <c r="H6" s="4" t="str">
        <f>VLOOKUP(A6,'f Excel formulas for calculatio'!A:H,8,FALSE)</f>
        <v>Bronze</v>
      </c>
    </row>
    <row r="7" spans="1:8" x14ac:dyDescent="0.25">
      <c r="A7" s="9" t="s">
        <v>29</v>
      </c>
      <c r="B7" s="4" t="str">
        <f>VLOOKUP(A7,'f Excel formulas for calculatio'!A:H,2,FALSE)</f>
        <v>Caroline Collins</v>
      </c>
      <c r="C7" s="4">
        <f>VLOOKUP(A7,'f Excel formulas for calculatio'!A:H,3,FALSE)</f>
        <v>64</v>
      </c>
      <c r="D7" s="4" t="str">
        <f>VLOOKUP(A7,'f Excel formulas for calculatio'!A:H,4,FALSE)</f>
        <v>Female</v>
      </c>
      <c r="E7" s="4" t="str">
        <f>VLOOKUP(A7,'f Excel formulas for calculatio'!A:H,5,FALSE)</f>
        <v>Nicholasshire</v>
      </c>
      <c r="F7" s="4" t="str">
        <f>VLOOKUP(A7,'f Excel formulas for calculatio'!A:H,6,FALSE)</f>
        <v>California</v>
      </c>
      <c r="G7" s="4" t="str">
        <f>VLOOKUP(A7,'f Excel formulas for calculatio'!A:H,7,FALSE)</f>
        <v>USA</v>
      </c>
      <c r="H7" s="4" t="str">
        <f>VLOOKUP(A7,'f Excel formulas for calculatio'!A:H,8,FALSE)</f>
        <v>Silver</v>
      </c>
    </row>
    <row r="8" spans="1:8" x14ac:dyDescent="0.25">
      <c r="A8" s="4" t="s">
        <v>34</v>
      </c>
      <c r="B8" s="4" t="str">
        <f>VLOOKUP(A8,'f Excel formulas for calculatio'!A:H,2,FALSE)</f>
        <v>Christine Vaughn</v>
      </c>
      <c r="C8" s="4">
        <f>VLOOKUP(A8,'f Excel formulas for calculatio'!A:H,3,FALSE)</f>
        <v>24</v>
      </c>
      <c r="D8" s="4" t="str">
        <f>VLOOKUP(A8,'f Excel formulas for calculatio'!A:H,4,FALSE)</f>
        <v>Male</v>
      </c>
      <c r="E8" s="4" t="str">
        <f>VLOOKUP(A8,'f Excel formulas for calculatio'!A:H,5,FALSE)</f>
        <v>East Amandamouth</v>
      </c>
      <c r="F8" s="4" t="str">
        <f>VLOOKUP(A8,'f Excel formulas for calculatio'!A:H,6,FALSE)</f>
        <v>Oregon</v>
      </c>
      <c r="G8" s="4" t="str">
        <f>VLOOKUP(A8,'f Excel formulas for calculatio'!A:H,7,FALSE)</f>
        <v>USA</v>
      </c>
      <c r="H8" s="4" t="str">
        <f>VLOOKUP(A8,'f Excel formulas for calculatio'!A:H,8,FALSE)</f>
        <v>Bronze</v>
      </c>
    </row>
    <row r="9" spans="1:8" x14ac:dyDescent="0.25">
      <c r="A9" s="9" t="s">
        <v>38</v>
      </c>
      <c r="B9" s="4" t="str">
        <f>VLOOKUP(A9,'f Excel formulas for calculatio'!A:H,2,FALSE)</f>
        <v>Amber Jackson</v>
      </c>
      <c r="C9" s="4">
        <f>VLOOKUP(A9,'f Excel formulas for calculatio'!A:H,3,FALSE)</f>
        <v>29</v>
      </c>
      <c r="D9" s="4" t="str">
        <f>VLOOKUP(A9,'f Excel formulas for calculatio'!A:H,4,FALSE)</f>
        <v>Female</v>
      </c>
      <c r="E9" s="4" t="str">
        <f>VLOOKUP(A9,'f Excel formulas for calculatio'!A:H,5,FALSE)</f>
        <v>Deborahborough</v>
      </c>
      <c r="F9" s="4" t="str">
        <f>VLOOKUP(A9,'f Excel formulas for calculatio'!A:H,6,FALSE)</f>
        <v>South Dakota</v>
      </c>
      <c r="G9" s="4" t="str">
        <f>VLOOKUP(A9,'f Excel formulas for calculatio'!A:H,7,FALSE)</f>
        <v>USA</v>
      </c>
      <c r="H9" s="4" t="str">
        <f>VLOOKUP(A9,'f Excel formulas for calculatio'!A:H,8,FALSE)</f>
        <v>Platinum</v>
      </c>
    </row>
    <row r="10" spans="1:8" x14ac:dyDescent="0.25">
      <c r="A10" s="4" t="s">
        <v>42</v>
      </c>
      <c r="B10" s="4" t="str">
        <f>VLOOKUP(A10,'f Excel formulas for calculatio'!A:H,2,FALSE)</f>
        <v>Daniel Boyd</v>
      </c>
      <c r="C10" s="4">
        <f>VLOOKUP(A10,'f Excel formulas for calculatio'!A:H,3,FALSE)</f>
        <v>29</v>
      </c>
      <c r="D10" s="4" t="str">
        <f>VLOOKUP(A10,'f Excel formulas for calculatio'!A:H,4,FALSE)</f>
        <v>Female</v>
      </c>
      <c r="E10" s="4" t="str">
        <f>VLOOKUP(A10,'f Excel formulas for calculatio'!A:H,5,FALSE)</f>
        <v>West Pamelafurt</v>
      </c>
      <c r="F10" s="4" t="str">
        <f>VLOOKUP(A10,'f Excel formulas for calculatio'!A:H,6,FALSE)</f>
        <v>West Virginia</v>
      </c>
      <c r="G10" s="4" t="str">
        <f>VLOOKUP(A10,'f Excel formulas for calculatio'!A:H,7,FALSE)</f>
        <v>USA</v>
      </c>
      <c r="H10" s="4" t="str">
        <f>VLOOKUP(A10,'f Excel formulas for calculatio'!A:H,8,FALSE)</f>
        <v>Bronze</v>
      </c>
    </row>
    <row r="11" spans="1:8" x14ac:dyDescent="0.25">
      <c r="A11" s="9" t="s">
        <v>46</v>
      </c>
      <c r="B11" s="4" t="str">
        <f>VLOOKUP(A11,'f Excel formulas for calculatio'!A:H,2,FALSE)</f>
        <v>Melissa Howard</v>
      </c>
      <c r="C11" s="4">
        <f>VLOOKUP(A11,'f Excel formulas for calculatio'!A:H,3,FALSE)</f>
        <v>53</v>
      </c>
      <c r="D11" s="4" t="str">
        <f>VLOOKUP(A11,'f Excel formulas for calculatio'!A:H,4,FALSE)</f>
        <v>Female</v>
      </c>
      <c r="E11" s="4" t="str">
        <f>VLOOKUP(A11,'f Excel formulas for calculatio'!A:H,5,FALSE)</f>
        <v>Maynardton</v>
      </c>
      <c r="F11" s="4" t="str">
        <f>VLOOKUP(A11,'f Excel formulas for calculatio'!A:H,6,FALSE)</f>
        <v>New Hampshire</v>
      </c>
      <c r="G11" s="4" t="str">
        <f>VLOOKUP(A11,'f Excel formulas for calculatio'!A:H,7,FALSE)</f>
        <v>USA</v>
      </c>
      <c r="H11" s="4" t="str">
        <f>VLOOKUP(A11,'f Excel formulas for calculatio'!A:H,8,FALSE)</f>
        <v>Gold</v>
      </c>
    </row>
    <row r="12" spans="1:8" x14ac:dyDescent="0.25">
      <c r="A12" s="4" t="s">
        <v>51</v>
      </c>
      <c r="B12" s="4" t="str">
        <f>VLOOKUP(A12,'f Excel formulas for calculatio'!A:H,2,FALSE)</f>
        <v>Ms. Maria Leach</v>
      </c>
      <c r="C12" s="4">
        <f>VLOOKUP(A12,'f Excel formulas for calculatio'!A:H,3,FALSE)</f>
        <v>64</v>
      </c>
      <c r="D12" s="4" t="str">
        <f>VLOOKUP(A12,'f Excel formulas for calculatio'!A:H,4,FALSE)</f>
        <v>Male</v>
      </c>
      <c r="E12" s="4" t="str">
        <f>VLOOKUP(A12,'f Excel formulas for calculatio'!A:H,5,FALSE)</f>
        <v>Melissashire</v>
      </c>
      <c r="F12" s="4" t="str">
        <f>VLOOKUP(A12,'f Excel formulas for calculatio'!A:H,6,FALSE)</f>
        <v>Pennsylvania</v>
      </c>
      <c r="G12" s="4" t="str">
        <f>VLOOKUP(A12,'f Excel formulas for calculatio'!A:H,7,FALSE)</f>
        <v>USA</v>
      </c>
      <c r="H12" s="4" t="str">
        <f>VLOOKUP(A12,'f Excel formulas for calculatio'!A:H,8,FALSE)</f>
        <v>Platinum</v>
      </c>
    </row>
    <row r="13" spans="1:8" x14ac:dyDescent="0.25">
      <c r="A13" s="9" t="s">
        <v>55</v>
      </c>
      <c r="B13" s="4" t="str">
        <f>VLOOKUP(A13,'f Excel formulas for calculatio'!A:H,2,FALSE)</f>
        <v>Dominic Page</v>
      </c>
      <c r="C13" s="4">
        <f>VLOOKUP(A13,'f Excel formulas for calculatio'!A:H,3,FALSE)</f>
        <v>53</v>
      </c>
      <c r="D13" s="4" t="str">
        <f>VLOOKUP(A13,'f Excel formulas for calculatio'!A:H,4,FALSE)</f>
        <v>Male</v>
      </c>
      <c r="E13" s="4" t="str">
        <f>VLOOKUP(A13,'f Excel formulas for calculatio'!A:H,5,FALSE)</f>
        <v>Port Michaelburgh</v>
      </c>
      <c r="F13" s="4" t="str">
        <f>VLOOKUP(A13,'f Excel formulas for calculatio'!A:H,6,FALSE)</f>
        <v>Pennsylvania</v>
      </c>
      <c r="G13" s="4" t="str">
        <f>VLOOKUP(A13,'f Excel formulas for calculatio'!A:H,7,FALSE)</f>
        <v>USA</v>
      </c>
      <c r="H13" s="4" t="str">
        <f>VLOOKUP(A13,'f Excel formulas for calculatio'!A:H,8,FALSE)</f>
        <v>Bronze</v>
      </c>
    </row>
    <row r="14" spans="1:8" x14ac:dyDescent="0.25">
      <c r="A14" s="4" t="s">
        <v>58</v>
      </c>
      <c r="B14" s="4" t="str">
        <f>VLOOKUP(A14,'f Excel formulas for calculatio'!A:H,2,FALSE)</f>
        <v>Brian Lopez</v>
      </c>
      <c r="C14" s="4">
        <f>VLOOKUP(A14,'f Excel formulas for calculatio'!A:H,3,FALSE)</f>
        <v>28</v>
      </c>
      <c r="D14" s="4" t="str">
        <f>VLOOKUP(A14,'f Excel formulas for calculatio'!A:H,4,FALSE)</f>
        <v>Female</v>
      </c>
      <c r="E14" s="4" t="str">
        <f>VLOOKUP(A14,'f Excel formulas for calculatio'!A:H,5,FALSE)</f>
        <v>East Krista</v>
      </c>
      <c r="F14" s="4" t="str">
        <f>VLOOKUP(A14,'f Excel formulas for calculatio'!A:H,6,FALSE)</f>
        <v>New York</v>
      </c>
      <c r="G14" s="4" t="str">
        <f>VLOOKUP(A14,'f Excel formulas for calculatio'!A:H,7,FALSE)</f>
        <v>USA</v>
      </c>
      <c r="H14" s="4" t="str">
        <f>VLOOKUP(A14,'f Excel formulas for calculatio'!A:H,8,FALSE)</f>
        <v>Gold</v>
      </c>
    </row>
    <row r="15" spans="1:8" x14ac:dyDescent="0.25">
      <c r="A15" s="9" t="s">
        <v>62</v>
      </c>
      <c r="B15" s="4" t="str">
        <f>VLOOKUP(A15,'f Excel formulas for calculatio'!A:H,2,FALSE)</f>
        <v>Kenneth Lambert</v>
      </c>
      <c r="C15" s="4">
        <f>VLOOKUP(A15,'f Excel formulas for calculatio'!A:H,3,FALSE)</f>
        <v>55</v>
      </c>
      <c r="D15" s="4" t="str">
        <f>VLOOKUP(A15,'f Excel formulas for calculatio'!A:H,4,FALSE)</f>
        <v>Female</v>
      </c>
      <c r="E15" s="4" t="str">
        <f>VLOOKUP(A15,'f Excel formulas for calculatio'!A:H,5,FALSE)</f>
        <v>North Kathryn</v>
      </c>
      <c r="F15" s="4" t="str">
        <f>VLOOKUP(A15,'f Excel formulas for calculatio'!A:H,6,FALSE)</f>
        <v>Kansas</v>
      </c>
      <c r="G15" s="4" t="str">
        <f>VLOOKUP(A15,'f Excel formulas for calculatio'!A:H,7,FALSE)</f>
        <v>USA</v>
      </c>
      <c r="H15" s="4" t="str">
        <f>VLOOKUP(A15,'f Excel formulas for calculatio'!A:H,8,FALSE)</f>
        <v>Platinum</v>
      </c>
    </row>
    <row r="16" spans="1:8" x14ac:dyDescent="0.25">
      <c r="A16" s="4" t="s">
        <v>66</v>
      </c>
      <c r="B16" s="4" t="str">
        <f>VLOOKUP(A16,'f Excel formulas for calculatio'!A:H,2,FALSE)</f>
        <v>Nathan Hernandez</v>
      </c>
      <c r="C16" s="4">
        <f>VLOOKUP(A16,'f Excel formulas for calculatio'!A:H,3,FALSE)</f>
        <v>32</v>
      </c>
      <c r="D16" s="4" t="str">
        <f>VLOOKUP(A16,'f Excel formulas for calculatio'!A:H,4,FALSE)</f>
        <v>Female</v>
      </c>
      <c r="E16" s="4" t="str">
        <f>VLOOKUP(A16,'f Excel formulas for calculatio'!A:H,5,FALSE)</f>
        <v>New Becky</v>
      </c>
      <c r="F16" s="4" t="str">
        <f>VLOOKUP(A16,'f Excel formulas for calculatio'!A:H,6,FALSE)</f>
        <v>Montana</v>
      </c>
      <c r="G16" s="4" t="str">
        <f>VLOOKUP(A16,'f Excel formulas for calculatio'!A:H,7,FALSE)</f>
        <v>USA</v>
      </c>
      <c r="H16" s="4" t="str">
        <f>VLOOKUP(A16,'f Excel formulas for calculatio'!A:H,8,FALSE)</f>
        <v>Silver</v>
      </c>
    </row>
    <row r="17" spans="1:8" x14ac:dyDescent="0.25">
      <c r="A17" s="9" t="s">
        <v>70</v>
      </c>
      <c r="B17" s="4" t="str">
        <f>VLOOKUP(A17,'f Excel formulas for calculatio'!A:H,2,FALSE)</f>
        <v>Ashley Cohen</v>
      </c>
      <c r="C17" s="4">
        <f>VLOOKUP(A17,'f Excel formulas for calculatio'!A:H,3,FALSE)</f>
        <v>53</v>
      </c>
      <c r="D17" s="4" t="str">
        <f>VLOOKUP(A17,'f Excel formulas for calculatio'!A:H,4,FALSE)</f>
        <v>Female</v>
      </c>
      <c r="E17" s="4" t="str">
        <f>VLOOKUP(A17,'f Excel formulas for calculatio'!A:H,5,FALSE)</f>
        <v>Lake Kristamouth</v>
      </c>
      <c r="F17" s="4" t="str">
        <f>VLOOKUP(A17,'f Excel formulas for calculatio'!A:H,6,FALSE)</f>
        <v>Nebraska</v>
      </c>
      <c r="G17" s="4" t="str">
        <f>VLOOKUP(A17,'f Excel formulas for calculatio'!A:H,7,FALSE)</f>
        <v>USA</v>
      </c>
      <c r="H17" s="4" t="str">
        <f>VLOOKUP(A17,'f Excel formulas for calculatio'!A:H,8,FALSE)</f>
        <v>Silver</v>
      </c>
    </row>
    <row r="18" spans="1:8" x14ac:dyDescent="0.25">
      <c r="A18" s="4" t="s">
        <v>74</v>
      </c>
      <c r="B18" s="4" t="str">
        <f>VLOOKUP(A18,'f Excel formulas for calculatio'!A:H,2,FALSE)</f>
        <v>Laura Alvarez</v>
      </c>
      <c r="C18" s="4">
        <f>VLOOKUP(A18,'f Excel formulas for calculatio'!A:H,3,FALSE)</f>
        <v>49</v>
      </c>
      <c r="D18" s="4" t="str">
        <f>VLOOKUP(A18,'f Excel formulas for calculatio'!A:H,4,FALSE)</f>
        <v>Female</v>
      </c>
      <c r="E18" s="4" t="str">
        <f>VLOOKUP(A18,'f Excel formulas for calculatio'!A:H,5,FALSE)</f>
        <v>Lawsonhaven</v>
      </c>
      <c r="F18" s="4" t="str">
        <f>VLOOKUP(A18,'f Excel formulas for calculatio'!A:H,6,FALSE)</f>
        <v>Washington</v>
      </c>
      <c r="G18" s="4" t="str">
        <f>VLOOKUP(A18,'f Excel formulas for calculatio'!A:H,7,FALSE)</f>
        <v>USA</v>
      </c>
      <c r="H18" s="4" t="str">
        <f>VLOOKUP(A18,'f Excel formulas for calculatio'!A:H,8,FALSE)</f>
        <v>Platinum</v>
      </c>
    </row>
    <row r="19" spans="1:8" x14ac:dyDescent="0.25">
      <c r="A19" s="9" t="s">
        <v>78</v>
      </c>
      <c r="B19" s="4" t="str">
        <f>VLOOKUP(A19,'f Excel formulas for calculatio'!A:H,2,FALSE)</f>
        <v>John Scott</v>
      </c>
      <c r="C19" s="4">
        <f>VLOOKUP(A19,'f Excel formulas for calculatio'!A:H,3,FALSE)</f>
        <v>24</v>
      </c>
      <c r="D19" s="4" t="str">
        <f>VLOOKUP(A19,'f Excel formulas for calculatio'!A:H,4,FALSE)</f>
        <v>Female</v>
      </c>
      <c r="E19" s="4" t="str">
        <f>VLOOKUP(A19,'f Excel formulas for calculatio'!A:H,5,FALSE)</f>
        <v>South Christopher</v>
      </c>
      <c r="F19" s="4" t="str">
        <f>VLOOKUP(A19,'f Excel formulas for calculatio'!A:H,6,FALSE)</f>
        <v>Pennsylvania</v>
      </c>
      <c r="G19" s="4" t="str">
        <f>VLOOKUP(A19,'f Excel formulas for calculatio'!A:H,7,FALSE)</f>
        <v>USA</v>
      </c>
      <c r="H19" s="4" t="str">
        <f>VLOOKUP(A19,'f Excel formulas for calculatio'!A:H,8,FALSE)</f>
        <v>Bronze</v>
      </c>
    </row>
    <row r="20" spans="1:8" x14ac:dyDescent="0.25">
      <c r="A20" s="4" t="s">
        <v>81</v>
      </c>
      <c r="B20" s="4" t="str">
        <f>VLOOKUP(A20,'f Excel formulas for calculatio'!A:H,2,FALSE)</f>
        <v>Adam Cruz</v>
      </c>
      <c r="C20" s="4">
        <f>VLOOKUP(A20,'f Excel formulas for calculatio'!A:H,3,FALSE)</f>
        <v>60</v>
      </c>
      <c r="D20" s="4" t="str">
        <f>VLOOKUP(A20,'f Excel formulas for calculatio'!A:H,4,FALSE)</f>
        <v>Female</v>
      </c>
      <c r="E20" s="4" t="str">
        <f>VLOOKUP(A20,'f Excel formulas for calculatio'!A:H,5,FALSE)</f>
        <v>Brandonville</v>
      </c>
      <c r="F20" s="4" t="str">
        <f>VLOOKUP(A20,'f Excel formulas for calculatio'!A:H,6,FALSE)</f>
        <v>Georgia</v>
      </c>
      <c r="G20" s="4" t="str">
        <f>VLOOKUP(A20,'f Excel formulas for calculatio'!A:H,7,FALSE)</f>
        <v>USA</v>
      </c>
      <c r="H20" s="4" t="str">
        <f>VLOOKUP(A20,'f Excel formulas for calculatio'!A:H,8,FALSE)</f>
        <v>Platinum</v>
      </c>
    </row>
    <row r="21" spans="1:8" x14ac:dyDescent="0.25">
      <c r="A21" s="9" t="s">
        <v>85</v>
      </c>
      <c r="B21" s="4" t="str">
        <f>VLOOKUP(A21,'f Excel formulas for calculatio'!A:H,2,FALSE)</f>
        <v>Rhonda Moss</v>
      </c>
      <c r="C21" s="4">
        <f>VLOOKUP(A21,'f Excel formulas for calculatio'!A:H,3,FALSE)</f>
        <v>43</v>
      </c>
      <c r="D21" s="4" t="str">
        <f>VLOOKUP(A21,'f Excel formulas for calculatio'!A:H,4,FALSE)</f>
        <v>Male</v>
      </c>
      <c r="E21" s="4" t="str">
        <f>VLOOKUP(A21,'f Excel formulas for calculatio'!A:H,5,FALSE)</f>
        <v>South William</v>
      </c>
      <c r="F21" s="4" t="str">
        <f>VLOOKUP(A21,'f Excel formulas for calculatio'!A:H,6,FALSE)</f>
        <v>Kansas</v>
      </c>
      <c r="G21" s="4" t="str">
        <f>VLOOKUP(A21,'f Excel formulas for calculatio'!A:H,7,FALSE)</f>
        <v>USA</v>
      </c>
      <c r="H21" s="4">
        <f>VLOOKUP(A21,'f Excel formulas for calculatio'!A:H,8,FALSE)</f>
        <v>0</v>
      </c>
    </row>
    <row r="22" spans="1:8" x14ac:dyDescent="0.25">
      <c r="A22" s="4" t="s">
        <v>88</v>
      </c>
      <c r="B22" s="4" t="str">
        <f>VLOOKUP(A22,'f Excel formulas for calculatio'!A:H,2,FALSE)</f>
        <v>Michael Torres</v>
      </c>
      <c r="C22" s="4">
        <f>VLOOKUP(A22,'f Excel formulas for calculatio'!A:H,3,FALSE)</f>
        <v>46</v>
      </c>
      <c r="D22" s="4" t="str">
        <f>VLOOKUP(A22,'f Excel formulas for calculatio'!A:H,4,FALSE)</f>
        <v>Female</v>
      </c>
      <c r="E22" s="4" t="str">
        <f>VLOOKUP(A22,'f Excel formulas for calculatio'!A:H,5,FALSE)</f>
        <v>Gonzalezfort</v>
      </c>
      <c r="F22" s="4" t="str">
        <f>VLOOKUP(A22,'f Excel formulas for calculatio'!A:H,6,FALSE)</f>
        <v>New Jersey</v>
      </c>
      <c r="G22" s="4" t="str">
        <f>VLOOKUP(A22,'f Excel formulas for calculatio'!A:H,7,FALSE)</f>
        <v>USA</v>
      </c>
      <c r="H22" s="4" t="str">
        <f>VLOOKUP(A22,'f Excel formulas for calculatio'!A:H,8,FALSE)</f>
        <v>Platinum</v>
      </c>
    </row>
    <row r="23" spans="1:8" x14ac:dyDescent="0.25">
      <c r="A23" s="9" t="s">
        <v>92</v>
      </c>
      <c r="B23" s="4" t="str">
        <f>VLOOKUP(A23,'f Excel formulas for calculatio'!A:H,2,FALSE)</f>
        <v>Bridget Allen</v>
      </c>
      <c r="C23" s="4">
        <f>VLOOKUP(A23,'f Excel formulas for calculatio'!A:H,3,FALSE)</f>
        <v>59</v>
      </c>
      <c r="D23" s="4" t="str">
        <f>VLOOKUP(A23,'f Excel formulas for calculatio'!A:H,4,FALSE)</f>
        <v>Male</v>
      </c>
      <c r="E23" s="4" t="str">
        <f>VLOOKUP(A23,'f Excel formulas for calculatio'!A:H,5,FALSE)</f>
        <v>Lake Shaneburgh</v>
      </c>
      <c r="F23" s="4" t="str">
        <f>VLOOKUP(A23,'f Excel formulas for calculatio'!A:H,6,FALSE)</f>
        <v>Delaware</v>
      </c>
      <c r="G23" s="4" t="str">
        <f>VLOOKUP(A23,'f Excel formulas for calculatio'!A:H,7,FALSE)</f>
        <v>USA</v>
      </c>
      <c r="H23" s="4" t="str">
        <f>VLOOKUP(A23,'f Excel formulas for calculatio'!A:H,8,FALSE)</f>
        <v>Silver</v>
      </c>
    </row>
    <row r="24" spans="1:8" x14ac:dyDescent="0.25">
      <c r="A24" s="4" t="s">
        <v>96</v>
      </c>
      <c r="B24" s="4" t="str">
        <f>VLOOKUP(A24,'f Excel formulas for calculatio'!A:H,2,FALSE)</f>
        <v>Jeff Martinez</v>
      </c>
      <c r="C24" s="4">
        <f>VLOOKUP(A24,'f Excel formulas for calculatio'!A:H,3,FALSE)</f>
        <v>36</v>
      </c>
      <c r="D24" s="4" t="str">
        <f>VLOOKUP(A24,'f Excel formulas for calculatio'!A:H,4,FALSE)</f>
        <v>Female</v>
      </c>
      <c r="E24" s="4" t="str">
        <f>VLOOKUP(A24,'f Excel formulas for calculatio'!A:H,5,FALSE)</f>
        <v>Smithburgh</v>
      </c>
      <c r="F24" s="4" t="str">
        <f>VLOOKUP(A24,'f Excel formulas for calculatio'!A:H,6,FALSE)</f>
        <v>Oklahoma</v>
      </c>
      <c r="G24" s="4" t="str">
        <f>VLOOKUP(A24,'f Excel formulas for calculatio'!A:H,7,FALSE)</f>
        <v>USA</v>
      </c>
      <c r="H24" s="4" t="str">
        <f>VLOOKUP(A24,'f Excel formulas for calculatio'!A:H,8,FALSE)</f>
        <v>Gold</v>
      </c>
    </row>
    <row r="25" spans="1:8" x14ac:dyDescent="0.25">
      <c r="A25" s="9" t="s">
        <v>100</v>
      </c>
      <c r="B25" s="4" t="str">
        <f>VLOOKUP(A25,'f Excel formulas for calculatio'!A:H,2,FALSE)</f>
        <v xml:space="preserve">   paul fox</v>
      </c>
      <c r="C25" s="4">
        <f>VLOOKUP(A25,'f Excel formulas for calculatio'!A:H,3,FALSE)</f>
        <v>33</v>
      </c>
      <c r="D25" s="4" t="str">
        <f>VLOOKUP(A25,'f Excel formulas for calculatio'!A:H,4,FALSE)</f>
        <v>Female</v>
      </c>
      <c r="E25" s="4" t="str">
        <f>VLOOKUP(A25,'f Excel formulas for calculatio'!A:H,5,FALSE)</f>
        <v>Michaelton</v>
      </c>
      <c r="F25" s="4" t="str">
        <f>VLOOKUP(A25,'f Excel formulas for calculatio'!A:H,6,FALSE)</f>
        <v>Hawaii</v>
      </c>
      <c r="G25" s="4" t="str">
        <f>VLOOKUP(A25,'f Excel formulas for calculatio'!A:H,7,FALSE)</f>
        <v>USA</v>
      </c>
      <c r="H25" s="4" t="str">
        <f>VLOOKUP(A25,'f Excel formulas for calculatio'!A:H,8,FALSE)</f>
        <v>Silver</v>
      </c>
    </row>
    <row r="26" spans="1:8" x14ac:dyDescent="0.25">
      <c r="A26" s="4" t="s">
        <v>104</v>
      </c>
      <c r="B26" s="4" t="str">
        <f>VLOOKUP(A26,'f Excel formulas for calculatio'!A:H,2,FALSE)</f>
        <v>Jonathan Steele</v>
      </c>
      <c r="C26" s="4">
        <f>VLOOKUP(A26,'f Excel formulas for calculatio'!A:H,3,FALSE)</f>
        <v>52</v>
      </c>
      <c r="D26" s="4" t="str">
        <f>VLOOKUP(A26,'f Excel formulas for calculatio'!A:H,4,FALSE)</f>
        <v>Female</v>
      </c>
      <c r="E26" s="4" t="str">
        <f>VLOOKUP(A26,'f Excel formulas for calculatio'!A:H,5,FALSE)</f>
        <v>Molinabury</v>
      </c>
      <c r="F26" s="4" t="str">
        <f>VLOOKUP(A26,'f Excel formulas for calculatio'!A:H,6,FALSE)</f>
        <v>Oregon</v>
      </c>
      <c r="G26" s="4" t="str">
        <f>VLOOKUP(A26,'f Excel formulas for calculatio'!A:H,7,FALSE)</f>
        <v>USA</v>
      </c>
      <c r="H26" s="4" t="str">
        <f>VLOOKUP(A26,'f Excel formulas for calculatio'!A:H,8,FALSE)</f>
        <v>Silver</v>
      </c>
    </row>
    <row r="27" spans="1:8" x14ac:dyDescent="0.25">
      <c r="A27" s="9" t="s">
        <v>107</v>
      </c>
      <c r="B27" s="4" t="str">
        <f>VLOOKUP(A27,'f Excel formulas for calculatio'!A:H,2,FALSE)</f>
        <v>Heather Collins</v>
      </c>
      <c r="C27" s="4">
        <f>VLOOKUP(A27,'f Excel formulas for calculatio'!A:H,3,FALSE)</f>
        <v>40</v>
      </c>
      <c r="D27" s="4" t="str">
        <f>VLOOKUP(A27,'f Excel formulas for calculatio'!A:H,4,FALSE)</f>
        <v>Male</v>
      </c>
      <c r="E27" s="4" t="str">
        <f>VLOOKUP(A27,'f Excel formulas for calculatio'!A:H,5,FALSE)</f>
        <v>Rogerschester</v>
      </c>
      <c r="F27" s="4" t="str">
        <f>VLOOKUP(A27,'f Excel formulas for calculatio'!A:H,6,FALSE)</f>
        <v>Idaho</v>
      </c>
      <c r="G27" s="4" t="str">
        <f>VLOOKUP(A27,'f Excel formulas for calculatio'!A:H,7,FALSE)</f>
        <v>USA</v>
      </c>
      <c r="H27" s="4" t="str">
        <f>VLOOKUP(A27,'f Excel formulas for calculatio'!A:H,8,FALSE)</f>
        <v>Platinum</v>
      </c>
    </row>
    <row r="28" spans="1:8" x14ac:dyDescent="0.25">
      <c r="A28" s="4" t="s">
        <v>111</v>
      </c>
      <c r="B28" s="4" t="str">
        <f>VLOOKUP(A28,'f Excel formulas for calculatio'!A:H,2,FALSE)</f>
        <v>Diana Taylor</v>
      </c>
      <c r="C28" s="4">
        <f>VLOOKUP(A28,'f Excel formulas for calculatio'!A:H,3,FALSE)</f>
        <v>59</v>
      </c>
      <c r="D28" s="4" t="str">
        <f>VLOOKUP(A28,'f Excel formulas for calculatio'!A:H,4,FALSE)</f>
        <v>Female</v>
      </c>
      <c r="E28" s="4" t="str">
        <f>VLOOKUP(A28,'f Excel formulas for calculatio'!A:H,5,FALSE)</f>
        <v>Vasqueztown</v>
      </c>
      <c r="F28" s="4" t="str">
        <f>VLOOKUP(A28,'f Excel formulas for calculatio'!A:H,6,FALSE)</f>
        <v>California</v>
      </c>
      <c r="G28" s="4" t="str">
        <f>VLOOKUP(A28,'f Excel formulas for calculatio'!A:H,7,FALSE)</f>
        <v>USA</v>
      </c>
      <c r="H28" s="4" t="str">
        <f>VLOOKUP(A28,'f Excel formulas for calculatio'!A:H,8,FALSE)</f>
        <v>Bronze</v>
      </c>
    </row>
    <row r="29" spans="1:8" x14ac:dyDescent="0.25">
      <c r="A29" s="9" t="s">
        <v>114</v>
      </c>
      <c r="B29" s="4" t="str">
        <f>VLOOKUP(A29,'f Excel formulas for calculatio'!A:H,2,FALSE)</f>
        <v>Amber Carlson</v>
      </c>
      <c r="C29" s="4">
        <f>VLOOKUP(A29,'f Excel formulas for calculatio'!A:H,3,FALSE)</f>
        <v>18</v>
      </c>
      <c r="D29" s="4" t="str">
        <f>VLOOKUP(A29,'f Excel formulas for calculatio'!A:H,4,FALSE)</f>
        <v>Female</v>
      </c>
      <c r="E29" s="4" t="str">
        <f>VLOOKUP(A29,'f Excel formulas for calculatio'!A:H,5,FALSE)</f>
        <v>East Michellemouth</v>
      </c>
      <c r="F29" s="4" t="str">
        <f>VLOOKUP(A29,'f Excel formulas for calculatio'!A:H,6,FALSE)</f>
        <v>Missouri</v>
      </c>
      <c r="G29" s="4" t="str">
        <f>VLOOKUP(A29,'f Excel formulas for calculatio'!A:H,7,FALSE)</f>
        <v>USA</v>
      </c>
      <c r="H29" s="4" t="str">
        <f>VLOOKUP(A29,'f Excel formulas for calculatio'!A:H,8,FALSE)</f>
        <v>Gold</v>
      </c>
    </row>
    <row r="30" spans="1:8" x14ac:dyDescent="0.25">
      <c r="A30" s="4" t="s">
        <v>118</v>
      </c>
      <c r="B30" s="4" t="str">
        <f>VLOOKUP(A30,'f Excel formulas for calculatio'!A:H,2,FALSE)</f>
        <v>Leslie Johnson</v>
      </c>
      <c r="C30" s="4">
        <f>VLOOKUP(A30,'f Excel formulas for calculatio'!A:H,3,FALSE)</f>
        <v>31</v>
      </c>
      <c r="D30" s="4" t="str">
        <f>VLOOKUP(A30,'f Excel formulas for calculatio'!A:H,4,FALSE)</f>
        <v>Male</v>
      </c>
      <c r="E30" s="4" t="str">
        <f>VLOOKUP(A30,'f Excel formulas for calculatio'!A:H,5,FALSE)</f>
        <v>Mollyshire</v>
      </c>
      <c r="F30" s="4" t="str">
        <f>VLOOKUP(A30,'f Excel formulas for calculatio'!A:H,6,FALSE)</f>
        <v>Utah</v>
      </c>
      <c r="G30" s="4" t="str">
        <f>VLOOKUP(A30,'f Excel formulas for calculatio'!A:H,7,FALSE)</f>
        <v>USA</v>
      </c>
      <c r="H30" s="4">
        <f>VLOOKUP(A30,'f Excel formulas for calculatio'!A:H,8,FALSE)</f>
        <v>0</v>
      </c>
    </row>
    <row r="31" spans="1:8" x14ac:dyDescent="0.25">
      <c r="A31" s="9" t="s">
        <v>122</v>
      </c>
      <c r="B31" s="4" t="str">
        <f>VLOOKUP(A31,'f Excel formulas for calculatio'!A:H,2,FALSE)</f>
        <v>Joshua Ryan</v>
      </c>
      <c r="C31" s="4">
        <f>VLOOKUP(A31,'f Excel formulas for calculatio'!A:H,3,FALSE)</f>
        <v>27</v>
      </c>
      <c r="D31" s="4" t="str">
        <f>VLOOKUP(A31,'f Excel formulas for calculatio'!A:H,4,FALSE)</f>
        <v>Female</v>
      </c>
      <c r="E31" s="4" t="str">
        <f>VLOOKUP(A31,'f Excel formulas for calculatio'!A:H,5,FALSE)</f>
        <v>New David</v>
      </c>
      <c r="F31" s="4" t="str">
        <f>VLOOKUP(A31,'f Excel formulas for calculatio'!A:H,6,FALSE)</f>
        <v>New Jersey</v>
      </c>
      <c r="G31" s="4" t="str">
        <f>VLOOKUP(A31,'f Excel formulas for calculatio'!A:H,7,FALSE)</f>
        <v>USA</v>
      </c>
      <c r="H31" s="4" t="str">
        <f>VLOOKUP(A31,'f Excel formulas for calculatio'!A:H,8,FALSE)</f>
        <v>Platinum</v>
      </c>
    </row>
    <row r="32" spans="1:8" x14ac:dyDescent="0.25">
      <c r="A32" s="4" t="s">
        <v>125</v>
      </c>
      <c r="B32" s="4" t="str">
        <f>VLOOKUP(A32,'f Excel formulas for calculatio'!A:H,2,FALSE)</f>
        <v>David Arnold</v>
      </c>
      <c r="C32" s="4">
        <f>VLOOKUP(A32,'f Excel formulas for calculatio'!A:H,3,FALSE)</f>
        <v>54</v>
      </c>
      <c r="D32" s="4" t="str">
        <f>VLOOKUP(A32,'f Excel formulas for calculatio'!A:H,4,FALSE)</f>
        <v>Female</v>
      </c>
      <c r="E32" s="4" t="str">
        <f>VLOOKUP(A32,'f Excel formulas for calculatio'!A:H,5,FALSE)</f>
        <v>East Jennifer</v>
      </c>
      <c r="F32" s="4" t="str">
        <f>VLOOKUP(A32,'f Excel formulas for calculatio'!A:H,6,FALSE)</f>
        <v>California</v>
      </c>
      <c r="G32" s="4" t="str">
        <f>VLOOKUP(A32,'f Excel formulas for calculatio'!A:H,7,FALSE)</f>
        <v>USA</v>
      </c>
      <c r="H32" s="4" t="str">
        <f>VLOOKUP(A32,'f Excel formulas for calculatio'!A:H,8,FALSE)</f>
        <v>Silver</v>
      </c>
    </row>
    <row r="33" spans="1:8" x14ac:dyDescent="0.25">
      <c r="A33" s="9" t="s">
        <v>128</v>
      </c>
      <c r="B33" s="4" t="str">
        <f>VLOOKUP(A33,'f Excel formulas for calculatio'!A:H,2,FALSE)</f>
        <v>Jessica Acevedo</v>
      </c>
      <c r="C33" s="4">
        <f>VLOOKUP(A33,'f Excel formulas for calculatio'!A:H,3,FALSE)</f>
        <v>64</v>
      </c>
      <c r="D33" s="4" t="str">
        <f>VLOOKUP(A33,'f Excel formulas for calculatio'!A:H,4,FALSE)</f>
        <v>Female</v>
      </c>
      <c r="E33" s="4" t="str">
        <f>VLOOKUP(A33,'f Excel formulas for calculatio'!A:H,5,FALSE)</f>
        <v>Amybury</v>
      </c>
      <c r="F33" s="4" t="str">
        <f>VLOOKUP(A33,'f Excel formulas for calculatio'!A:H,6,FALSE)</f>
        <v>Pennsylvania</v>
      </c>
      <c r="G33" s="4" t="str">
        <f>VLOOKUP(A33,'f Excel formulas for calculatio'!A:H,7,FALSE)</f>
        <v>USA</v>
      </c>
      <c r="H33" s="4" t="str">
        <f>VLOOKUP(A33,'f Excel formulas for calculatio'!A:H,8,FALSE)</f>
        <v>Bronze</v>
      </c>
    </row>
    <row r="34" spans="1:8" x14ac:dyDescent="0.25">
      <c r="A34" s="4" t="s">
        <v>131</v>
      </c>
      <c r="B34" s="4" t="str">
        <f>VLOOKUP(A34,'f Excel formulas for calculatio'!A:H,2,FALSE)</f>
        <v>Sarah Vance</v>
      </c>
      <c r="C34" s="4">
        <f>VLOOKUP(A34,'f Excel formulas for calculatio'!A:H,3,FALSE)</f>
        <v>41</v>
      </c>
      <c r="D34" s="4" t="str">
        <f>VLOOKUP(A34,'f Excel formulas for calculatio'!A:H,4,FALSE)</f>
        <v>Male</v>
      </c>
      <c r="E34" s="4" t="str">
        <f>VLOOKUP(A34,'f Excel formulas for calculatio'!A:H,5,FALSE)</f>
        <v>Johnsonville</v>
      </c>
      <c r="F34" s="4" t="str">
        <f>VLOOKUP(A34,'f Excel formulas for calculatio'!A:H,6,FALSE)</f>
        <v>Oregon</v>
      </c>
      <c r="G34" s="4" t="str">
        <f>VLOOKUP(A34,'f Excel formulas for calculatio'!A:H,7,FALSE)</f>
        <v>USA</v>
      </c>
      <c r="H34" s="4" t="str">
        <f>VLOOKUP(A34,'f Excel formulas for calculatio'!A:H,8,FALSE)</f>
        <v>Silver</v>
      </c>
    </row>
    <row r="35" spans="1:8" x14ac:dyDescent="0.25">
      <c r="A35" s="9" t="s">
        <v>134</v>
      </c>
      <c r="B35" s="4" t="str">
        <f>VLOOKUP(A35,'f Excel formulas for calculatio'!A:H,2,FALSE)</f>
        <v>Mike Jennings</v>
      </c>
      <c r="C35" s="4">
        <f>VLOOKUP(A35,'f Excel formulas for calculatio'!A:H,3,FALSE)</f>
        <v>48</v>
      </c>
      <c r="D35" s="4" t="str">
        <f>VLOOKUP(A35,'f Excel formulas for calculatio'!A:H,4,FALSE)</f>
        <v>Female</v>
      </c>
      <c r="E35" s="4" t="str">
        <f>VLOOKUP(A35,'f Excel formulas for calculatio'!A:H,5,FALSE)</f>
        <v>Fostermouth</v>
      </c>
      <c r="F35" s="4" t="str">
        <f>VLOOKUP(A35,'f Excel formulas for calculatio'!A:H,6,FALSE)</f>
        <v>Arizona</v>
      </c>
      <c r="G35" s="4" t="str">
        <f>VLOOKUP(A35,'f Excel formulas for calculatio'!A:H,7,FALSE)</f>
        <v>USA</v>
      </c>
      <c r="H35" s="4" t="str">
        <f>VLOOKUP(A35,'f Excel formulas for calculatio'!A:H,8,FALSE)</f>
        <v>Gold</v>
      </c>
    </row>
    <row r="36" spans="1:8" x14ac:dyDescent="0.25">
      <c r="A36" s="4" t="s">
        <v>138</v>
      </c>
      <c r="B36" s="4" t="str">
        <f>VLOOKUP(A36,'f Excel formulas for calculatio'!A:H,2,FALSE)</f>
        <v>Robert Jones DDS</v>
      </c>
      <c r="C36" s="4">
        <f>VLOOKUP(A36,'f Excel formulas for calculatio'!A:H,3,FALSE)</f>
        <v>25</v>
      </c>
      <c r="D36" s="4" t="str">
        <f>VLOOKUP(A36,'f Excel formulas for calculatio'!A:H,4,FALSE)</f>
        <v>Male</v>
      </c>
      <c r="E36" s="4" t="str">
        <f>VLOOKUP(A36,'f Excel formulas for calculatio'!A:H,5,FALSE)</f>
        <v>Tristanton</v>
      </c>
      <c r="F36" s="4" t="str">
        <f>VLOOKUP(A36,'f Excel formulas for calculatio'!A:H,6,FALSE)</f>
        <v>Oklahoma</v>
      </c>
      <c r="G36" s="4" t="str">
        <f>VLOOKUP(A36,'f Excel formulas for calculatio'!A:H,7,FALSE)</f>
        <v>USA</v>
      </c>
      <c r="H36" s="4" t="str">
        <f>VLOOKUP(A36,'f Excel formulas for calculatio'!A:H,8,FALSE)</f>
        <v>Platinum</v>
      </c>
    </row>
    <row r="37" spans="1:8" x14ac:dyDescent="0.25">
      <c r="A37" s="9" t="s">
        <v>141</v>
      </c>
      <c r="B37" s="4" t="str">
        <f>VLOOKUP(A37,'f Excel formulas for calculatio'!A:H,2,FALSE)</f>
        <v>Christopher Olson</v>
      </c>
      <c r="C37" s="4">
        <f>VLOOKUP(A37,'f Excel formulas for calculatio'!A:H,3,FALSE)</f>
        <v>27</v>
      </c>
      <c r="D37" s="4" t="str">
        <f>VLOOKUP(A37,'f Excel formulas for calculatio'!A:H,4,FALSE)</f>
        <v>Female</v>
      </c>
      <c r="E37" s="4" t="str">
        <f>VLOOKUP(A37,'f Excel formulas for calculatio'!A:H,5,FALSE)</f>
        <v>West Richard</v>
      </c>
      <c r="F37" s="4" t="str">
        <f>VLOOKUP(A37,'f Excel formulas for calculatio'!A:H,6,FALSE)</f>
        <v>Maryland</v>
      </c>
      <c r="G37" s="4" t="str">
        <f>VLOOKUP(A37,'f Excel formulas for calculatio'!A:H,7,FALSE)</f>
        <v>USA</v>
      </c>
      <c r="H37" s="4" t="str">
        <f>VLOOKUP(A37,'f Excel formulas for calculatio'!A:H,8,FALSE)</f>
        <v>Platinum</v>
      </c>
    </row>
    <row r="38" spans="1:8" x14ac:dyDescent="0.25">
      <c r="A38" s="4" t="s">
        <v>145</v>
      </c>
      <c r="B38" s="4" t="str">
        <f>VLOOKUP(A38,'f Excel formulas for calculatio'!A:H,2,FALSE)</f>
        <v>Rachel Myers</v>
      </c>
      <c r="C38" s="4">
        <f>VLOOKUP(A38,'f Excel formulas for calculatio'!A:H,3,FALSE)</f>
        <v>52</v>
      </c>
      <c r="D38" s="4" t="str">
        <f>VLOOKUP(A38,'f Excel formulas for calculatio'!A:H,4,FALSE)</f>
        <v>Male</v>
      </c>
      <c r="E38" s="4" t="str">
        <f>VLOOKUP(A38,'f Excel formulas for calculatio'!A:H,5,FALSE)</f>
        <v>Robertberg</v>
      </c>
      <c r="F38" s="4" t="str">
        <f>VLOOKUP(A38,'f Excel formulas for calculatio'!A:H,6,FALSE)</f>
        <v>North Dakota</v>
      </c>
      <c r="G38" s="4" t="str">
        <f>VLOOKUP(A38,'f Excel formulas for calculatio'!A:H,7,FALSE)</f>
        <v>USA</v>
      </c>
      <c r="H38" s="4" t="str">
        <f>VLOOKUP(A38,'f Excel formulas for calculatio'!A:H,8,FALSE)</f>
        <v>Silver</v>
      </c>
    </row>
    <row r="39" spans="1:8" x14ac:dyDescent="0.25">
      <c r="A39" s="9" t="s">
        <v>148</v>
      </c>
      <c r="B39" s="4" t="str">
        <f>VLOOKUP(A39,'f Excel formulas for calculatio'!A:H,2,FALSE)</f>
        <v>Thomas Phillips</v>
      </c>
      <c r="C39" s="4">
        <f>VLOOKUP(A39,'f Excel formulas for calculatio'!A:H,3,FALSE)</f>
        <v>20</v>
      </c>
      <c r="D39" s="4" t="str">
        <f>VLOOKUP(A39,'f Excel formulas for calculatio'!A:H,4,FALSE)</f>
        <v>Female</v>
      </c>
      <c r="E39" s="4" t="str">
        <f>VLOOKUP(A39,'f Excel formulas for calculatio'!A:H,5,FALSE)</f>
        <v>Luisfurt</v>
      </c>
      <c r="F39" s="4" t="str">
        <f>VLOOKUP(A39,'f Excel formulas for calculatio'!A:H,6,FALSE)</f>
        <v>Georgia</v>
      </c>
      <c r="G39" s="4" t="str">
        <f>VLOOKUP(A39,'f Excel formulas for calculatio'!A:H,7,FALSE)</f>
        <v>USA</v>
      </c>
      <c r="H39" s="4" t="str">
        <f>VLOOKUP(A39,'f Excel formulas for calculatio'!A:H,8,FALSE)</f>
        <v>Gold</v>
      </c>
    </row>
    <row r="40" spans="1:8" x14ac:dyDescent="0.25">
      <c r="A40" s="4" t="s">
        <v>151</v>
      </c>
      <c r="B40" s="4" t="str">
        <f>VLOOKUP(A40,'f Excel formulas for calculatio'!A:H,2,FALSE)</f>
        <v>Christopher Carter</v>
      </c>
      <c r="C40" s="4">
        <f>VLOOKUP(A40,'f Excel formulas for calculatio'!A:H,3,FALSE)</f>
        <v>27</v>
      </c>
      <c r="D40" s="4" t="str">
        <f>VLOOKUP(A40,'f Excel formulas for calculatio'!A:H,4,FALSE)</f>
        <v>Female</v>
      </c>
      <c r="E40" s="4" t="str">
        <f>VLOOKUP(A40,'f Excel formulas for calculatio'!A:H,5,FALSE)</f>
        <v>Brendastad</v>
      </c>
      <c r="F40" s="4" t="str">
        <f>VLOOKUP(A40,'f Excel formulas for calculatio'!A:H,6,FALSE)</f>
        <v>South Dakota</v>
      </c>
      <c r="G40" s="4" t="str">
        <f>VLOOKUP(A40,'f Excel formulas for calculatio'!A:H,7,FALSE)</f>
        <v>USA</v>
      </c>
      <c r="H40" s="4">
        <f>VLOOKUP(A40,'f Excel formulas for calculatio'!A:H,8,FALSE)</f>
        <v>0</v>
      </c>
    </row>
    <row r="41" spans="1:8" x14ac:dyDescent="0.25">
      <c r="A41" s="9" t="s">
        <v>154</v>
      </c>
      <c r="B41" s="4" t="str">
        <f>VLOOKUP(A41,'f Excel formulas for calculatio'!A:H,2,FALSE)</f>
        <v>Deanna Simpson</v>
      </c>
      <c r="C41" s="4">
        <f>VLOOKUP(A41,'f Excel formulas for calculatio'!A:H,3,FALSE)</f>
        <v>35</v>
      </c>
      <c r="D41" s="4" t="str">
        <f>VLOOKUP(A41,'f Excel formulas for calculatio'!A:H,4,FALSE)</f>
        <v>Female</v>
      </c>
      <c r="E41" s="4" t="str">
        <f>VLOOKUP(A41,'f Excel formulas for calculatio'!A:H,5,FALSE)</f>
        <v>Brownport</v>
      </c>
      <c r="F41" s="4" t="str">
        <f>VLOOKUP(A41,'f Excel formulas for calculatio'!A:H,6,FALSE)</f>
        <v>North Dakota</v>
      </c>
      <c r="G41" s="4" t="str">
        <f>VLOOKUP(A41,'f Excel formulas for calculatio'!A:H,7,FALSE)</f>
        <v>USA</v>
      </c>
      <c r="H41" s="4" t="str">
        <f>VLOOKUP(A41,'f Excel formulas for calculatio'!A:H,8,FALSE)</f>
        <v>Bronze</v>
      </c>
    </row>
    <row r="42" spans="1:8" x14ac:dyDescent="0.25">
      <c r="A42" s="4" t="s">
        <v>157</v>
      </c>
      <c r="B42" s="4" t="str">
        <f>VLOOKUP(A42,'f Excel formulas for calculatio'!A:H,2,FALSE)</f>
        <v>Tonya Reynolds</v>
      </c>
      <c r="C42" s="4">
        <f>VLOOKUP(A42,'f Excel formulas for calculatio'!A:H,3,FALSE)</f>
        <v>55</v>
      </c>
      <c r="D42" s="4" t="str">
        <f>VLOOKUP(A42,'f Excel formulas for calculatio'!A:H,4,FALSE)</f>
        <v>Female</v>
      </c>
      <c r="E42" s="4" t="str">
        <f>VLOOKUP(A42,'f Excel formulas for calculatio'!A:H,5,FALSE)</f>
        <v>Darleneton</v>
      </c>
      <c r="F42" s="4" t="str">
        <f>VLOOKUP(A42,'f Excel formulas for calculatio'!A:H,6,FALSE)</f>
        <v>Michigan</v>
      </c>
      <c r="G42" s="4" t="str">
        <f>VLOOKUP(A42,'f Excel formulas for calculatio'!A:H,7,FALSE)</f>
        <v>USA</v>
      </c>
      <c r="H42" s="4" t="str">
        <f>VLOOKUP(A42,'f Excel formulas for calculatio'!A:H,8,FALSE)</f>
        <v>Gold</v>
      </c>
    </row>
    <row r="43" spans="1:8" x14ac:dyDescent="0.25">
      <c r="A43" s="9" t="s">
        <v>161</v>
      </c>
      <c r="B43" s="4" t="str">
        <f>VLOOKUP(A43,'f Excel formulas for calculatio'!A:H,2,FALSE)</f>
        <v>Eric Vega</v>
      </c>
      <c r="C43" s="4">
        <f>VLOOKUP(A43,'f Excel formulas for calculatio'!A:H,3,FALSE)</f>
        <v>50</v>
      </c>
      <c r="D43" s="4" t="str">
        <f>VLOOKUP(A43,'f Excel formulas for calculatio'!A:H,4,FALSE)</f>
        <v>Male</v>
      </c>
      <c r="E43" s="4" t="str">
        <f>VLOOKUP(A43,'f Excel formulas for calculatio'!A:H,5,FALSE)</f>
        <v>Williamsonland</v>
      </c>
      <c r="F43" s="4" t="str">
        <f>VLOOKUP(A43,'f Excel formulas for calculatio'!A:H,6,FALSE)</f>
        <v>Kansas</v>
      </c>
      <c r="G43" s="4" t="str">
        <f>VLOOKUP(A43,'f Excel formulas for calculatio'!A:H,7,FALSE)</f>
        <v>USA</v>
      </c>
      <c r="H43" s="4" t="str">
        <f>VLOOKUP(A43,'f Excel formulas for calculatio'!A:H,8,FALSE)</f>
        <v>Gold</v>
      </c>
    </row>
    <row r="44" spans="1:8" x14ac:dyDescent="0.25">
      <c r="A44" s="4" t="s">
        <v>164</v>
      </c>
      <c r="B44" s="4" t="str">
        <f>VLOOKUP(A44,'f Excel formulas for calculatio'!A:H,2,FALSE)</f>
        <v>James Gibbs</v>
      </c>
      <c r="C44" s="4">
        <f>VLOOKUP(A44,'f Excel formulas for calculatio'!A:H,3,FALSE)</f>
        <v>21</v>
      </c>
      <c r="D44" s="4" t="str">
        <f>VLOOKUP(A44,'f Excel formulas for calculatio'!A:H,4,FALSE)</f>
        <v>Male</v>
      </c>
      <c r="E44" s="4" t="str">
        <f>VLOOKUP(A44,'f Excel formulas for calculatio'!A:H,5,FALSE)</f>
        <v>Mooneyshire</v>
      </c>
      <c r="F44" s="4" t="str">
        <f>VLOOKUP(A44,'f Excel formulas for calculatio'!A:H,6,FALSE)</f>
        <v>Alaska</v>
      </c>
      <c r="G44" s="4" t="str">
        <f>VLOOKUP(A44,'f Excel formulas for calculatio'!A:H,7,FALSE)</f>
        <v>USA</v>
      </c>
      <c r="H44" s="4" t="str">
        <f>VLOOKUP(A44,'f Excel formulas for calculatio'!A:H,8,FALSE)</f>
        <v>Platinum</v>
      </c>
    </row>
    <row r="45" spans="1:8" x14ac:dyDescent="0.25">
      <c r="A45" s="9" t="s">
        <v>168</v>
      </c>
      <c r="B45" s="4" t="str">
        <f>VLOOKUP(A45,'f Excel formulas for calculatio'!A:H,2,FALSE)</f>
        <v>William Martin</v>
      </c>
      <c r="C45" s="4">
        <f>VLOOKUP(A45,'f Excel formulas for calculatio'!A:H,3,FALSE)</f>
        <v>19</v>
      </c>
      <c r="D45" s="4" t="str">
        <f>VLOOKUP(A45,'f Excel formulas for calculatio'!A:H,4,FALSE)</f>
        <v>Male</v>
      </c>
      <c r="E45" s="4" t="str">
        <f>VLOOKUP(A45,'f Excel formulas for calculatio'!A:H,5,FALSE)</f>
        <v>Ryanburgh</v>
      </c>
      <c r="F45" s="4" t="str">
        <f>VLOOKUP(A45,'f Excel formulas for calculatio'!A:H,6,FALSE)</f>
        <v>Connecticut</v>
      </c>
      <c r="G45" s="4" t="str">
        <f>VLOOKUP(A45,'f Excel formulas for calculatio'!A:H,7,FALSE)</f>
        <v>USA</v>
      </c>
      <c r="H45" s="4" t="str">
        <f>VLOOKUP(A45,'f Excel formulas for calculatio'!A:H,8,FALSE)</f>
        <v>Platinum</v>
      </c>
    </row>
    <row r="46" spans="1:8" x14ac:dyDescent="0.25">
      <c r="A46" s="4" t="s">
        <v>172</v>
      </c>
      <c r="B46" s="4" t="str">
        <f>VLOOKUP(A46,'f Excel formulas for calculatio'!A:H,2,FALSE)</f>
        <v>Joseph Snow</v>
      </c>
      <c r="C46" s="4">
        <f>VLOOKUP(A46,'f Excel formulas for calculatio'!A:H,3,FALSE)</f>
        <v>45</v>
      </c>
      <c r="D46" s="4" t="str">
        <f>VLOOKUP(A46,'f Excel formulas for calculatio'!A:H,4,FALSE)</f>
        <v>Male</v>
      </c>
      <c r="E46" s="4" t="str">
        <f>VLOOKUP(A46,'f Excel formulas for calculatio'!A:H,5,FALSE)</f>
        <v>South Michaelfort</v>
      </c>
      <c r="F46" s="4" t="str">
        <f>VLOOKUP(A46,'f Excel formulas for calculatio'!A:H,6,FALSE)</f>
        <v>Vermont</v>
      </c>
      <c r="G46" s="4" t="str">
        <f>VLOOKUP(A46,'f Excel formulas for calculatio'!A:H,7,FALSE)</f>
        <v>USA</v>
      </c>
      <c r="H46" s="4" t="str">
        <f>VLOOKUP(A46,'f Excel formulas for calculatio'!A:H,8,FALSE)</f>
        <v>Gold</v>
      </c>
    </row>
    <row r="47" spans="1:8" x14ac:dyDescent="0.25">
      <c r="A47" s="9" t="s">
        <v>176</v>
      </c>
      <c r="B47" s="4" t="str">
        <f>VLOOKUP(A47,'f Excel formulas for calculatio'!A:H,2,FALSE)</f>
        <v>Denise Williams</v>
      </c>
      <c r="C47" s="4">
        <f>VLOOKUP(A47,'f Excel formulas for calculatio'!A:H,3,FALSE)</f>
        <v>34</v>
      </c>
      <c r="D47" s="4" t="str">
        <f>VLOOKUP(A47,'f Excel formulas for calculatio'!A:H,4,FALSE)</f>
        <v>Male</v>
      </c>
      <c r="E47" s="4" t="str">
        <f>VLOOKUP(A47,'f Excel formulas for calculatio'!A:H,5,FALSE)</f>
        <v>Christianstad</v>
      </c>
      <c r="F47" s="4" t="str">
        <f>VLOOKUP(A47,'f Excel formulas for calculatio'!A:H,6,FALSE)</f>
        <v>Hawaii</v>
      </c>
      <c r="G47" s="4" t="str">
        <f>VLOOKUP(A47,'f Excel formulas for calculatio'!A:H,7,FALSE)</f>
        <v>USA</v>
      </c>
      <c r="H47" s="4" t="str">
        <f>VLOOKUP(A47,'f Excel formulas for calculatio'!A:H,8,FALSE)</f>
        <v>Bronze</v>
      </c>
    </row>
    <row r="48" spans="1:8" x14ac:dyDescent="0.25">
      <c r="A48" s="4" t="s">
        <v>179</v>
      </c>
      <c r="B48" s="4" t="str">
        <f>VLOOKUP(A48,'f Excel formulas for calculatio'!A:H,2,FALSE)</f>
        <v>Jordan Jackson DDS</v>
      </c>
      <c r="C48" s="4">
        <f>VLOOKUP(A48,'f Excel formulas for calculatio'!A:H,3,FALSE)</f>
        <v>54</v>
      </c>
      <c r="D48" s="4" t="str">
        <f>VLOOKUP(A48,'f Excel formulas for calculatio'!A:H,4,FALSE)</f>
        <v>Male</v>
      </c>
      <c r="E48" s="4" t="str">
        <f>VLOOKUP(A48,'f Excel formulas for calculatio'!A:H,5,FALSE)</f>
        <v>North Johnview</v>
      </c>
      <c r="F48" s="4" t="str">
        <f>VLOOKUP(A48,'f Excel formulas for calculatio'!A:H,6,FALSE)</f>
        <v>Arizona</v>
      </c>
      <c r="G48" s="4" t="str">
        <f>VLOOKUP(A48,'f Excel formulas for calculatio'!A:H,7,FALSE)</f>
        <v>USA</v>
      </c>
      <c r="H48" s="4" t="str">
        <f>VLOOKUP(A48,'f Excel formulas for calculatio'!A:H,8,FALSE)</f>
        <v>Gold</v>
      </c>
    </row>
    <row r="49" spans="1:8" x14ac:dyDescent="0.25">
      <c r="A49" s="9" t="s">
        <v>182</v>
      </c>
      <c r="B49" s="4" t="str">
        <f>VLOOKUP(A49,'f Excel formulas for calculatio'!A:H,2,FALSE)</f>
        <v>Michelle Garcia DDS</v>
      </c>
      <c r="C49" s="4">
        <f>VLOOKUP(A49,'f Excel formulas for calculatio'!A:H,3,FALSE)</f>
        <v>55</v>
      </c>
      <c r="D49" s="4" t="str">
        <f>VLOOKUP(A49,'f Excel formulas for calculatio'!A:H,4,FALSE)</f>
        <v>Female</v>
      </c>
      <c r="E49" s="4" t="str">
        <f>VLOOKUP(A49,'f Excel formulas for calculatio'!A:H,5,FALSE)</f>
        <v>Perezbury</v>
      </c>
      <c r="F49" s="4" t="str">
        <f>VLOOKUP(A49,'f Excel formulas for calculatio'!A:H,6,FALSE)</f>
        <v>Ohio</v>
      </c>
      <c r="G49" s="4" t="str">
        <f>VLOOKUP(A49,'f Excel formulas for calculatio'!A:H,7,FALSE)</f>
        <v>USA</v>
      </c>
      <c r="H49" s="4" t="str">
        <f>VLOOKUP(A49,'f Excel formulas for calculatio'!A:H,8,FALSE)</f>
        <v>Platinum</v>
      </c>
    </row>
    <row r="50" spans="1:8" x14ac:dyDescent="0.25">
      <c r="A50" s="4" t="s">
        <v>185</v>
      </c>
      <c r="B50" s="4" t="str">
        <f>VLOOKUP(A50,'f Excel formulas for calculatio'!A:H,2,FALSE)</f>
        <v>Gina Knight</v>
      </c>
      <c r="C50" s="4">
        <f>VLOOKUP(A50,'f Excel formulas for calculatio'!A:H,3,FALSE)</f>
        <v>54</v>
      </c>
      <c r="D50" s="4" t="str">
        <f>VLOOKUP(A50,'f Excel formulas for calculatio'!A:H,4,FALSE)</f>
        <v>Female</v>
      </c>
      <c r="E50" s="4" t="str">
        <f>VLOOKUP(A50,'f Excel formulas for calculatio'!A:H,5,FALSE)</f>
        <v>Lake Roberthaven</v>
      </c>
      <c r="F50" s="4" t="str">
        <f>VLOOKUP(A50,'f Excel formulas for calculatio'!A:H,6,FALSE)</f>
        <v>Nevada</v>
      </c>
      <c r="G50" s="4" t="str">
        <f>VLOOKUP(A50,'f Excel formulas for calculatio'!A:H,7,FALSE)</f>
        <v>USA</v>
      </c>
      <c r="H50" s="4" t="str">
        <f>VLOOKUP(A50,'f Excel formulas for calculatio'!A:H,8,FALSE)</f>
        <v>Silver</v>
      </c>
    </row>
    <row r="51" spans="1:8" x14ac:dyDescent="0.25">
      <c r="A51" s="9" t="s">
        <v>189</v>
      </c>
      <c r="B51" s="4" t="str">
        <f>VLOOKUP(A51,'f Excel formulas for calculatio'!A:H,2,FALSE)</f>
        <v>April Mullins</v>
      </c>
      <c r="C51" s="4">
        <f>VLOOKUP(A51,'f Excel formulas for calculatio'!A:H,3,FALSE)</f>
        <v>54</v>
      </c>
      <c r="D51" s="4" t="str">
        <f>VLOOKUP(A51,'f Excel formulas for calculatio'!A:H,4,FALSE)</f>
        <v>Male</v>
      </c>
      <c r="E51" s="4" t="str">
        <f>VLOOKUP(A51,'f Excel formulas for calculatio'!A:H,5,FALSE)</f>
        <v>Dawsonbury</v>
      </c>
      <c r="F51" s="4" t="str">
        <f>VLOOKUP(A51,'f Excel formulas for calculatio'!A:H,6,FALSE)</f>
        <v>North Carolina</v>
      </c>
      <c r="G51" s="4" t="str">
        <f>VLOOKUP(A51,'f Excel formulas for calculatio'!A:H,7,FALSE)</f>
        <v>USA</v>
      </c>
      <c r="H51" s="4" t="str">
        <f>VLOOKUP(A51,'f Excel formulas for calculatio'!A:H,8,FALSE)</f>
        <v>Platinum</v>
      </c>
    </row>
    <row r="52" spans="1:8" x14ac:dyDescent="0.25">
      <c r="A52" s="4" t="s">
        <v>192</v>
      </c>
      <c r="B52" s="4" t="str">
        <f>VLOOKUP(A52,'f Excel formulas for calculatio'!A:H,2,FALSE)</f>
        <v>Timothy Weaver</v>
      </c>
      <c r="C52" s="4">
        <f>VLOOKUP(A52,'f Excel formulas for calculatio'!A:H,3,FALSE)</f>
        <v>45</v>
      </c>
      <c r="D52" s="4" t="str">
        <f>VLOOKUP(A52,'f Excel formulas for calculatio'!A:H,4,FALSE)</f>
        <v>Female</v>
      </c>
      <c r="E52" s="4" t="str">
        <f>VLOOKUP(A52,'f Excel formulas for calculatio'!A:H,5,FALSE)</f>
        <v>New Amy</v>
      </c>
      <c r="F52" s="4" t="str">
        <f>VLOOKUP(A52,'f Excel formulas for calculatio'!A:H,6,FALSE)</f>
        <v>Ohio</v>
      </c>
      <c r="G52" s="4" t="str">
        <f>VLOOKUP(A52,'f Excel formulas for calculatio'!A:H,7,FALSE)</f>
        <v>USA</v>
      </c>
      <c r="H52" s="4" t="str">
        <f>VLOOKUP(A52,'f Excel formulas for calculatio'!A:H,8,FALSE)</f>
        <v>Gold</v>
      </c>
    </row>
    <row r="53" spans="1:8" x14ac:dyDescent="0.25">
      <c r="A53" s="9" t="s">
        <v>195</v>
      </c>
      <c r="B53" s="4" t="str">
        <f>VLOOKUP(A53,'f Excel formulas for calculatio'!A:H,2,FALSE)</f>
        <v>Matthew Hunter Jr.</v>
      </c>
      <c r="C53" s="4">
        <f>VLOOKUP(A53,'f Excel formulas for calculatio'!A:H,3,FALSE)</f>
        <v>61</v>
      </c>
      <c r="D53" s="4" t="str">
        <f>VLOOKUP(A53,'f Excel formulas for calculatio'!A:H,4,FALSE)</f>
        <v>Female</v>
      </c>
      <c r="E53" s="4" t="str">
        <f>VLOOKUP(A53,'f Excel formulas for calculatio'!A:H,5,FALSE)</f>
        <v>Gregoryview</v>
      </c>
      <c r="F53" s="4" t="str">
        <f>VLOOKUP(A53,'f Excel formulas for calculatio'!A:H,6,FALSE)</f>
        <v>Illinois</v>
      </c>
      <c r="G53" s="4" t="str">
        <f>VLOOKUP(A53,'f Excel formulas for calculatio'!A:H,7,FALSE)</f>
        <v>USA</v>
      </c>
      <c r="H53" s="4" t="str">
        <f>VLOOKUP(A53,'f Excel formulas for calculatio'!A:H,8,FALSE)</f>
        <v>Gold</v>
      </c>
    </row>
    <row r="54" spans="1:8" x14ac:dyDescent="0.25">
      <c r="A54" s="4" t="s">
        <v>199</v>
      </c>
      <c r="B54" s="4" t="str">
        <f>VLOOKUP(A54,'f Excel formulas for calculatio'!A:H,2,FALSE)</f>
        <v>Sarah Rodgers</v>
      </c>
      <c r="C54" s="4">
        <f>VLOOKUP(A54,'f Excel formulas for calculatio'!A:H,3,FALSE)</f>
        <v>23</v>
      </c>
      <c r="D54" s="4" t="str">
        <f>VLOOKUP(A54,'f Excel formulas for calculatio'!A:H,4,FALSE)</f>
        <v>Female</v>
      </c>
      <c r="E54" s="4" t="str">
        <f>VLOOKUP(A54,'f Excel formulas for calculatio'!A:H,5,FALSE)</f>
        <v>New Julia</v>
      </c>
      <c r="F54" s="4" t="str">
        <f>VLOOKUP(A54,'f Excel formulas for calculatio'!A:H,6,FALSE)</f>
        <v>West Virginia</v>
      </c>
      <c r="G54" s="4" t="str">
        <f>VLOOKUP(A54,'f Excel formulas for calculatio'!A:H,7,FALSE)</f>
        <v>USA</v>
      </c>
      <c r="H54" s="4" t="str">
        <f>VLOOKUP(A54,'f Excel formulas for calculatio'!A:H,8,FALSE)</f>
        <v>Gold</v>
      </c>
    </row>
    <row r="55" spans="1:8" x14ac:dyDescent="0.25">
      <c r="A55" s="9" t="s">
        <v>202</v>
      </c>
      <c r="B55" s="4" t="str">
        <f>VLOOKUP(A55,'f Excel formulas for calculatio'!A:H,2,FALSE)</f>
        <v>Debra Liu</v>
      </c>
      <c r="C55" s="4">
        <f>VLOOKUP(A55,'f Excel formulas for calculatio'!A:H,3,FALSE)</f>
        <v>55</v>
      </c>
      <c r="D55" s="4" t="str">
        <f>VLOOKUP(A55,'f Excel formulas for calculatio'!A:H,4,FALSE)</f>
        <v>Male</v>
      </c>
      <c r="E55" s="4" t="str">
        <f>VLOOKUP(A55,'f Excel formulas for calculatio'!A:H,5,FALSE)</f>
        <v>South Timtown</v>
      </c>
      <c r="F55" s="4" t="str">
        <f>VLOOKUP(A55,'f Excel formulas for calculatio'!A:H,6,FALSE)</f>
        <v>Minnesota</v>
      </c>
      <c r="G55" s="4" t="str">
        <f>VLOOKUP(A55,'f Excel formulas for calculatio'!A:H,7,FALSE)</f>
        <v>USA</v>
      </c>
      <c r="H55" s="4" t="str">
        <f>VLOOKUP(A55,'f Excel formulas for calculatio'!A:H,8,FALSE)</f>
        <v>Bronze</v>
      </c>
    </row>
    <row r="56" spans="1:8" x14ac:dyDescent="0.25">
      <c r="A56" s="4" t="s">
        <v>206</v>
      </c>
      <c r="B56" s="4" t="str">
        <f>VLOOKUP(A56,'f Excel formulas for calculatio'!A:H,2,FALSE)</f>
        <v>Sharon Brown</v>
      </c>
      <c r="C56" s="4">
        <f>VLOOKUP(A56,'f Excel formulas for calculatio'!A:H,3,FALSE)</f>
        <v>37</v>
      </c>
      <c r="D56" s="4" t="str">
        <f>VLOOKUP(A56,'f Excel formulas for calculatio'!A:H,4,FALSE)</f>
        <v>Female</v>
      </c>
      <c r="E56" s="4" t="str">
        <f>VLOOKUP(A56,'f Excel formulas for calculatio'!A:H,5,FALSE)</f>
        <v>East Andrea</v>
      </c>
      <c r="F56" s="4" t="str">
        <f>VLOOKUP(A56,'f Excel formulas for calculatio'!A:H,6,FALSE)</f>
        <v>Michigan</v>
      </c>
      <c r="G56" s="4" t="str">
        <f>VLOOKUP(A56,'f Excel formulas for calculatio'!A:H,7,FALSE)</f>
        <v>USA</v>
      </c>
      <c r="H56" s="4" t="str">
        <f>VLOOKUP(A56,'f Excel formulas for calculatio'!A:H,8,FALSE)</f>
        <v>Gold</v>
      </c>
    </row>
    <row r="57" spans="1:8" x14ac:dyDescent="0.25">
      <c r="A57" s="9" t="s">
        <v>209</v>
      </c>
      <c r="B57" s="4" t="str">
        <f>VLOOKUP(A57,'f Excel formulas for calculatio'!A:H,2,FALSE)</f>
        <v>Katherine Dorsey</v>
      </c>
      <c r="C57" s="4">
        <f>VLOOKUP(A57,'f Excel formulas for calculatio'!A:H,3,FALSE)</f>
        <v>24</v>
      </c>
      <c r="D57" s="4" t="str">
        <f>VLOOKUP(A57,'f Excel formulas for calculatio'!A:H,4,FALSE)</f>
        <v>Male</v>
      </c>
      <c r="E57" s="4" t="str">
        <f>VLOOKUP(A57,'f Excel formulas for calculatio'!A:H,5,FALSE)</f>
        <v>Christopherland</v>
      </c>
      <c r="F57" s="4" t="str">
        <f>VLOOKUP(A57,'f Excel formulas for calculatio'!A:H,6,FALSE)</f>
        <v>Oklahoma</v>
      </c>
      <c r="G57" s="4" t="str">
        <f>VLOOKUP(A57,'f Excel formulas for calculatio'!A:H,7,FALSE)</f>
        <v>USA</v>
      </c>
      <c r="H57" s="4" t="str">
        <f>VLOOKUP(A57,'f Excel formulas for calculatio'!A:H,8,FALSE)</f>
        <v>Platinum</v>
      </c>
    </row>
    <row r="58" spans="1:8" x14ac:dyDescent="0.25">
      <c r="A58" s="4" t="s">
        <v>212</v>
      </c>
      <c r="B58" s="4" t="str">
        <f>VLOOKUP(A58,'f Excel formulas for calculatio'!A:H,2,FALSE)</f>
        <v>Wayne Mcpherson</v>
      </c>
      <c r="C58" s="4">
        <f>VLOOKUP(A58,'f Excel formulas for calculatio'!A:H,3,FALSE)</f>
        <v>56</v>
      </c>
      <c r="D58" s="4" t="str">
        <f>VLOOKUP(A58,'f Excel formulas for calculatio'!A:H,4,FALSE)</f>
        <v>Female</v>
      </c>
      <c r="E58" s="4" t="str">
        <f>VLOOKUP(A58,'f Excel formulas for calculatio'!A:H,5,FALSE)</f>
        <v>Edwardsfort</v>
      </c>
      <c r="F58" s="4" t="str">
        <f>VLOOKUP(A58,'f Excel formulas for calculatio'!A:H,6,FALSE)</f>
        <v>Minnesota</v>
      </c>
      <c r="G58" s="4" t="str">
        <f>VLOOKUP(A58,'f Excel formulas for calculatio'!A:H,7,FALSE)</f>
        <v>USA</v>
      </c>
      <c r="H58" s="4" t="str">
        <f>VLOOKUP(A58,'f Excel formulas for calculatio'!A:H,8,FALSE)</f>
        <v>Bronze</v>
      </c>
    </row>
    <row r="59" spans="1:8" x14ac:dyDescent="0.25">
      <c r="A59" s="9" t="s">
        <v>215</v>
      </c>
      <c r="B59" s="4" t="str">
        <f>VLOOKUP(A59,'f Excel formulas for calculatio'!A:H,2,FALSE)</f>
        <v>Christopher Sutton</v>
      </c>
      <c r="C59" s="4">
        <f>VLOOKUP(A59,'f Excel formulas for calculatio'!A:H,3,FALSE)</f>
        <v>49</v>
      </c>
      <c r="D59" s="4" t="str">
        <f>VLOOKUP(A59,'f Excel formulas for calculatio'!A:H,4,FALSE)</f>
        <v>Female</v>
      </c>
      <c r="E59" s="4" t="str">
        <f>VLOOKUP(A59,'f Excel formulas for calculatio'!A:H,5,FALSE)</f>
        <v>Deborahberg</v>
      </c>
      <c r="F59" s="4" t="str">
        <f>VLOOKUP(A59,'f Excel formulas for calculatio'!A:H,6,FALSE)</f>
        <v>Pennsylvania</v>
      </c>
      <c r="G59" s="4" t="str">
        <f>VLOOKUP(A59,'f Excel formulas for calculatio'!A:H,7,FALSE)</f>
        <v>USA</v>
      </c>
      <c r="H59" s="4" t="str">
        <f>VLOOKUP(A59,'f Excel formulas for calculatio'!A:H,8,FALSE)</f>
        <v>Gold</v>
      </c>
    </row>
    <row r="60" spans="1:8" x14ac:dyDescent="0.25">
      <c r="A60" s="4" t="s">
        <v>218</v>
      </c>
      <c r="B60" s="4" t="str">
        <f>VLOOKUP(A60,'f Excel formulas for calculatio'!A:H,2,FALSE)</f>
        <v>Jay Patel</v>
      </c>
      <c r="C60" s="4">
        <f>VLOOKUP(A60,'f Excel formulas for calculatio'!A:H,3,FALSE)</f>
        <v>43</v>
      </c>
      <c r="D60" s="4" t="str">
        <f>VLOOKUP(A60,'f Excel formulas for calculatio'!A:H,4,FALSE)</f>
        <v>Female</v>
      </c>
      <c r="E60" s="4" t="str">
        <f>VLOOKUP(A60,'f Excel formulas for calculatio'!A:H,5,FALSE)</f>
        <v>Morrisbury</v>
      </c>
      <c r="F60" s="4" t="str">
        <f>VLOOKUP(A60,'f Excel formulas for calculatio'!A:H,6,FALSE)</f>
        <v>Rhode Island</v>
      </c>
      <c r="G60" s="4" t="str">
        <f>VLOOKUP(A60,'f Excel formulas for calculatio'!A:H,7,FALSE)</f>
        <v>USA</v>
      </c>
      <c r="H60" s="4" t="str">
        <f>VLOOKUP(A60,'f Excel formulas for calculatio'!A:H,8,FALSE)</f>
        <v>Platinum</v>
      </c>
    </row>
    <row r="61" spans="1:8" x14ac:dyDescent="0.25">
      <c r="A61" s="9" t="s">
        <v>222</v>
      </c>
      <c r="B61" s="4" t="str">
        <f>VLOOKUP(A61,'f Excel formulas for calculatio'!A:H,2,FALSE)</f>
        <v>Cheryl Copeland</v>
      </c>
      <c r="C61" s="4">
        <f>VLOOKUP(A61,'f Excel formulas for calculatio'!A:H,3,FALSE)</f>
        <v>51</v>
      </c>
      <c r="D61" s="4" t="str">
        <f>VLOOKUP(A61,'f Excel formulas for calculatio'!A:H,4,FALSE)</f>
        <v>Male</v>
      </c>
      <c r="E61" s="4" t="str">
        <f>VLOOKUP(A61,'f Excel formulas for calculatio'!A:H,5,FALSE)</f>
        <v>Snowmouth</v>
      </c>
      <c r="F61" s="4" t="str">
        <f>VLOOKUP(A61,'f Excel formulas for calculatio'!A:H,6,FALSE)</f>
        <v>Maryland</v>
      </c>
      <c r="G61" s="4" t="str">
        <f>VLOOKUP(A61,'f Excel formulas for calculatio'!A:H,7,FALSE)</f>
        <v>USA</v>
      </c>
      <c r="H61" s="4" t="str">
        <f>VLOOKUP(A61,'f Excel formulas for calculatio'!A:H,8,FALSE)</f>
        <v>Platinum</v>
      </c>
    </row>
    <row r="62" spans="1:8" x14ac:dyDescent="0.25">
      <c r="A62" s="4" t="s">
        <v>225</v>
      </c>
      <c r="B62" s="4" t="str">
        <f>VLOOKUP(A62,'f Excel formulas for calculatio'!A:H,2,FALSE)</f>
        <v>Alyssa Vargas</v>
      </c>
      <c r="C62" s="4">
        <f>VLOOKUP(A62,'f Excel formulas for calculatio'!A:H,3,FALSE)</f>
        <v>53</v>
      </c>
      <c r="D62" s="4" t="str">
        <f>VLOOKUP(A62,'f Excel formulas for calculatio'!A:H,4,FALSE)</f>
        <v>Male</v>
      </c>
      <c r="E62" s="4" t="str">
        <f>VLOOKUP(A62,'f Excel formulas for calculatio'!A:H,5,FALSE)</f>
        <v>New Kathrynland</v>
      </c>
      <c r="F62" s="4" t="str">
        <f>VLOOKUP(A62,'f Excel formulas for calculatio'!A:H,6,FALSE)</f>
        <v>Montana</v>
      </c>
      <c r="G62" s="4" t="str">
        <f>VLOOKUP(A62,'f Excel formulas for calculatio'!A:H,7,FALSE)</f>
        <v>USA</v>
      </c>
      <c r="H62" s="4" t="str">
        <f>VLOOKUP(A62,'f Excel formulas for calculatio'!A:H,8,FALSE)</f>
        <v>Platinum</v>
      </c>
    </row>
    <row r="63" spans="1:8" x14ac:dyDescent="0.25">
      <c r="A63" s="9" t="s">
        <v>228</v>
      </c>
      <c r="B63" s="4" t="str">
        <f>VLOOKUP(A63,'f Excel formulas for calculatio'!A:H,2,FALSE)</f>
        <v>Dr. David Smith</v>
      </c>
      <c r="C63" s="4">
        <f>VLOOKUP(A63,'f Excel formulas for calculatio'!A:H,3,FALSE)</f>
        <v>22</v>
      </c>
      <c r="D63" s="4" t="str">
        <f>VLOOKUP(A63,'f Excel formulas for calculatio'!A:H,4,FALSE)</f>
        <v>Female</v>
      </c>
      <c r="E63" s="4" t="str">
        <f>VLOOKUP(A63,'f Excel formulas for calculatio'!A:H,5,FALSE)</f>
        <v>Schmidtchester</v>
      </c>
      <c r="F63" s="4" t="str">
        <f>VLOOKUP(A63,'f Excel formulas for calculatio'!A:H,6,FALSE)</f>
        <v>Alaska</v>
      </c>
      <c r="G63" s="4" t="str">
        <f>VLOOKUP(A63,'f Excel formulas for calculatio'!A:H,7,FALSE)</f>
        <v>USA</v>
      </c>
      <c r="H63" s="4" t="str">
        <f>VLOOKUP(A63,'f Excel formulas for calculatio'!A:H,8,FALSE)</f>
        <v>Silver</v>
      </c>
    </row>
    <row r="64" spans="1:8" x14ac:dyDescent="0.25">
      <c r="A64" s="4" t="s">
        <v>231</v>
      </c>
      <c r="B64" s="4" t="str">
        <f>VLOOKUP(A64,'f Excel formulas for calculatio'!A:H,2,FALSE)</f>
        <v>Kristin Stein</v>
      </c>
      <c r="C64" s="4">
        <f>VLOOKUP(A64,'f Excel formulas for calculatio'!A:H,3,FALSE)</f>
        <v>23</v>
      </c>
      <c r="D64" s="4" t="str">
        <f>VLOOKUP(A64,'f Excel formulas for calculatio'!A:H,4,FALSE)</f>
        <v>Male</v>
      </c>
      <c r="E64" s="4" t="str">
        <f>VLOOKUP(A64,'f Excel formulas for calculatio'!A:H,5,FALSE)</f>
        <v>Jennifermouth</v>
      </c>
      <c r="F64" s="4" t="str">
        <f>VLOOKUP(A64,'f Excel formulas for calculatio'!A:H,6,FALSE)</f>
        <v>Missouri</v>
      </c>
      <c r="G64" s="4" t="str">
        <f>VLOOKUP(A64,'f Excel formulas for calculatio'!A:H,7,FALSE)</f>
        <v>USA</v>
      </c>
      <c r="H64" s="4" t="str">
        <f>VLOOKUP(A64,'f Excel formulas for calculatio'!A:H,8,FALSE)</f>
        <v>Silver</v>
      </c>
    </row>
    <row r="65" spans="1:8" x14ac:dyDescent="0.25">
      <c r="A65" s="9" t="s">
        <v>234</v>
      </c>
      <c r="B65" s="4" t="str">
        <f>VLOOKUP(A65,'f Excel formulas for calculatio'!A:H,2,FALSE)</f>
        <v>James Bean</v>
      </c>
      <c r="C65" s="4">
        <f>VLOOKUP(A65,'f Excel formulas for calculatio'!A:H,3,FALSE)</f>
        <v>50</v>
      </c>
      <c r="D65" s="4" t="str">
        <f>VLOOKUP(A65,'f Excel formulas for calculatio'!A:H,4,FALSE)</f>
        <v>Male</v>
      </c>
      <c r="E65" s="4" t="str">
        <f>VLOOKUP(A65,'f Excel formulas for calculatio'!A:H,5,FALSE)</f>
        <v>Stevensonton</v>
      </c>
      <c r="F65" s="4" t="str">
        <f>VLOOKUP(A65,'f Excel formulas for calculatio'!A:H,6,FALSE)</f>
        <v>New Mexico</v>
      </c>
      <c r="G65" s="4" t="str">
        <f>VLOOKUP(A65,'f Excel formulas for calculatio'!A:H,7,FALSE)</f>
        <v>USA</v>
      </c>
      <c r="H65" s="4" t="str">
        <f>VLOOKUP(A65,'f Excel formulas for calculatio'!A:H,8,FALSE)</f>
        <v>Bronze</v>
      </c>
    </row>
    <row r="66" spans="1:8" x14ac:dyDescent="0.25">
      <c r="A66" s="4" t="s">
        <v>238</v>
      </c>
      <c r="B66" s="4" t="str">
        <f>VLOOKUP(A66,'f Excel formulas for calculatio'!A:H,2,FALSE)</f>
        <v>Michael Daniel</v>
      </c>
      <c r="C66" s="4">
        <f>VLOOKUP(A66,'f Excel formulas for calculatio'!A:H,3,FALSE)</f>
        <v>51</v>
      </c>
      <c r="D66" s="4" t="str">
        <f>VLOOKUP(A66,'f Excel formulas for calculatio'!A:H,4,FALSE)</f>
        <v>Male</v>
      </c>
      <c r="E66" s="4" t="str">
        <f>VLOOKUP(A66,'f Excel formulas for calculatio'!A:H,5,FALSE)</f>
        <v>New Jesse</v>
      </c>
      <c r="F66" s="4" t="str">
        <f>VLOOKUP(A66,'f Excel formulas for calculatio'!A:H,6,FALSE)</f>
        <v>Tennessee</v>
      </c>
      <c r="G66" s="4" t="str">
        <f>VLOOKUP(A66,'f Excel formulas for calculatio'!A:H,7,FALSE)</f>
        <v>USA</v>
      </c>
      <c r="H66" s="4" t="str">
        <f>VLOOKUP(A66,'f Excel formulas for calculatio'!A:H,8,FALSE)</f>
        <v>Platinum</v>
      </c>
    </row>
    <row r="67" spans="1:8" x14ac:dyDescent="0.25">
      <c r="A67" s="9" t="s">
        <v>242</v>
      </c>
      <c r="B67" s="4" t="str">
        <f>VLOOKUP(A67,'f Excel formulas for calculatio'!A:H,2,FALSE)</f>
        <v>Mr. Mason Butler</v>
      </c>
      <c r="C67" s="4">
        <f>VLOOKUP(A67,'f Excel formulas for calculatio'!A:H,3,FALSE)</f>
        <v>33</v>
      </c>
      <c r="D67" s="4" t="str">
        <f>VLOOKUP(A67,'f Excel formulas for calculatio'!A:H,4,FALSE)</f>
        <v>Male</v>
      </c>
      <c r="E67" s="4" t="str">
        <f>VLOOKUP(A67,'f Excel formulas for calculatio'!A:H,5,FALSE)</f>
        <v>Port Kathrynhaven</v>
      </c>
      <c r="F67" s="4" t="str">
        <f>VLOOKUP(A67,'f Excel formulas for calculatio'!A:H,6,FALSE)</f>
        <v>Arizona</v>
      </c>
      <c r="G67" s="4" t="str">
        <f>VLOOKUP(A67,'f Excel formulas for calculatio'!A:H,7,FALSE)</f>
        <v>USA</v>
      </c>
      <c r="H67" s="4" t="str">
        <f>VLOOKUP(A67,'f Excel formulas for calculatio'!A:H,8,FALSE)</f>
        <v>Gold</v>
      </c>
    </row>
    <row r="68" spans="1:8" x14ac:dyDescent="0.25">
      <c r="A68" s="4" t="s">
        <v>245</v>
      </c>
      <c r="B68" s="4" t="str">
        <f>VLOOKUP(A68,'f Excel formulas for calculatio'!A:H,2,FALSE)</f>
        <v>Michael Thomas</v>
      </c>
      <c r="C68" s="4">
        <f>VLOOKUP(A68,'f Excel formulas for calculatio'!A:H,3,FALSE)</f>
        <v>21</v>
      </c>
      <c r="D68" s="4" t="str">
        <f>VLOOKUP(A68,'f Excel formulas for calculatio'!A:H,4,FALSE)</f>
        <v>Female</v>
      </c>
      <c r="E68" s="4" t="str">
        <f>VLOOKUP(A68,'f Excel formulas for calculatio'!A:H,5,FALSE)</f>
        <v>Woodmouth</v>
      </c>
      <c r="F68" s="4" t="str">
        <f>VLOOKUP(A68,'f Excel formulas for calculatio'!A:H,6,FALSE)</f>
        <v>Nevada</v>
      </c>
      <c r="G68" s="4" t="str">
        <f>VLOOKUP(A68,'f Excel formulas for calculatio'!A:H,7,FALSE)</f>
        <v>USA</v>
      </c>
      <c r="H68" s="4" t="str">
        <f>VLOOKUP(A68,'f Excel formulas for calculatio'!A:H,8,FALSE)</f>
        <v>Silver</v>
      </c>
    </row>
    <row r="69" spans="1:8" x14ac:dyDescent="0.25">
      <c r="A69" s="9" t="s">
        <v>248</v>
      </c>
      <c r="B69" s="4" t="str">
        <f>VLOOKUP(A69,'f Excel formulas for calculatio'!A:H,2,FALSE)</f>
        <v>Cody Diaz</v>
      </c>
      <c r="C69" s="4">
        <f>VLOOKUP(A69,'f Excel formulas for calculatio'!A:H,3,FALSE)</f>
        <v>27</v>
      </c>
      <c r="D69" s="4" t="str">
        <f>VLOOKUP(A69,'f Excel formulas for calculatio'!A:H,4,FALSE)</f>
        <v>Female</v>
      </c>
      <c r="E69" s="4" t="str">
        <f>VLOOKUP(A69,'f Excel formulas for calculatio'!A:H,5,FALSE)</f>
        <v>South Aaronside</v>
      </c>
      <c r="F69" s="4" t="str">
        <f>VLOOKUP(A69,'f Excel formulas for calculatio'!A:H,6,FALSE)</f>
        <v>New Hampshire</v>
      </c>
      <c r="G69" s="4" t="str">
        <f>VLOOKUP(A69,'f Excel formulas for calculatio'!A:H,7,FALSE)</f>
        <v>USA</v>
      </c>
      <c r="H69" s="4" t="str">
        <f>VLOOKUP(A69,'f Excel formulas for calculatio'!A:H,8,FALSE)</f>
        <v>Silver</v>
      </c>
    </row>
    <row r="70" spans="1:8" x14ac:dyDescent="0.25">
      <c r="A70" s="4" t="s">
        <v>251</v>
      </c>
      <c r="B70" s="4" t="str">
        <f>VLOOKUP(A70,'f Excel formulas for calculatio'!A:H,2,FALSE)</f>
        <v>Amber Mcclain</v>
      </c>
      <c r="C70" s="4">
        <f>VLOOKUP(A70,'f Excel formulas for calculatio'!A:H,3,FALSE)</f>
        <v>58</v>
      </c>
      <c r="D70" s="4" t="str">
        <f>VLOOKUP(A70,'f Excel formulas for calculatio'!A:H,4,FALSE)</f>
        <v>Male</v>
      </c>
      <c r="E70" s="4" t="str">
        <f>VLOOKUP(A70,'f Excel formulas for calculatio'!A:H,5,FALSE)</f>
        <v>Brendaburgh</v>
      </c>
      <c r="F70" s="4" t="str">
        <f>VLOOKUP(A70,'f Excel formulas for calculatio'!A:H,6,FALSE)</f>
        <v>Florida</v>
      </c>
      <c r="G70" s="4" t="str">
        <f>VLOOKUP(A70,'f Excel formulas for calculatio'!A:H,7,FALSE)</f>
        <v>USA</v>
      </c>
      <c r="H70" s="4" t="str">
        <f>VLOOKUP(A70,'f Excel formulas for calculatio'!A:H,8,FALSE)</f>
        <v>Silver</v>
      </c>
    </row>
    <row r="71" spans="1:8" x14ac:dyDescent="0.25">
      <c r="A71" s="9" t="s">
        <v>255</v>
      </c>
      <c r="B71" s="4" t="str">
        <f>VLOOKUP(A71,'f Excel formulas for calculatio'!A:H,2,FALSE)</f>
        <v>Mr. Mark Beasley</v>
      </c>
      <c r="C71" s="4">
        <f>VLOOKUP(A71,'f Excel formulas for calculatio'!A:H,3,FALSE)</f>
        <v>24</v>
      </c>
      <c r="D71" s="4" t="str">
        <f>VLOOKUP(A71,'f Excel formulas for calculatio'!A:H,4,FALSE)</f>
        <v>Female</v>
      </c>
      <c r="E71" s="4" t="str">
        <f>VLOOKUP(A71,'f Excel formulas for calculatio'!A:H,5,FALSE)</f>
        <v>West Johnchester</v>
      </c>
      <c r="F71" s="4" t="str">
        <f>VLOOKUP(A71,'f Excel formulas for calculatio'!A:H,6,FALSE)</f>
        <v>Indiana</v>
      </c>
      <c r="G71" s="4" t="str">
        <f>VLOOKUP(A71,'f Excel formulas for calculatio'!A:H,7,FALSE)</f>
        <v>USA</v>
      </c>
      <c r="H71" s="4" t="str">
        <f>VLOOKUP(A71,'f Excel formulas for calculatio'!A:H,8,FALSE)</f>
        <v>Silver</v>
      </c>
    </row>
    <row r="72" spans="1:8" x14ac:dyDescent="0.25">
      <c r="A72" s="4" t="s">
        <v>259</v>
      </c>
      <c r="B72" s="4" t="str">
        <f>VLOOKUP(A72,'f Excel formulas for calculatio'!A:H,2,FALSE)</f>
        <v>Roy Cole</v>
      </c>
      <c r="C72" s="4">
        <f>VLOOKUP(A72,'f Excel formulas for calculatio'!A:H,3,FALSE)</f>
        <v>24</v>
      </c>
      <c r="D72" s="4" t="str">
        <f>VLOOKUP(A72,'f Excel formulas for calculatio'!A:H,4,FALSE)</f>
        <v>Female</v>
      </c>
      <c r="E72" s="4" t="str">
        <f>VLOOKUP(A72,'f Excel formulas for calculatio'!A:H,5,FALSE)</f>
        <v>North Cynthiatown</v>
      </c>
      <c r="F72" s="4" t="str">
        <f>VLOOKUP(A72,'f Excel formulas for calculatio'!A:H,6,FALSE)</f>
        <v>New Jersey</v>
      </c>
      <c r="G72" s="4" t="str">
        <f>VLOOKUP(A72,'f Excel formulas for calculatio'!A:H,7,FALSE)</f>
        <v>USA</v>
      </c>
      <c r="H72" s="4" t="str">
        <f>VLOOKUP(A72,'f Excel formulas for calculatio'!A:H,8,FALSE)</f>
        <v>Platinum</v>
      </c>
    </row>
    <row r="73" spans="1:8" x14ac:dyDescent="0.25">
      <c r="A73" s="9" t="s">
        <v>262</v>
      </c>
      <c r="B73" s="4" t="str">
        <f>VLOOKUP(A73,'f Excel formulas for calculatio'!A:H,2,FALSE)</f>
        <v>Eric Singh</v>
      </c>
      <c r="C73" s="4">
        <f>VLOOKUP(A73,'f Excel formulas for calculatio'!A:H,3,FALSE)</f>
        <v>29</v>
      </c>
      <c r="D73" s="4" t="str">
        <f>VLOOKUP(A73,'f Excel formulas for calculatio'!A:H,4,FALSE)</f>
        <v>Female</v>
      </c>
      <c r="E73" s="4" t="str">
        <f>VLOOKUP(A73,'f Excel formulas for calculatio'!A:H,5,FALSE)</f>
        <v>Port Lisa</v>
      </c>
      <c r="F73" s="4" t="str">
        <f>VLOOKUP(A73,'f Excel formulas for calculatio'!A:H,6,FALSE)</f>
        <v>New Mexico</v>
      </c>
      <c r="G73" s="4" t="str">
        <f>VLOOKUP(A73,'f Excel formulas for calculatio'!A:H,7,FALSE)</f>
        <v>USA</v>
      </c>
      <c r="H73" s="4" t="str">
        <f>VLOOKUP(A73,'f Excel formulas for calculatio'!A:H,8,FALSE)</f>
        <v>Gold</v>
      </c>
    </row>
    <row r="74" spans="1:8" x14ac:dyDescent="0.25">
      <c r="A74" s="4" t="s">
        <v>265</v>
      </c>
      <c r="B74" s="4" t="str">
        <f>VLOOKUP(A74,'f Excel formulas for calculatio'!A:H,2,FALSE)</f>
        <v>Andrea Perez</v>
      </c>
      <c r="C74" s="4">
        <f>VLOOKUP(A74,'f Excel formulas for calculatio'!A:H,3,FALSE)</f>
        <v>61</v>
      </c>
      <c r="D74" s="4" t="str">
        <f>VLOOKUP(A74,'f Excel formulas for calculatio'!A:H,4,FALSE)</f>
        <v>Female</v>
      </c>
      <c r="E74" s="4" t="str">
        <f>VLOOKUP(A74,'f Excel formulas for calculatio'!A:H,5,FALSE)</f>
        <v>South Shaun</v>
      </c>
      <c r="F74" s="4" t="str">
        <f>VLOOKUP(A74,'f Excel formulas for calculatio'!A:H,6,FALSE)</f>
        <v>New Mexico</v>
      </c>
      <c r="G74" s="4" t="str">
        <f>VLOOKUP(A74,'f Excel formulas for calculatio'!A:H,7,FALSE)</f>
        <v>USA</v>
      </c>
      <c r="H74" s="4" t="str">
        <f>VLOOKUP(A74,'f Excel formulas for calculatio'!A:H,8,FALSE)</f>
        <v>Gold</v>
      </c>
    </row>
    <row r="75" spans="1:8" x14ac:dyDescent="0.25">
      <c r="A75" s="9" t="s">
        <v>268</v>
      </c>
      <c r="B75" s="4" t="str">
        <f>VLOOKUP(A75,'f Excel formulas for calculatio'!A:H,2,FALSE)</f>
        <v>Tonya Burch</v>
      </c>
      <c r="C75" s="4">
        <f>VLOOKUP(A75,'f Excel formulas for calculatio'!A:H,3,FALSE)</f>
        <v>39</v>
      </c>
      <c r="D75" s="4" t="str">
        <f>VLOOKUP(A75,'f Excel formulas for calculatio'!A:H,4,FALSE)</f>
        <v>Female</v>
      </c>
      <c r="E75" s="4" t="str">
        <f>VLOOKUP(A75,'f Excel formulas for calculatio'!A:H,5,FALSE)</f>
        <v>Olsonhaven</v>
      </c>
      <c r="F75" s="4" t="str">
        <f>VLOOKUP(A75,'f Excel formulas for calculatio'!A:H,6,FALSE)</f>
        <v>Iowa</v>
      </c>
      <c r="G75" s="4" t="str">
        <f>VLOOKUP(A75,'f Excel formulas for calculatio'!A:H,7,FALSE)</f>
        <v>USA</v>
      </c>
      <c r="H75" s="4" t="str">
        <f>VLOOKUP(A75,'f Excel formulas for calculatio'!A:H,8,FALSE)</f>
        <v>Gold</v>
      </c>
    </row>
    <row r="76" spans="1:8" x14ac:dyDescent="0.25">
      <c r="A76" s="4" t="s">
        <v>272</v>
      </c>
      <c r="B76" s="4" t="str">
        <f>VLOOKUP(A76,'f Excel formulas for calculatio'!A:H,2,FALSE)</f>
        <v>Christopher Brown</v>
      </c>
      <c r="C76" s="4">
        <f>VLOOKUP(A76,'f Excel formulas for calculatio'!A:H,3,FALSE)</f>
        <v>56</v>
      </c>
      <c r="D76" s="4" t="str">
        <f>VLOOKUP(A76,'f Excel formulas for calculatio'!A:H,4,FALSE)</f>
        <v>Female</v>
      </c>
      <c r="E76" s="4" t="str">
        <f>VLOOKUP(A76,'f Excel formulas for calculatio'!A:H,5,FALSE)</f>
        <v>Sandrastad</v>
      </c>
      <c r="F76" s="4" t="str">
        <f>VLOOKUP(A76,'f Excel formulas for calculatio'!A:H,6,FALSE)</f>
        <v>West Virginia</v>
      </c>
      <c r="G76" s="4" t="str">
        <f>VLOOKUP(A76,'f Excel formulas for calculatio'!A:H,7,FALSE)</f>
        <v>USA</v>
      </c>
      <c r="H76" s="4" t="str">
        <f>VLOOKUP(A76,'f Excel formulas for calculatio'!A:H,8,FALSE)</f>
        <v>Silver</v>
      </c>
    </row>
    <row r="77" spans="1:8" x14ac:dyDescent="0.25">
      <c r="A77" s="9" t="s">
        <v>275</v>
      </c>
      <c r="B77" s="4" t="str">
        <f>VLOOKUP(A77,'f Excel formulas for calculatio'!A:H,2,FALSE)</f>
        <v>John Mayer</v>
      </c>
      <c r="C77" s="4">
        <f>VLOOKUP(A77,'f Excel formulas for calculatio'!A:H,3,FALSE)</f>
        <v>58</v>
      </c>
      <c r="D77" s="4" t="str">
        <f>VLOOKUP(A77,'f Excel formulas for calculatio'!A:H,4,FALSE)</f>
        <v>Male</v>
      </c>
      <c r="E77" s="4" t="str">
        <f>VLOOKUP(A77,'f Excel formulas for calculatio'!A:H,5,FALSE)</f>
        <v>Longport</v>
      </c>
      <c r="F77" s="4" t="str">
        <f>VLOOKUP(A77,'f Excel formulas for calculatio'!A:H,6,FALSE)</f>
        <v>Colorado</v>
      </c>
      <c r="G77" s="4" t="str">
        <f>VLOOKUP(A77,'f Excel formulas for calculatio'!A:H,7,FALSE)</f>
        <v>USA</v>
      </c>
      <c r="H77" s="4" t="str">
        <f>VLOOKUP(A77,'f Excel formulas for calculatio'!A:H,8,FALSE)</f>
        <v>Bronze</v>
      </c>
    </row>
    <row r="78" spans="1:8" x14ac:dyDescent="0.25">
      <c r="A78" s="4" t="s">
        <v>279</v>
      </c>
      <c r="B78" s="4" t="str">
        <f>VLOOKUP(A78,'f Excel formulas for calculatio'!A:H,2,FALSE)</f>
        <v>Rhonda Morales</v>
      </c>
      <c r="C78" s="4">
        <f>VLOOKUP(A78,'f Excel formulas for calculatio'!A:H,3,FALSE)</f>
        <v>61</v>
      </c>
      <c r="D78" s="4" t="str">
        <f>VLOOKUP(A78,'f Excel formulas for calculatio'!A:H,4,FALSE)</f>
        <v>Female</v>
      </c>
      <c r="E78" s="4" t="str">
        <f>VLOOKUP(A78,'f Excel formulas for calculatio'!A:H,5,FALSE)</f>
        <v>Lake Barryfurt</v>
      </c>
      <c r="F78" s="4" t="str">
        <f>VLOOKUP(A78,'f Excel formulas for calculatio'!A:H,6,FALSE)</f>
        <v>California</v>
      </c>
      <c r="G78" s="4" t="str">
        <f>VLOOKUP(A78,'f Excel formulas for calculatio'!A:H,7,FALSE)</f>
        <v>USA</v>
      </c>
      <c r="H78" s="4" t="str">
        <f>VLOOKUP(A78,'f Excel formulas for calculatio'!A:H,8,FALSE)</f>
        <v>Gold</v>
      </c>
    </row>
    <row r="79" spans="1:8" x14ac:dyDescent="0.25">
      <c r="A79" s="9" t="s">
        <v>282</v>
      </c>
      <c r="B79" s="4" t="str">
        <f>VLOOKUP(A79,'f Excel formulas for calculatio'!A:H,2,FALSE)</f>
        <v>Nathan Campbell</v>
      </c>
      <c r="C79" s="4">
        <f>VLOOKUP(A79,'f Excel formulas for calculatio'!A:H,3,FALSE)</f>
        <v>37</v>
      </c>
      <c r="D79" s="4" t="str">
        <f>VLOOKUP(A79,'f Excel formulas for calculatio'!A:H,4,FALSE)</f>
        <v>Male</v>
      </c>
      <c r="E79" s="4" t="str">
        <f>VLOOKUP(A79,'f Excel formulas for calculatio'!A:H,5,FALSE)</f>
        <v>Rodrigueztown</v>
      </c>
      <c r="F79" s="4" t="str">
        <f>VLOOKUP(A79,'f Excel formulas for calculatio'!A:H,6,FALSE)</f>
        <v>Oklahoma</v>
      </c>
      <c r="G79" s="4" t="str">
        <f>VLOOKUP(A79,'f Excel formulas for calculatio'!A:H,7,FALSE)</f>
        <v>USA</v>
      </c>
      <c r="H79" s="4" t="str">
        <f>VLOOKUP(A79,'f Excel formulas for calculatio'!A:H,8,FALSE)</f>
        <v>Gold</v>
      </c>
    </row>
    <row r="80" spans="1:8" x14ac:dyDescent="0.25">
      <c r="A80" s="4" t="s">
        <v>285</v>
      </c>
      <c r="B80" s="4" t="str">
        <f>VLOOKUP(A80,'f Excel formulas for calculatio'!A:H,2,FALSE)</f>
        <v>Katherine Young</v>
      </c>
      <c r="C80" s="4">
        <f>VLOOKUP(A80,'f Excel formulas for calculatio'!A:H,3,FALSE)</f>
        <v>29</v>
      </c>
      <c r="D80" s="4" t="str">
        <f>VLOOKUP(A80,'f Excel formulas for calculatio'!A:H,4,FALSE)</f>
        <v>Male</v>
      </c>
      <c r="E80" s="4" t="str">
        <f>VLOOKUP(A80,'f Excel formulas for calculatio'!A:H,5,FALSE)</f>
        <v>North Valeriemouth</v>
      </c>
      <c r="F80" s="4" t="str">
        <f>VLOOKUP(A80,'f Excel formulas for calculatio'!A:H,6,FALSE)</f>
        <v>Vermont</v>
      </c>
      <c r="G80" s="4" t="str">
        <f>VLOOKUP(A80,'f Excel formulas for calculatio'!A:H,7,FALSE)</f>
        <v>USA</v>
      </c>
      <c r="H80" s="4" t="str">
        <f>VLOOKUP(A80,'f Excel formulas for calculatio'!A:H,8,FALSE)</f>
        <v>Gold</v>
      </c>
    </row>
    <row r="81" spans="1:8" x14ac:dyDescent="0.25">
      <c r="A81" s="9" t="s">
        <v>288</v>
      </c>
      <c r="B81" s="4" t="str">
        <f>VLOOKUP(A81,'f Excel formulas for calculatio'!A:H,2,FALSE)</f>
        <v>Cody Blake</v>
      </c>
      <c r="C81" s="4">
        <f>VLOOKUP(A81,'f Excel formulas for calculatio'!A:H,3,FALSE)</f>
        <v>21</v>
      </c>
      <c r="D81" s="4" t="str">
        <f>VLOOKUP(A81,'f Excel formulas for calculatio'!A:H,4,FALSE)</f>
        <v>Male</v>
      </c>
      <c r="E81" s="4" t="str">
        <f>VLOOKUP(A81,'f Excel formulas for calculatio'!A:H,5,FALSE)</f>
        <v>North Scottport</v>
      </c>
      <c r="F81" s="4" t="str">
        <f>VLOOKUP(A81,'f Excel formulas for calculatio'!A:H,6,FALSE)</f>
        <v>Virginia</v>
      </c>
      <c r="G81" s="4" t="str">
        <f>VLOOKUP(A81,'f Excel formulas for calculatio'!A:H,7,FALSE)</f>
        <v>USA</v>
      </c>
      <c r="H81" s="4" t="str">
        <f>VLOOKUP(A81,'f Excel formulas for calculatio'!A:H,8,FALSE)</f>
        <v>Gold</v>
      </c>
    </row>
    <row r="82" spans="1:8" x14ac:dyDescent="0.25">
      <c r="A82" s="4" t="s">
        <v>292</v>
      </c>
      <c r="B82" s="4" t="str">
        <f>VLOOKUP(A82,'f Excel formulas for calculatio'!A:H,2,FALSE)</f>
        <v>Molly Gardner</v>
      </c>
      <c r="C82" s="4">
        <f>VLOOKUP(A82,'f Excel formulas for calculatio'!A:H,3,FALSE)</f>
        <v>22</v>
      </c>
      <c r="D82" s="4" t="str">
        <f>VLOOKUP(A82,'f Excel formulas for calculatio'!A:H,4,FALSE)</f>
        <v>Female</v>
      </c>
      <c r="E82" s="4" t="str">
        <f>VLOOKUP(A82,'f Excel formulas for calculatio'!A:H,5,FALSE)</f>
        <v>Nicoleborough</v>
      </c>
      <c r="F82" s="4" t="str">
        <f>VLOOKUP(A82,'f Excel formulas for calculatio'!A:H,6,FALSE)</f>
        <v>Arkansas</v>
      </c>
      <c r="G82" s="4" t="str">
        <f>VLOOKUP(A82,'f Excel formulas for calculatio'!A:H,7,FALSE)</f>
        <v>USA</v>
      </c>
      <c r="H82" s="4" t="str">
        <f>VLOOKUP(A82,'f Excel formulas for calculatio'!A:H,8,FALSE)</f>
        <v>Platinum</v>
      </c>
    </row>
    <row r="83" spans="1:8" x14ac:dyDescent="0.25">
      <c r="A83" s="9" t="s">
        <v>296</v>
      </c>
      <c r="B83" s="4" t="str">
        <f>VLOOKUP(A83,'f Excel formulas for calculatio'!A:H,2,FALSE)</f>
        <v>Jennifer Garcia</v>
      </c>
      <c r="C83" s="4">
        <f>VLOOKUP(A83,'f Excel formulas for calculatio'!A:H,3,FALSE)</f>
        <v>61</v>
      </c>
      <c r="D83" s="4" t="str">
        <f>VLOOKUP(A83,'f Excel formulas for calculatio'!A:H,4,FALSE)</f>
        <v>Female</v>
      </c>
      <c r="E83" s="4" t="str">
        <f>VLOOKUP(A83,'f Excel formulas for calculatio'!A:H,5,FALSE)</f>
        <v>New Sean</v>
      </c>
      <c r="F83" s="4" t="str">
        <f>VLOOKUP(A83,'f Excel formulas for calculatio'!A:H,6,FALSE)</f>
        <v>New Mexico</v>
      </c>
      <c r="G83" s="4" t="str">
        <f>VLOOKUP(A83,'f Excel formulas for calculatio'!A:H,7,FALSE)</f>
        <v>USA</v>
      </c>
      <c r="H83" s="4" t="str">
        <f>VLOOKUP(A83,'f Excel formulas for calculatio'!A:H,8,FALSE)</f>
        <v>Bronze</v>
      </c>
    </row>
    <row r="84" spans="1:8" x14ac:dyDescent="0.25">
      <c r="A84" s="4" t="s">
        <v>299</v>
      </c>
      <c r="B84" s="4" t="str">
        <f>VLOOKUP(A84,'f Excel formulas for calculatio'!A:H,2,FALSE)</f>
        <v>Krystal Ford</v>
      </c>
      <c r="C84" s="4">
        <f>VLOOKUP(A84,'f Excel formulas for calculatio'!A:H,3,FALSE)</f>
        <v>34</v>
      </c>
      <c r="D84" s="4" t="str">
        <f>VLOOKUP(A84,'f Excel formulas for calculatio'!A:H,4,FALSE)</f>
        <v>Female</v>
      </c>
      <c r="E84" s="4" t="str">
        <f>VLOOKUP(A84,'f Excel formulas for calculatio'!A:H,5,FALSE)</f>
        <v>South David</v>
      </c>
      <c r="F84" s="4" t="str">
        <f>VLOOKUP(A84,'f Excel formulas for calculatio'!A:H,6,FALSE)</f>
        <v>Arizona</v>
      </c>
      <c r="G84" s="4" t="str">
        <f>VLOOKUP(A84,'f Excel formulas for calculatio'!A:H,7,FALSE)</f>
        <v>USA</v>
      </c>
      <c r="H84" s="4" t="str">
        <f>VLOOKUP(A84,'f Excel formulas for calculatio'!A:H,8,FALSE)</f>
        <v>Platinum</v>
      </c>
    </row>
    <row r="85" spans="1:8" x14ac:dyDescent="0.25">
      <c r="A85" s="9" t="s">
        <v>302</v>
      </c>
      <c r="B85" s="4" t="str">
        <f>VLOOKUP(A85,'f Excel formulas for calculatio'!A:H,2,FALSE)</f>
        <v>George Rosario</v>
      </c>
      <c r="C85" s="4">
        <f>VLOOKUP(A85,'f Excel formulas for calculatio'!A:H,3,FALSE)</f>
        <v>53</v>
      </c>
      <c r="D85" s="4" t="str">
        <f>VLOOKUP(A85,'f Excel formulas for calculatio'!A:H,4,FALSE)</f>
        <v>Male</v>
      </c>
      <c r="E85" s="4" t="str">
        <f>VLOOKUP(A85,'f Excel formulas for calculatio'!A:H,5,FALSE)</f>
        <v>Leburgh</v>
      </c>
      <c r="F85" s="4" t="str">
        <f>VLOOKUP(A85,'f Excel formulas for calculatio'!A:H,6,FALSE)</f>
        <v>Florida</v>
      </c>
      <c r="G85" s="4" t="str">
        <f>VLOOKUP(A85,'f Excel formulas for calculatio'!A:H,7,FALSE)</f>
        <v>USA</v>
      </c>
      <c r="H85" s="4" t="str">
        <f>VLOOKUP(A85,'f Excel formulas for calculatio'!A:H,8,FALSE)</f>
        <v>Bronze</v>
      </c>
    </row>
    <row r="86" spans="1:8" x14ac:dyDescent="0.25">
      <c r="A86" s="4" t="s">
        <v>305</v>
      </c>
      <c r="B86" s="4" t="str">
        <f>VLOOKUP(A86,'f Excel formulas for calculatio'!A:H,2,FALSE)</f>
        <v>Thomas Robinson</v>
      </c>
      <c r="C86" s="4">
        <f>VLOOKUP(A86,'f Excel formulas for calculatio'!A:H,3,FALSE)</f>
        <v>48</v>
      </c>
      <c r="D86" s="4" t="str">
        <f>VLOOKUP(A86,'f Excel formulas for calculatio'!A:H,4,FALSE)</f>
        <v>Female</v>
      </c>
      <c r="E86" s="4" t="str">
        <f>VLOOKUP(A86,'f Excel formulas for calculatio'!A:H,5,FALSE)</f>
        <v>Nicholastown</v>
      </c>
      <c r="F86" s="4" t="str">
        <f>VLOOKUP(A86,'f Excel formulas for calculatio'!A:H,6,FALSE)</f>
        <v>Georgia</v>
      </c>
      <c r="G86" s="4" t="str">
        <f>VLOOKUP(A86,'f Excel formulas for calculatio'!A:H,7,FALSE)</f>
        <v>USA</v>
      </c>
      <c r="H86" s="4" t="str">
        <f>VLOOKUP(A86,'f Excel formulas for calculatio'!A:H,8,FALSE)</f>
        <v>Bronze</v>
      </c>
    </row>
    <row r="87" spans="1:8" x14ac:dyDescent="0.25">
      <c r="A87" s="9" t="s">
        <v>308</v>
      </c>
      <c r="B87" s="4" t="str">
        <f>VLOOKUP(A87,'f Excel formulas for calculatio'!A:H,2,FALSE)</f>
        <v>Christy Hoffman</v>
      </c>
      <c r="C87" s="4">
        <f>VLOOKUP(A87,'f Excel formulas for calculatio'!A:H,3,FALSE)</f>
        <v>26</v>
      </c>
      <c r="D87" s="4" t="str">
        <f>VLOOKUP(A87,'f Excel formulas for calculatio'!A:H,4,FALSE)</f>
        <v>Female</v>
      </c>
      <c r="E87" s="4" t="str">
        <f>VLOOKUP(A87,'f Excel formulas for calculatio'!A:H,5,FALSE)</f>
        <v>Garyberg</v>
      </c>
      <c r="F87" s="4" t="str">
        <f>VLOOKUP(A87,'f Excel formulas for calculatio'!A:H,6,FALSE)</f>
        <v>Indiana</v>
      </c>
      <c r="G87" s="4" t="str">
        <f>VLOOKUP(A87,'f Excel formulas for calculatio'!A:H,7,FALSE)</f>
        <v>USA</v>
      </c>
      <c r="H87" s="4" t="str">
        <f>VLOOKUP(A87,'f Excel formulas for calculatio'!A:H,8,FALSE)</f>
        <v>Platinum</v>
      </c>
    </row>
    <row r="88" spans="1:8" x14ac:dyDescent="0.25">
      <c r="A88" s="4" t="s">
        <v>311</v>
      </c>
      <c r="B88" s="4" t="str">
        <f>VLOOKUP(A88,'f Excel formulas for calculatio'!A:H,2,FALSE)</f>
        <v>Richard Delgado</v>
      </c>
      <c r="C88" s="4">
        <f>VLOOKUP(A88,'f Excel formulas for calculatio'!A:H,3,FALSE)</f>
        <v>36</v>
      </c>
      <c r="D88" s="4" t="str">
        <f>VLOOKUP(A88,'f Excel formulas for calculatio'!A:H,4,FALSE)</f>
        <v>Male</v>
      </c>
      <c r="E88" s="4" t="str">
        <f>VLOOKUP(A88,'f Excel formulas for calculatio'!A:H,5,FALSE)</f>
        <v>West Theodorechester</v>
      </c>
      <c r="F88" s="4" t="str">
        <f>VLOOKUP(A88,'f Excel formulas for calculatio'!A:H,6,FALSE)</f>
        <v>Pennsylvania</v>
      </c>
      <c r="G88" s="4" t="str">
        <f>VLOOKUP(A88,'f Excel formulas for calculatio'!A:H,7,FALSE)</f>
        <v>USA</v>
      </c>
      <c r="H88" s="4" t="str">
        <f>VLOOKUP(A88,'f Excel formulas for calculatio'!A:H,8,FALSE)</f>
        <v>Silver</v>
      </c>
    </row>
    <row r="89" spans="1:8" x14ac:dyDescent="0.25">
      <c r="A89" s="9" t="s">
        <v>314</v>
      </c>
      <c r="B89" s="4" t="str">
        <f>VLOOKUP(A89,'f Excel formulas for calculatio'!A:H,2,FALSE)</f>
        <v>Tammy Miller MD</v>
      </c>
      <c r="C89" s="4">
        <f>VLOOKUP(A89,'f Excel formulas for calculatio'!A:H,3,FALSE)</f>
        <v>19</v>
      </c>
      <c r="D89" s="4" t="str">
        <f>VLOOKUP(A89,'f Excel formulas for calculatio'!A:H,4,FALSE)</f>
        <v>Female</v>
      </c>
      <c r="E89" s="4" t="str">
        <f>VLOOKUP(A89,'f Excel formulas for calculatio'!A:H,5,FALSE)</f>
        <v>Austinfurt</v>
      </c>
      <c r="F89" s="4" t="str">
        <f>VLOOKUP(A89,'f Excel formulas for calculatio'!A:H,6,FALSE)</f>
        <v>Mississippi</v>
      </c>
      <c r="G89" s="4" t="str">
        <f>VLOOKUP(A89,'f Excel formulas for calculatio'!A:H,7,FALSE)</f>
        <v>USA</v>
      </c>
      <c r="H89" s="4" t="str">
        <f>VLOOKUP(A89,'f Excel formulas for calculatio'!A:H,8,FALSE)</f>
        <v>Gold</v>
      </c>
    </row>
    <row r="90" spans="1:8" x14ac:dyDescent="0.25">
      <c r="A90" s="4" t="s">
        <v>318</v>
      </c>
      <c r="B90" s="4" t="str">
        <f>VLOOKUP(A90,'f Excel formulas for calculatio'!A:H,2,FALSE)</f>
        <v>Melissa Duffy MD</v>
      </c>
      <c r="C90" s="4">
        <f>VLOOKUP(A90,'f Excel formulas for calculatio'!A:H,3,FALSE)</f>
        <v>58</v>
      </c>
      <c r="D90" s="4" t="str">
        <f>VLOOKUP(A90,'f Excel formulas for calculatio'!A:H,4,FALSE)</f>
        <v>Female</v>
      </c>
      <c r="E90" s="4" t="str">
        <f>VLOOKUP(A90,'f Excel formulas for calculatio'!A:H,5,FALSE)</f>
        <v>East Jenna</v>
      </c>
      <c r="F90" s="4" t="str">
        <f>VLOOKUP(A90,'f Excel formulas for calculatio'!A:H,6,FALSE)</f>
        <v>South Carolina</v>
      </c>
      <c r="G90" s="4" t="str">
        <f>VLOOKUP(A90,'f Excel formulas for calculatio'!A:H,7,FALSE)</f>
        <v>USA</v>
      </c>
      <c r="H90" s="4" t="str">
        <f>VLOOKUP(A90,'f Excel formulas for calculatio'!A:H,8,FALSE)</f>
        <v>Bronze</v>
      </c>
    </row>
    <row r="91" spans="1:8" x14ac:dyDescent="0.25">
      <c r="A91" s="9" t="s">
        <v>322</v>
      </c>
      <c r="B91" s="4" t="str">
        <f>VLOOKUP(A91,'f Excel formulas for calculatio'!A:H,2,FALSE)</f>
        <v>Timothy Wright</v>
      </c>
      <c r="C91" s="4">
        <f>VLOOKUP(A91,'f Excel formulas for calculatio'!A:H,3,FALSE)</f>
        <v>58</v>
      </c>
      <c r="D91" s="4" t="str">
        <f>VLOOKUP(A91,'f Excel formulas for calculatio'!A:H,4,FALSE)</f>
        <v>Male</v>
      </c>
      <c r="E91" s="4" t="str">
        <f>VLOOKUP(A91,'f Excel formulas for calculatio'!A:H,5,FALSE)</f>
        <v>Ashleystad</v>
      </c>
      <c r="F91" s="4" t="str">
        <f>VLOOKUP(A91,'f Excel formulas for calculatio'!A:H,6,FALSE)</f>
        <v>Arkansas</v>
      </c>
      <c r="G91" s="4" t="str">
        <f>VLOOKUP(A91,'f Excel formulas for calculatio'!A:H,7,FALSE)</f>
        <v>USA</v>
      </c>
      <c r="H91" s="4" t="str">
        <f>VLOOKUP(A91,'f Excel formulas for calculatio'!A:H,8,FALSE)</f>
        <v>Silver</v>
      </c>
    </row>
    <row r="92" spans="1:8" x14ac:dyDescent="0.25">
      <c r="A92" s="4" t="s">
        <v>325</v>
      </c>
      <c r="B92" s="4" t="str">
        <f>VLOOKUP(A92,'f Excel formulas for calculatio'!A:H,2,FALSE)</f>
        <v>Jamie Yoder</v>
      </c>
      <c r="C92" s="4">
        <f>VLOOKUP(A92,'f Excel formulas for calculatio'!A:H,3,FALSE)</f>
        <v>43</v>
      </c>
      <c r="D92" s="4" t="str">
        <f>VLOOKUP(A92,'f Excel formulas for calculatio'!A:H,4,FALSE)</f>
        <v>Male</v>
      </c>
      <c r="E92" s="4" t="str">
        <f>VLOOKUP(A92,'f Excel formulas for calculatio'!A:H,5,FALSE)</f>
        <v>New Gabrielleville</v>
      </c>
      <c r="F92" s="4" t="str">
        <f>VLOOKUP(A92,'f Excel formulas for calculatio'!A:H,6,FALSE)</f>
        <v>Wisconsin</v>
      </c>
      <c r="G92" s="4" t="str">
        <f>VLOOKUP(A92,'f Excel formulas for calculatio'!A:H,7,FALSE)</f>
        <v>USA</v>
      </c>
      <c r="H92" s="4" t="str">
        <f>VLOOKUP(A92,'f Excel formulas for calculatio'!A:H,8,FALSE)</f>
        <v>Platinum</v>
      </c>
    </row>
    <row r="93" spans="1:8" x14ac:dyDescent="0.25">
      <c r="A93" s="9" t="s">
        <v>329</v>
      </c>
      <c r="B93" s="4" t="str">
        <f>VLOOKUP(A93,'f Excel formulas for calculatio'!A:H,2,FALSE)</f>
        <v>Oscar Moon</v>
      </c>
      <c r="C93" s="4">
        <f>VLOOKUP(A93,'f Excel formulas for calculatio'!A:H,3,FALSE)</f>
        <v>58</v>
      </c>
      <c r="D93" s="4" t="str">
        <f>VLOOKUP(A93,'f Excel formulas for calculatio'!A:H,4,FALSE)</f>
        <v>Female</v>
      </c>
      <c r="E93" s="4" t="str">
        <f>VLOOKUP(A93,'f Excel formulas for calculatio'!A:H,5,FALSE)</f>
        <v>West Cody</v>
      </c>
      <c r="F93" s="4" t="str">
        <f>VLOOKUP(A93,'f Excel formulas for calculatio'!A:H,6,FALSE)</f>
        <v>Louisiana</v>
      </c>
      <c r="G93" s="4" t="str">
        <f>VLOOKUP(A93,'f Excel formulas for calculatio'!A:H,7,FALSE)</f>
        <v>USA</v>
      </c>
      <c r="H93" s="4" t="str">
        <f>VLOOKUP(A93,'f Excel formulas for calculatio'!A:H,8,FALSE)</f>
        <v>Platinum</v>
      </c>
    </row>
    <row r="94" spans="1:8" x14ac:dyDescent="0.25">
      <c r="A94" s="4" t="s">
        <v>333</v>
      </c>
      <c r="B94" s="4" t="str">
        <f>VLOOKUP(A94,'f Excel formulas for calculatio'!A:H,2,FALSE)</f>
        <v>Donna Gregory</v>
      </c>
      <c r="C94" s="4">
        <f>VLOOKUP(A94,'f Excel formulas for calculatio'!A:H,3,FALSE)</f>
        <v>29</v>
      </c>
      <c r="D94" s="4" t="str">
        <f>VLOOKUP(A94,'f Excel formulas for calculatio'!A:H,4,FALSE)</f>
        <v>Female</v>
      </c>
      <c r="E94" s="4" t="str">
        <f>VLOOKUP(A94,'f Excel formulas for calculatio'!A:H,5,FALSE)</f>
        <v>South Amandahaven</v>
      </c>
      <c r="F94" s="4" t="str">
        <f>VLOOKUP(A94,'f Excel formulas for calculatio'!A:H,6,FALSE)</f>
        <v>Arizona</v>
      </c>
      <c r="G94" s="4" t="str">
        <f>VLOOKUP(A94,'f Excel formulas for calculatio'!A:H,7,FALSE)</f>
        <v>USA</v>
      </c>
      <c r="H94" s="4" t="str">
        <f>VLOOKUP(A94,'f Excel formulas for calculatio'!A:H,8,FALSE)</f>
        <v>Silver</v>
      </c>
    </row>
    <row r="95" spans="1:8" x14ac:dyDescent="0.25">
      <c r="A95" s="9" t="s">
        <v>336</v>
      </c>
      <c r="B95" s="4" t="str">
        <f>VLOOKUP(A95,'f Excel formulas for calculatio'!A:H,2,FALSE)</f>
        <v>Robert Jackson</v>
      </c>
      <c r="C95" s="4">
        <f>VLOOKUP(A95,'f Excel formulas for calculatio'!A:H,3,FALSE)</f>
        <v>44</v>
      </c>
      <c r="D95" s="4" t="str">
        <f>VLOOKUP(A95,'f Excel formulas for calculatio'!A:H,4,FALSE)</f>
        <v>Female</v>
      </c>
      <c r="E95" s="4" t="str">
        <f>VLOOKUP(A95,'f Excel formulas for calculatio'!A:H,5,FALSE)</f>
        <v>Lake Brandy</v>
      </c>
      <c r="F95" s="4" t="str">
        <f>VLOOKUP(A95,'f Excel formulas for calculatio'!A:H,6,FALSE)</f>
        <v>Tennessee</v>
      </c>
      <c r="G95" s="4" t="str">
        <f>VLOOKUP(A95,'f Excel formulas for calculatio'!A:H,7,FALSE)</f>
        <v>USA</v>
      </c>
      <c r="H95" s="4" t="str">
        <f>VLOOKUP(A95,'f Excel formulas for calculatio'!A:H,8,FALSE)</f>
        <v>Platinum</v>
      </c>
    </row>
    <row r="96" spans="1:8" x14ac:dyDescent="0.25">
      <c r="A96" s="4" t="s">
        <v>339</v>
      </c>
      <c r="B96" s="4" t="str">
        <f>VLOOKUP(A96,'f Excel formulas for calculatio'!A:H,2,FALSE)</f>
        <v>Christy Vasquez</v>
      </c>
      <c r="C96" s="4">
        <f>VLOOKUP(A96,'f Excel formulas for calculatio'!A:H,3,FALSE)</f>
        <v>28</v>
      </c>
      <c r="D96" s="4" t="str">
        <f>VLOOKUP(A96,'f Excel formulas for calculatio'!A:H,4,FALSE)</f>
        <v>Female</v>
      </c>
      <c r="E96" s="4" t="str">
        <f>VLOOKUP(A96,'f Excel formulas for calculatio'!A:H,5,FALSE)</f>
        <v>Port Travisstad</v>
      </c>
      <c r="F96" s="4" t="str">
        <f>VLOOKUP(A96,'f Excel formulas for calculatio'!A:H,6,FALSE)</f>
        <v>South Carolina</v>
      </c>
      <c r="G96" s="4" t="str">
        <f>VLOOKUP(A96,'f Excel formulas for calculatio'!A:H,7,FALSE)</f>
        <v>USA</v>
      </c>
      <c r="H96" s="4" t="str">
        <f>VLOOKUP(A96,'f Excel formulas for calculatio'!A:H,8,FALSE)</f>
        <v>Gold</v>
      </c>
    </row>
    <row r="97" spans="1:8" x14ac:dyDescent="0.25">
      <c r="A97" s="9" t="s">
        <v>342</v>
      </c>
      <c r="B97" s="4" t="str">
        <f>VLOOKUP(A97,'f Excel formulas for calculatio'!A:H,2,FALSE)</f>
        <v>David Patterson</v>
      </c>
      <c r="C97" s="4">
        <f>VLOOKUP(A97,'f Excel formulas for calculatio'!A:H,3,FALSE)</f>
        <v>43</v>
      </c>
      <c r="D97" s="4" t="str">
        <f>VLOOKUP(A97,'f Excel formulas for calculatio'!A:H,4,FALSE)</f>
        <v>Female</v>
      </c>
      <c r="E97" s="4" t="str">
        <f>VLOOKUP(A97,'f Excel formulas for calculatio'!A:H,5,FALSE)</f>
        <v>New Amyport</v>
      </c>
      <c r="F97" s="4" t="str">
        <f>VLOOKUP(A97,'f Excel formulas for calculatio'!A:H,6,FALSE)</f>
        <v>Nevada</v>
      </c>
      <c r="G97" s="4" t="str">
        <f>VLOOKUP(A97,'f Excel formulas for calculatio'!A:H,7,FALSE)</f>
        <v>USA</v>
      </c>
      <c r="H97" s="4" t="str">
        <f>VLOOKUP(A97,'f Excel formulas for calculatio'!A:H,8,FALSE)</f>
        <v>Gold</v>
      </c>
    </row>
    <row r="98" spans="1:8" x14ac:dyDescent="0.25">
      <c r="A98" s="4" t="s">
        <v>345</v>
      </c>
      <c r="B98" s="4" t="str">
        <f>VLOOKUP(A98,'f Excel formulas for calculatio'!A:H,2,FALSE)</f>
        <v>Amy Fowler</v>
      </c>
      <c r="C98" s="4">
        <f>VLOOKUP(A98,'f Excel formulas for calculatio'!A:H,3,FALSE)</f>
        <v>62</v>
      </c>
      <c r="D98" s="4" t="str">
        <f>VLOOKUP(A98,'f Excel formulas for calculatio'!A:H,4,FALSE)</f>
        <v>Female</v>
      </c>
      <c r="E98" s="4" t="str">
        <f>VLOOKUP(A98,'f Excel formulas for calculatio'!A:H,5,FALSE)</f>
        <v>West Bobbyshire</v>
      </c>
      <c r="F98" s="4" t="str">
        <f>VLOOKUP(A98,'f Excel formulas for calculatio'!A:H,6,FALSE)</f>
        <v>New York</v>
      </c>
      <c r="G98" s="4" t="str">
        <f>VLOOKUP(A98,'f Excel formulas for calculatio'!A:H,7,FALSE)</f>
        <v>USA</v>
      </c>
      <c r="H98" s="4" t="str">
        <f>VLOOKUP(A98,'f Excel formulas for calculatio'!A:H,8,FALSE)</f>
        <v>Platinum</v>
      </c>
    </row>
    <row r="99" spans="1:8" x14ac:dyDescent="0.25">
      <c r="A99" s="9" t="s">
        <v>348</v>
      </c>
      <c r="B99" s="4" t="str">
        <f>VLOOKUP(A99,'f Excel formulas for calculatio'!A:H,2,FALSE)</f>
        <v>Samantha Walker</v>
      </c>
      <c r="C99" s="4">
        <f>VLOOKUP(A99,'f Excel formulas for calculatio'!A:H,3,FALSE)</f>
        <v>30</v>
      </c>
      <c r="D99" s="4" t="str">
        <f>VLOOKUP(A99,'f Excel formulas for calculatio'!A:H,4,FALSE)</f>
        <v>Female</v>
      </c>
      <c r="E99" s="4" t="str">
        <f>VLOOKUP(A99,'f Excel formulas for calculatio'!A:H,5,FALSE)</f>
        <v>Timothyburgh</v>
      </c>
      <c r="F99" s="4" t="str">
        <f>VLOOKUP(A99,'f Excel formulas for calculatio'!A:H,6,FALSE)</f>
        <v>Louisiana</v>
      </c>
      <c r="G99" s="4" t="str">
        <f>VLOOKUP(A99,'f Excel formulas for calculatio'!A:H,7,FALSE)</f>
        <v>USA</v>
      </c>
      <c r="H99" s="4" t="str">
        <f>VLOOKUP(A99,'f Excel formulas for calculatio'!A:H,8,FALSE)</f>
        <v>Platinum</v>
      </c>
    </row>
    <row r="100" spans="1:8" x14ac:dyDescent="0.25">
      <c r="A100" s="4" t="s">
        <v>351</v>
      </c>
      <c r="B100" s="4" t="str">
        <f>VLOOKUP(A100,'f Excel formulas for calculatio'!A:H,2,FALSE)</f>
        <v>David Cobb</v>
      </c>
      <c r="C100" s="4">
        <f>VLOOKUP(A100,'f Excel formulas for calculatio'!A:H,3,FALSE)</f>
        <v>36</v>
      </c>
      <c r="D100" s="4" t="str">
        <f>VLOOKUP(A100,'f Excel formulas for calculatio'!A:H,4,FALSE)</f>
        <v>Male</v>
      </c>
      <c r="E100" s="4" t="str">
        <f>VLOOKUP(A100,'f Excel formulas for calculatio'!A:H,5,FALSE)</f>
        <v>Lake Thomas</v>
      </c>
      <c r="F100" s="4" t="str">
        <f>VLOOKUP(A100,'f Excel formulas for calculatio'!A:H,6,FALSE)</f>
        <v>South Dakota</v>
      </c>
      <c r="G100" s="4" t="str">
        <f>VLOOKUP(A100,'f Excel formulas for calculatio'!A:H,7,FALSE)</f>
        <v>USA</v>
      </c>
      <c r="H100" s="4" t="str">
        <f>VLOOKUP(A100,'f Excel formulas for calculatio'!A:H,8,FALSE)</f>
        <v>Silver</v>
      </c>
    </row>
    <row r="101" spans="1:8" x14ac:dyDescent="0.25">
      <c r="A101" s="9" t="s">
        <v>354</v>
      </c>
      <c r="B101" s="4" t="str">
        <f>VLOOKUP(A101,'f Excel formulas for calculatio'!A:H,2,FALSE)</f>
        <v>Brittney Morgan</v>
      </c>
      <c r="C101" s="4">
        <f>VLOOKUP(A101,'f Excel formulas for calculatio'!A:H,3,FALSE)</f>
        <v>24</v>
      </c>
      <c r="D101" s="4" t="str">
        <f>VLOOKUP(A101,'f Excel formulas for calculatio'!A:H,4,FALSE)</f>
        <v>Male</v>
      </c>
      <c r="E101" s="4" t="str">
        <f>VLOOKUP(A101,'f Excel formulas for calculatio'!A:H,5,FALSE)</f>
        <v>Lake Kaylahaven</v>
      </c>
      <c r="F101" s="4" t="str">
        <f>VLOOKUP(A101,'f Excel formulas for calculatio'!A:H,6,FALSE)</f>
        <v>Alaska</v>
      </c>
      <c r="G101" s="4" t="str">
        <f>VLOOKUP(A101,'f Excel formulas for calculatio'!A:H,7,FALSE)</f>
        <v>USA</v>
      </c>
      <c r="H101" s="4" t="str">
        <f>VLOOKUP(A101,'f Excel formulas for calculatio'!A:H,8,FALSE)</f>
        <v>Gold</v>
      </c>
    </row>
    <row r="102" spans="1:8" x14ac:dyDescent="0.25">
      <c r="A102" s="4" t="s">
        <v>357</v>
      </c>
      <c r="B102" s="4" t="str">
        <f>VLOOKUP(A102,'f Excel formulas for calculatio'!A:H,2,FALSE)</f>
        <v>Sheila Wilson</v>
      </c>
      <c r="C102" s="4">
        <f>VLOOKUP(A102,'f Excel formulas for calculatio'!A:H,3,FALSE)</f>
        <v>35</v>
      </c>
      <c r="D102" s="4" t="str">
        <f>VLOOKUP(A102,'f Excel formulas for calculatio'!A:H,4,FALSE)</f>
        <v>Male</v>
      </c>
      <c r="E102" s="4" t="str">
        <f>VLOOKUP(A102,'f Excel formulas for calculatio'!A:H,5,FALSE)</f>
        <v>South Dustin</v>
      </c>
      <c r="F102" s="4" t="str">
        <f>VLOOKUP(A102,'f Excel formulas for calculatio'!A:H,6,FALSE)</f>
        <v>Tennessee</v>
      </c>
      <c r="G102" s="4" t="str">
        <f>VLOOKUP(A102,'f Excel formulas for calculatio'!A:H,7,FALSE)</f>
        <v>USA</v>
      </c>
      <c r="H102" s="4" t="str">
        <f>VLOOKUP(A102,'f Excel formulas for calculatio'!A:H,8,FALSE)</f>
        <v>Silver</v>
      </c>
    </row>
    <row r="103" spans="1:8" x14ac:dyDescent="0.25">
      <c r="A103" s="9" t="s">
        <v>360</v>
      </c>
      <c r="B103" s="4" t="str">
        <f>VLOOKUP(A103,'f Excel formulas for calculatio'!A:H,2,FALSE)</f>
        <v>Diane Watson</v>
      </c>
      <c r="C103" s="4">
        <f>VLOOKUP(A103,'f Excel formulas for calculatio'!A:H,3,FALSE)</f>
        <v>53</v>
      </c>
      <c r="D103" s="4" t="str">
        <f>VLOOKUP(A103,'f Excel formulas for calculatio'!A:H,4,FALSE)</f>
        <v>Female</v>
      </c>
      <c r="E103" s="4" t="str">
        <f>VLOOKUP(A103,'f Excel formulas for calculatio'!A:H,5,FALSE)</f>
        <v>North Codyport</v>
      </c>
      <c r="F103" s="4" t="str">
        <f>VLOOKUP(A103,'f Excel formulas for calculatio'!A:H,6,FALSE)</f>
        <v>Texas</v>
      </c>
      <c r="G103" s="4" t="str">
        <f>VLOOKUP(A103,'f Excel formulas for calculatio'!A:H,7,FALSE)</f>
        <v>USA</v>
      </c>
      <c r="H103" s="4" t="str">
        <f>VLOOKUP(A103,'f Excel formulas for calculatio'!A:H,8,FALSE)</f>
        <v>Platinum</v>
      </c>
    </row>
    <row r="104" spans="1:8" x14ac:dyDescent="0.25">
      <c r="A104" s="4" t="s">
        <v>364</v>
      </c>
      <c r="B104" s="4" t="str">
        <f>VLOOKUP(A104,'f Excel formulas for calculatio'!A:H,2,FALSE)</f>
        <v>Colleen Maynard</v>
      </c>
      <c r="C104" s="4">
        <f>VLOOKUP(A104,'f Excel formulas for calculatio'!A:H,3,FALSE)</f>
        <v>29</v>
      </c>
      <c r="D104" s="4" t="str">
        <f>VLOOKUP(A104,'f Excel formulas for calculatio'!A:H,4,FALSE)</f>
        <v>Male</v>
      </c>
      <c r="E104" s="4" t="str">
        <f>VLOOKUP(A104,'f Excel formulas for calculatio'!A:H,5,FALSE)</f>
        <v>Singletonmouth</v>
      </c>
      <c r="F104" s="4" t="str">
        <f>VLOOKUP(A104,'f Excel formulas for calculatio'!A:H,6,FALSE)</f>
        <v>Utah</v>
      </c>
      <c r="G104" s="4" t="str">
        <f>VLOOKUP(A104,'f Excel formulas for calculatio'!A:H,7,FALSE)</f>
        <v>USA</v>
      </c>
      <c r="H104" s="4" t="str">
        <f>VLOOKUP(A104,'f Excel formulas for calculatio'!A:H,8,FALSE)</f>
        <v>Gold</v>
      </c>
    </row>
    <row r="105" spans="1:8" x14ac:dyDescent="0.25">
      <c r="A105" s="9" t="s">
        <v>367</v>
      </c>
      <c r="B105" s="4" t="str">
        <f>VLOOKUP(A105,'f Excel formulas for calculatio'!A:H,2,FALSE)</f>
        <v>Sarah Schneider</v>
      </c>
      <c r="C105" s="4">
        <f>VLOOKUP(A105,'f Excel formulas for calculatio'!A:H,3,FALSE)</f>
        <v>34</v>
      </c>
      <c r="D105" s="4" t="str">
        <f>VLOOKUP(A105,'f Excel formulas for calculatio'!A:H,4,FALSE)</f>
        <v>Female</v>
      </c>
      <c r="E105" s="4" t="str">
        <f>VLOOKUP(A105,'f Excel formulas for calculatio'!A:H,5,FALSE)</f>
        <v>Port Joshuachester</v>
      </c>
      <c r="F105" s="4" t="str">
        <f>VLOOKUP(A105,'f Excel formulas for calculatio'!A:H,6,FALSE)</f>
        <v>Pennsylvania</v>
      </c>
      <c r="G105" s="4" t="str">
        <f>VLOOKUP(A105,'f Excel formulas for calculatio'!A:H,7,FALSE)</f>
        <v>USA</v>
      </c>
      <c r="H105" s="4" t="str">
        <f>VLOOKUP(A105,'f Excel formulas for calculatio'!A:H,8,FALSE)</f>
        <v>Bronze</v>
      </c>
    </row>
    <row r="106" spans="1:8" x14ac:dyDescent="0.25">
      <c r="A106" s="4" t="s">
        <v>370</v>
      </c>
      <c r="B106" s="4" t="str">
        <f>VLOOKUP(A106,'f Excel formulas for calculatio'!A:H,2,FALSE)</f>
        <v>Steven Stein</v>
      </c>
      <c r="C106" s="4">
        <f>VLOOKUP(A106,'f Excel formulas for calculatio'!A:H,3,FALSE)</f>
        <v>21</v>
      </c>
      <c r="D106" s="4" t="str">
        <f>VLOOKUP(A106,'f Excel formulas for calculatio'!A:H,4,FALSE)</f>
        <v>Male</v>
      </c>
      <c r="E106" s="4" t="str">
        <f>VLOOKUP(A106,'f Excel formulas for calculatio'!A:H,5,FALSE)</f>
        <v>West Lauren</v>
      </c>
      <c r="F106" s="4" t="str">
        <f>VLOOKUP(A106,'f Excel formulas for calculatio'!A:H,6,FALSE)</f>
        <v>Connecticut</v>
      </c>
      <c r="G106" s="4" t="str">
        <f>VLOOKUP(A106,'f Excel formulas for calculatio'!A:H,7,FALSE)</f>
        <v>USA</v>
      </c>
      <c r="H106" s="4" t="str">
        <f>VLOOKUP(A106,'f Excel formulas for calculatio'!A:H,8,FALSE)</f>
        <v>Bronze</v>
      </c>
    </row>
    <row r="107" spans="1:8" x14ac:dyDescent="0.25">
      <c r="A107" s="9" t="s">
        <v>373</v>
      </c>
      <c r="B107" s="4" t="str">
        <f>VLOOKUP(A107,'f Excel formulas for calculatio'!A:H,2,FALSE)</f>
        <v>Christopher Lester</v>
      </c>
      <c r="C107" s="4">
        <f>VLOOKUP(A107,'f Excel formulas for calculatio'!A:H,3,FALSE)</f>
        <v>64</v>
      </c>
      <c r="D107" s="4" t="str">
        <f>VLOOKUP(A107,'f Excel formulas for calculatio'!A:H,4,FALSE)</f>
        <v>Male</v>
      </c>
      <c r="E107" s="4" t="str">
        <f>VLOOKUP(A107,'f Excel formulas for calculatio'!A:H,5,FALSE)</f>
        <v>South Jenniferville</v>
      </c>
      <c r="F107" s="4" t="str">
        <f>VLOOKUP(A107,'f Excel formulas for calculatio'!A:H,6,FALSE)</f>
        <v>Georgia</v>
      </c>
      <c r="G107" s="4" t="str">
        <f>VLOOKUP(A107,'f Excel formulas for calculatio'!A:H,7,FALSE)</f>
        <v>USA</v>
      </c>
      <c r="H107" s="4" t="str">
        <f>VLOOKUP(A107,'f Excel formulas for calculatio'!A:H,8,FALSE)</f>
        <v>Silver</v>
      </c>
    </row>
    <row r="108" spans="1:8" x14ac:dyDescent="0.25">
      <c r="A108" s="4" t="s">
        <v>376</v>
      </c>
      <c r="B108" s="4" t="str">
        <f>VLOOKUP(A108,'f Excel formulas for calculatio'!A:H,2,FALSE)</f>
        <v>Lance Baker</v>
      </c>
      <c r="C108" s="4">
        <f>VLOOKUP(A108,'f Excel formulas for calculatio'!A:H,3,FALSE)</f>
        <v>50</v>
      </c>
      <c r="D108" s="4" t="str">
        <f>VLOOKUP(A108,'f Excel formulas for calculatio'!A:H,4,FALSE)</f>
        <v>Female</v>
      </c>
      <c r="E108" s="4" t="str">
        <f>VLOOKUP(A108,'f Excel formulas for calculatio'!A:H,5,FALSE)</f>
        <v>Port Victoria</v>
      </c>
      <c r="F108" s="4" t="str">
        <f>VLOOKUP(A108,'f Excel formulas for calculatio'!A:H,6,FALSE)</f>
        <v>Florida</v>
      </c>
      <c r="G108" s="4" t="str">
        <f>VLOOKUP(A108,'f Excel formulas for calculatio'!A:H,7,FALSE)</f>
        <v>USA</v>
      </c>
      <c r="H108" s="4" t="str">
        <f>VLOOKUP(A108,'f Excel formulas for calculatio'!A:H,8,FALSE)</f>
        <v>Gold</v>
      </c>
    </row>
    <row r="109" spans="1:8" x14ac:dyDescent="0.25">
      <c r="A109" s="9" t="s">
        <v>379</v>
      </c>
      <c r="B109" s="4" t="str">
        <f>VLOOKUP(A109,'f Excel formulas for calculatio'!A:H,2,FALSE)</f>
        <v>Howard Summers</v>
      </c>
      <c r="C109" s="4">
        <f>VLOOKUP(A109,'f Excel formulas for calculatio'!A:H,3,FALSE)</f>
        <v>53</v>
      </c>
      <c r="D109" s="4" t="str">
        <f>VLOOKUP(A109,'f Excel formulas for calculatio'!A:H,4,FALSE)</f>
        <v>Female</v>
      </c>
      <c r="E109" s="4" t="str">
        <f>VLOOKUP(A109,'f Excel formulas for calculatio'!A:H,5,FALSE)</f>
        <v>East Linda</v>
      </c>
      <c r="F109" s="4" t="str">
        <f>VLOOKUP(A109,'f Excel formulas for calculatio'!A:H,6,FALSE)</f>
        <v>Rhode Island</v>
      </c>
      <c r="G109" s="4" t="str">
        <f>VLOOKUP(A109,'f Excel formulas for calculatio'!A:H,7,FALSE)</f>
        <v>USA</v>
      </c>
      <c r="H109" s="4" t="str">
        <f>VLOOKUP(A109,'f Excel formulas for calculatio'!A:H,8,FALSE)</f>
        <v>Bronze</v>
      </c>
    </row>
    <row r="110" spans="1:8" x14ac:dyDescent="0.25">
      <c r="A110" s="4" t="s">
        <v>382</v>
      </c>
      <c r="B110" s="4" t="str">
        <f>VLOOKUP(A110,'f Excel formulas for calculatio'!A:H,2,FALSE)</f>
        <v>Erica Carney</v>
      </c>
      <c r="C110" s="4">
        <f>VLOOKUP(A110,'f Excel formulas for calculatio'!A:H,3,FALSE)</f>
        <v>62</v>
      </c>
      <c r="D110" s="4" t="str">
        <f>VLOOKUP(A110,'f Excel formulas for calculatio'!A:H,4,FALSE)</f>
        <v>Female</v>
      </c>
      <c r="E110" s="4" t="str">
        <f>VLOOKUP(A110,'f Excel formulas for calculatio'!A:H,5,FALSE)</f>
        <v>North Justin</v>
      </c>
      <c r="F110" s="4" t="str">
        <f>VLOOKUP(A110,'f Excel formulas for calculatio'!A:H,6,FALSE)</f>
        <v>North Dakota</v>
      </c>
      <c r="G110" s="4" t="str">
        <f>VLOOKUP(A110,'f Excel formulas for calculatio'!A:H,7,FALSE)</f>
        <v>USA</v>
      </c>
      <c r="H110" s="4" t="str">
        <f>VLOOKUP(A110,'f Excel formulas for calculatio'!A:H,8,FALSE)</f>
        <v>Platinum</v>
      </c>
    </row>
    <row r="111" spans="1:8" x14ac:dyDescent="0.25">
      <c r="A111" s="9" t="s">
        <v>385</v>
      </c>
      <c r="B111" s="4" t="str">
        <f>VLOOKUP(A111,'f Excel formulas for calculatio'!A:H,2,FALSE)</f>
        <v>Travis Holland</v>
      </c>
      <c r="C111" s="4">
        <f>VLOOKUP(A111,'f Excel formulas for calculatio'!A:H,3,FALSE)</f>
        <v>38</v>
      </c>
      <c r="D111" s="4" t="str">
        <f>VLOOKUP(A111,'f Excel formulas for calculatio'!A:H,4,FALSE)</f>
        <v>Male</v>
      </c>
      <c r="E111" s="4" t="str">
        <f>VLOOKUP(A111,'f Excel formulas for calculatio'!A:H,5,FALSE)</f>
        <v>Webstermouth</v>
      </c>
      <c r="F111" s="4" t="str">
        <f>VLOOKUP(A111,'f Excel formulas for calculatio'!A:H,6,FALSE)</f>
        <v>New Hampshire</v>
      </c>
      <c r="G111" s="4" t="str">
        <f>VLOOKUP(A111,'f Excel formulas for calculatio'!A:H,7,FALSE)</f>
        <v>USA</v>
      </c>
      <c r="H111" s="4" t="str">
        <f>VLOOKUP(A111,'f Excel formulas for calculatio'!A:H,8,FALSE)</f>
        <v>Bronze</v>
      </c>
    </row>
    <row r="112" spans="1:8" x14ac:dyDescent="0.25">
      <c r="A112" s="4" t="s">
        <v>388</v>
      </c>
      <c r="B112" s="4" t="str">
        <f>VLOOKUP(A112,'f Excel formulas for calculatio'!A:H,2,FALSE)</f>
        <v>Amy Walker</v>
      </c>
      <c r="C112" s="4">
        <f>VLOOKUP(A112,'f Excel formulas for calculatio'!A:H,3,FALSE)</f>
        <v>27</v>
      </c>
      <c r="D112" s="4" t="str">
        <f>VLOOKUP(A112,'f Excel formulas for calculatio'!A:H,4,FALSE)</f>
        <v>Male</v>
      </c>
      <c r="E112" s="4" t="str">
        <f>VLOOKUP(A112,'f Excel formulas for calculatio'!A:H,5,FALSE)</f>
        <v>Smithland</v>
      </c>
      <c r="F112" s="4" t="str">
        <f>VLOOKUP(A112,'f Excel formulas for calculatio'!A:H,6,FALSE)</f>
        <v>West Virginia</v>
      </c>
      <c r="G112" s="4" t="str">
        <f>VLOOKUP(A112,'f Excel formulas for calculatio'!A:H,7,FALSE)</f>
        <v>USA</v>
      </c>
      <c r="H112" s="4" t="str">
        <f>VLOOKUP(A112,'f Excel formulas for calculatio'!A:H,8,FALSE)</f>
        <v>Silver</v>
      </c>
    </row>
    <row r="113" spans="1:8" x14ac:dyDescent="0.25">
      <c r="A113" s="9" t="s">
        <v>391</v>
      </c>
      <c r="B113" s="4" t="str">
        <f>VLOOKUP(A113,'f Excel formulas for calculatio'!A:H,2,FALSE)</f>
        <v>Ashley Griffin</v>
      </c>
      <c r="C113" s="4">
        <f>VLOOKUP(A113,'f Excel formulas for calculatio'!A:H,3,FALSE)</f>
        <v>40</v>
      </c>
      <c r="D113" s="4" t="str">
        <f>VLOOKUP(A113,'f Excel formulas for calculatio'!A:H,4,FALSE)</f>
        <v>Female</v>
      </c>
      <c r="E113" s="4" t="str">
        <f>VLOOKUP(A113,'f Excel formulas for calculatio'!A:H,5,FALSE)</f>
        <v>New Dawnton</v>
      </c>
      <c r="F113" s="4" t="str">
        <f>VLOOKUP(A113,'f Excel formulas for calculatio'!A:H,6,FALSE)</f>
        <v>Maryland</v>
      </c>
      <c r="G113" s="4" t="str">
        <f>VLOOKUP(A113,'f Excel formulas for calculatio'!A:H,7,FALSE)</f>
        <v>USA</v>
      </c>
      <c r="H113" s="4" t="str">
        <f>VLOOKUP(A113,'f Excel formulas for calculatio'!A:H,8,FALSE)</f>
        <v>Gold</v>
      </c>
    </row>
    <row r="114" spans="1:8" x14ac:dyDescent="0.25">
      <c r="A114" s="4" t="s">
        <v>394</v>
      </c>
      <c r="B114" s="4" t="str">
        <f>VLOOKUP(A114,'f Excel formulas for calculatio'!A:H,2,FALSE)</f>
        <v>Julie Farmer</v>
      </c>
      <c r="C114" s="4">
        <f>VLOOKUP(A114,'f Excel formulas for calculatio'!A:H,3,FALSE)</f>
        <v>18</v>
      </c>
      <c r="D114" s="4" t="str">
        <f>VLOOKUP(A114,'f Excel formulas for calculatio'!A:H,4,FALSE)</f>
        <v>Female</v>
      </c>
      <c r="E114" s="4" t="str">
        <f>VLOOKUP(A114,'f Excel formulas for calculatio'!A:H,5,FALSE)</f>
        <v>Rodriguezmouth</v>
      </c>
      <c r="F114" s="4" t="str">
        <f>VLOOKUP(A114,'f Excel formulas for calculatio'!A:H,6,FALSE)</f>
        <v>Arizona</v>
      </c>
      <c r="G114" s="4" t="str">
        <f>VLOOKUP(A114,'f Excel formulas for calculatio'!A:H,7,FALSE)</f>
        <v>USA</v>
      </c>
      <c r="H114" s="4" t="str">
        <f>VLOOKUP(A114,'f Excel formulas for calculatio'!A:H,8,FALSE)</f>
        <v>Platinum</v>
      </c>
    </row>
    <row r="115" spans="1:8" x14ac:dyDescent="0.25">
      <c r="A115" s="9" t="s">
        <v>397</v>
      </c>
      <c r="B115" s="4" t="str">
        <f>VLOOKUP(A115,'f Excel formulas for calculatio'!A:H,2,FALSE)</f>
        <v>David Cole</v>
      </c>
      <c r="C115" s="4">
        <f>VLOOKUP(A115,'f Excel formulas for calculatio'!A:H,3,FALSE)</f>
        <v>27</v>
      </c>
      <c r="D115" s="4" t="str">
        <f>VLOOKUP(A115,'f Excel formulas for calculatio'!A:H,4,FALSE)</f>
        <v>Female</v>
      </c>
      <c r="E115" s="4" t="str">
        <f>VLOOKUP(A115,'f Excel formulas for calculatio'!A:H,5,FALSE)</f>
        <v>Lake Michael</v>
      </c>
      <c r="F115" s="4" t="str">
        <f>VLOOKUP(A115,'f Excel formulas for calculatio'!A:H,6,FALSE)</f>
        <v>Michigan</v>
      </c>
      <c r="G115" s="4" t="str">
        <f>VLOOKUP(A115,'f Excel formulas for calculatio'!A:H,7,FALSE)</f>
        <v>USA</v>
      </c>
      <c r="H115" s="4" t="str">
        <f>VLOOKUP(A115,'f Excel formulas for calculatio'!A:H,8,FALSE)</f>
        <v>Silver</v>
      </c>
    </row>
    <row r="116" spans="1:8" x14ac:dyDescent="0.25">
      <c r="A116" s="4" t="s">
        <v>400</v>
      </c>
      <c r="B116" s="4" t="str">
        <f>VLOOKUP(A116,'f Excel formulas for calculatio'!A:H,2,FALSE)</f>
        <v>Edward Hall</v>
      </c>
      <c r="C116" s="4">
        <f>VLOOKUP(A116,'f Excel formulas for calculatio'!A:H,3,FALSE)</f>
        <v>51</v>
      </c>
      <c r="D116" s="4" t="str">
        <f>VLOOKUP(A116,'f Excel formulas for calculatio'!A:H,4,FALSE)</f>
        <v>Male</v>
      </c>
      <c r="E116" s="4" t="str">
        <f>VLOOKUP(A116,'f Excel formulas for calculatio'!A:H,5,FALSE)</f>
        <v>New William</v>
      </c>
      <c r="F116" s="4" t="str">
        <f>VLOOKUP(A116,'f Excel formulas for calculatio'!A:H,6,FALSE)</f>
        <v>New Mexico</v>
      </c>
      <c r="G116" s="4" t="str">
        <f>VLOOKUP(A116,'f Excel formulas for calculatio'!A:H,7,FALSE)</f>
        <v>USA</v>
      </c>
      <c r="H116" s="4" t="str">
        <f>VLOOKUP(A116,'f Excel formulas for calculatio'!A:H,8,FALSE)</f>
        <v>Gold</v>
      </c>
    </row>
    <row r="117" spans="1:8" x14ac:dyDescent="0.25">
      <c r="A117" s="9" t="s">
        <v>403</v>
      </c>
      <c r="B117" s="4" t="str">
        <f>VLOOKUP(A117,'f Excel formulas for calculatio'!A:H,2,FALSE)</f>
        <v>Ryan Hernandez</v>
      </c>
      <c r="C117" s="4">
        <f>VLOOKUP(A117,'f Excel formulas for calculatio'!A:H,3,FALSE)</f>
        <v>30</v>
      </c>
      <c r="D117" s="4" t="str">
        <f>VLOOKUP(A117,'f Excel formulas for calculatio'!A:H,4,FALSE)</f>
        <v>Male</v>
      </c>
      <c r="E117" s="4" t="str">
        <f>VLOOKUP(A117,'f Excel formulas for calculatio'!A:H,5,FALSE)</f>
        <v>East Donna</v>
      </c>
      <c r="F117" s="4" t="str">
        <f>VLOOKUP(A117,'f Excel formulas for calculatio'!A:H,6,FALSE)</f>
        <v>Nevada</v>
      </c>
      <c r="G117" s="4" t="str">
        <f>VLOOKUP(A117,'f Excel formulas for calculatio'!A:H,7,FALSE)</f>
        <v>USA</v>
      </c>
      <c r="H117" s="4" t="str">
        <f>VLOOKUP(A117,'f Excel formulas for calculatio'!A:H,8,FALSE)</f>
        <v>Bronze</v>
      </c>
    </row>
    <row r="118" spans="1:8" x14ac:dyDescent="0.25">
      <c r="A118" s="4" t="s">
        <v>406</v>
      </c>
      <c r="B118" s="4" t="str">
        <f>VLOOKUP(A118,'f Excel formulas for calculatio'!A:H,2,FALSE)</f>
        <v>Tyler Conrad</v>
      </c>
      <c r="C118" s="4">
        <f>VLOOKUP(A118,'f Excel formulas for calculatio'!A:H,3,FALSE)</f>
        <v>53</v>
      </c>
      <c r="D118" s="4" t="str">
        <f>VLOOKUP(A118,'f Excel formulas for calculatio'!A:H,4,FALSE)</f>
        <v>Female</v>
      </c>
      <c r="E118" s="4" t="str">
        <f>VLOOKUP(A118,'f Excel formulas for calculatio'!A:H,5,FALSE)</f>
        <v>North Curtischester</v>
      </c>
      <c r="F118" s="4" t="str">
        <f>VLOOKUP(A118,'f Excel formulas for calculatio'!A:H,6,FALSE)</f>
        <v>North Dakota</v>
      </c>
      <c r="G118" s="4" t="str">
        <f>VLOOKUP(A118,'f Excel formulas for calculatio'!A:H,7,FALSE)</f>
        <v>USA</v>
      </c>
      <c r="H118" s="4" t="str">
        <f>VLOOKUP(A118,'f Excel formulas for calculatio'!A:H,8,FALSE)</f>
        <v>Platinum</v>
      </c>
    </row>
    <row r="119" spans="1:8" x14ac:dyDescent="0.25">
      <c r="A119" s="9" t="s">
        <v>409</v>
      </c>
      <c r="B119" s="4" t="str">
        <f>VLOOKUP(A119,'f Excel formulas for calculatio'!A:H,2,FALSE)</f>
        <v>Anthony Phillips</v>
      </c>
      <c r="C119" s="4">
        <f>VLOOKUP(A119,'f Excel formulas for calculatio'!A:H,3,FALSE)</f>
        <v>18</v>
      </c>
      <c r="D119" s="4" t="str">
        <f>VLOOKUP(A119,'f Excel formulas for calculatio'!A:H,4,FALSE)</f>
        <v>Female</v>
      </c>
      <c r="E119" s="4" t="str">
        <f>VLOOKUP(A119,'f Excel formulas for calculatio'!A:H,5,FALSE)</f>
        <v>North Davidport</v>
      </c>
      <c r="F119" s="4" t="str">
        <f>VLOOKUP(A119,'f Excel formulas for calculatio'!A:H,6,FALSE)</f>
        <v>Rhode Island</v>
      </c>
      <c r="G119" s="4" t="str">
        <f>VLOOKUP(A119,'f Excel formulas for calculatio'!A:H,7,FALSE)</f>
        <v>USA</v>
      </c>
      <c r="H119" s="4" t="str">
        <f>VLOOKUP(A119,'f Excel formulas for calculatio'!A:H,8,FALSE)</f>
        <v>Platinum</v>
      </c>
    </row>
    <row r="120" spans="1:8" x14ac:dyDescent="0.25">
      <c r="A120" s="4" t="s">
        <v>412</v>
      </c>
      <c r="B120" s="4" t="str">
        <f>VLOOKUP(A120,'f Excel formulas for calculatio'!A:H,2,FALSE)</f>
        <v>Colleen Mccarthy</v>
      </c>
      <c r="C120" s="4">
        <f>VLOOKUP(A120,'f Excel formulas for calculatio'!A:H,3,FALSE)</f>
        <v>21</v>
      </c>
      <c r="D120" s="4" t="str">
        <f>VLOOKUP(A120,'f Excel formulas for calculatio'!A:H,4,FALSE)</f>
        <v>Female</v>
      </c>
      <c r="E120" s="4" t="str">
        <f>VLOOKUP(A120,'f Excel formulas for calculatio'!A:H,5,FALSE)</f>
        <v>North Katherine</v>
      </c>
      <c r="F120" s="4" t="str">
        <f>VLOOKUP(A120,'f Excel formulas for calculatio'!A:H,6,FALSE)</f>
        <v>Washington</v>
      </c>
      <c r="G120" s="4" t="str">
        <f>VLOOKUP(A120,'f Excel formulas for calculatio'!A:H,7,FALSE)</f>
        <v>USA</v>
      </c>
      <c r="H120" s="4" t="str">
        <f>VLOOKUP(A120,'f Excel formulas for calculatio'!A:H,8,FALSE)</f>
        <v>Platinum</v>
      </c>
    </row>
    <row r="121" spans="1:8" x14ac:dyDescent="0.25">
      <c r="A121" s="9" t="s">
        <v>415</v>
      </c>
      <c r="B121" s="4" t="str">
        <f>VLOOKUP(A121,'f Excel formulas for calculatio'!A:H,2,FALSE)</f>
        <v>Earl Allen</v>
      </c>
      <c r="C121" s="4">
        <f>VLOOKUP(A121,'f Excel formulas for calculatio'!A:H,3,FALSE)</f>
        <v>36</v>
      </c>
      <c r="D121" s="4" t="str">
        <f>VLOOKUP(A121,'f Excel formulas for calculatio'!A:H,4,FALSE)</f>
        <v>Male</v>
      </c>
      <c r="E121" s="4" t="str">
        <f>VLOOKUP(A121,'f Excel formulas for calculatio'!A:H,5,FALSE)</f>
        <v>New Jenniferburgh</v>
      </c>
      <c r="F121" s="4" t="str">
        <f>VLOOKUP(A121,'f Excel formulas for calculatio'!A:H,6,FALSE)</f>
        <v>Nebraska</v>
      </c>
      <c r="G121" s="4" t="str">
        <f>VLOOKUP(A121,'f Excel formulas for calculatio'!A:H,7,FALSE)</f>
        <v>USA</v>
      </c>
      <c r="H121" s="4" t="str">
        <f>VLOOKUP(A121,'f Excel formulas for calculatio'!A:H,8,FALSE)</f>
        <v>Platinum</v>
      </c>
    </row>
    <row r="122" spans="1:8" x14ac:dyDescent="0.25">
      <c r="A122" s="4" t="s">
        <v>418</v>
      </c>
      <c r="B122" s="4" t="str">
        <f>VLOOKUP(A122,'f Excel formulas for calculatio'!A:H,2,FALSE)</f>
        <v>Michael Jones</v>
      </c>
      <c r="C122" s="4">
        <f>VLOOKUP(A122,'f Excel formulas for calculatio'!A:H,3,FALSE)</f>
        <v>40</v>
      </c>
      <c r="D122" s="4" t="str">
        <f>VLOOKUP(A122,'f Excel formulas for calculatio'!A:H,4,FALSE)</f>
        <v>Male</v>
      </c>
      <c r="E122" s="4" t="str">
        <f>VLOOKUP(A122,'f Excel formulas for calculatio'!A:H,5,FALSE)</f>
        <v>North Edwardton</v>
      </c>
      <c r="F122" s="4" t="str">
        <f>VLOOKUP(A122,'f Excel formulas for calculatio'!A:H,6,FALSE)</f>
        <v>Tennessee</v>
      </c>
      <c r="G122" s="4" t="str">
        <f>VLOOKUP(A122,'f Excel formulas for calculatio'!A:H,7,FALSE)</f>
        <v>USA</v>
      </c>
      <c r="H122" s="4" t="str">
        <f>VLOOKUP(A122,'f Excel formulas for calculatio'!A:H,8,FALSE)</f>
        <v>Bronze</v>
      </c>
    </row>
    <row r="123" spans="1:8" x14ac:dyDescent="0.25">
      <c r="A123" s="9" t="s">
        <v>421</v>
      </c>
      <c r="B123" s="4" t="str">
        <f>VLOOKUP(A123,'f Excel formulas for calculatio'!A:H,2,FALSE)</f>
        <v>Jacob Hopkins</v>
      </c>
      <c r="C123" s="4">
        <f>VLOOKUP(A123,'f Excel formulas for calculatio'!A:H,3,FALSE)</f>
        <v>44</v>
      </c>
      <c r="D123" s="4" t="str">
        <f>VLOOKUP(A123,'f Excel formulas for calculatio'!A:H,4,FALSE)</f>
        <v>Female</v>
      </c>
      <c r="E123" s="4" t="str">
        <f>VLOOKUP(A123,'f Excel formulas for calculatio'!A:H,5,FALSE)</f>
        <v>lake tylerfort</v>
      </c>
      <c r="F123" s="4" t="str">
        <f>VLOOKUP(A123,'f Excel formulas for calculatio'!A:H,6,FALSE)</f>
        <v>Pennsylvania</v>
      </c>
      <c r="G123" s="4" t="str">
        <f>VLOOKUP(A123,'f Excel formulas for calculatio'!A:H,7,FALSE)</f>
        <v>USA</v>
      </c>
      <c r="H123" s="4" t="str">
        <f>VLOOKUP(A123,'f Excel formulas for calculatio'!A:H,8,FALSE)</f>
        <v>Platinum</v>
      </c>
    </row>
    <row r="124" spans="1:8" x14ac:dyDescent="0.25">
      <c r="A124" s="4" t="s">
        <v>424</v>
      </c>
      <c r="B124" s="4" t="str">
        <f>VLOOKUP(A124,'f Excel formulas for calculatio'!A:H,2,FALSE)</f>
        <v>Joel Robinson</v>
      </c>
      <c r="C124" s="4">
        <f>VLOOKUP(A124,'f Excel formulas for calculatio'!A:H,3,FALSE)</f>
        <v>62</v>
      </c>
      <c r="D124" s="4" t="str">
        <f>VLOOKUP(A124,'f Excel formulas for calculatio'!A:H,4,FALSE)</f>
        <v>Male</v>
      </c>
      <c r="E124" s="4" t="str">
        <f>VLOOKUP(A124,'f Excel formulas for calculatio'!A:H,5,FALSE)</f>
        <v>Lake Danielport</v>
      </c>
      <c r="F124" s="4" t="str">
        <f>VLOOKUP(A124,'f Excel formulas for calculatio'!A:H,6,FALSE)</f>
        <v>Hawaii</v>
      </c>
      <c r="G124" s="4" t="str">
        <f>VLOOKUP(A124,'f Excel formulas for calculatio'!A:H,7,FALSE)</f>
        <v>USA</v>
      </c>
      <c r="H124" s="4" t="str">
        <f>VLOOKUP(A124,'f Excel formulas for calculatio'!A:H,8,FALSE)</f>
        <v>Platinum</v>
      </c>
    </row>
    <row r="125" spans="1:8" x14ac:dyDescent="0.25">
      <c r="A125" s="9" t="s">
        <v>427</v>
      </c>
      <c r="B125" s="4" t="str">
        <f>VLOOKUP(A125,'f Excel formulas for calculatio'!A:H,2,FALSE)</f>
        <v>Michael Chang</v>
      </c>
      <c r="C125" s="4">
        <f>VLOOKUP(A125,'f Excel formulas for calculatio'!A:H,3,FALSE)</f>
        <v>50</v>
      </c>
      <c r="D125" s="4" t="str">
        <f>VLOOKUP(A125,'f Excel formulas for calculatio'!A:H,4,FALSE)</f>
        <v>Male</v>
      </c>
      <c r="E125" s="4" t="str">
        <f>VLOOKUP(A125,'f Excel formulas for calculatio'!A:H,5,FALSE)</f>
        <v>Kathrynport</v>
      </c>
      <c r="F125" s="4" t="str">
        <f>VLOOKUP(A125,'f Excel formulas for calculatio'!A:H,6,FALSE)</f>
        <v>North Carolina</v>
      </c>
      <c r="G125" s="4" t="str">
        <f>VLOOKUP(A125,'f Excel formulas for calculatio'!A:H,7,FALSE)</f>
        <v>USA</v>
      </c>
      <c r="H125" s="4" t="str">
        <f>VLOOKUP(A125,'f Excel formulas for calculatio'!A:H,8,FALSE)</f>
        <v>Platinum</v>
      </c>
    </row>
    <row r="126" spans="1:8" x14ac:dyDescent="0.25">
      <c r="A126" s="4" t="s">
        <v>430</v>
      </c>
      <c r="B126" s="4" t="str">
        <f>VLOOKUP(A126,'f Excel formulas for calculatio'!A:H,2,FALSE)</f>
        <v>Erin Hopkins</v>
      </c>
      <c r="C126" s="4">
        <f>VLOOKUP(A126,'f Excel formulas for calculatio'!A:H,3,FALSE)</f>
        <v>40</v>
      </c>
      <c r="D126" s="4" t="str">
        <f>VLOOKUP(A126,'f Excel formulas for calculatio'!A:H,4,FALSE)</f>
        <v>Male</v>
      </c>
      <c r="E126" s="4" t="str">
        <f>VLOOKUP(A126,'f Excel formulas for calculatio'!A:H,5,FALSE)</f>
        <v>North Sabrina</v>
      </c>
      <c r="F126" s="4" t="str">
        <f>VLOOKUP(A126,'f Excel formulas for calculatio'!A:H,6,FALSE)</f>
        <v>Iowa</v>
      </c>
      <c r="G126" s="4" t="str">
        <f>VLOOKUP(A126,'f Excel formulas for calculatio'!A:H,7,FALSE)</f>
        <v>USA</v>
      </c>
      <c r="H126" s="4" t="str">
        <f>VLOOKUP(A126,'f Excel formulas for calculatio'!A:H,8,FALSE)</f>
        <v>Silver</v>
      </c>
    </row>
    <row r="127" spans="1:8" x14ac:dyDescent="0.25">
      <c r="A127" s="9" t="s">
        <v>433</v>
      </c>
      <c r="B127" s="4" t="str">
        <f>VLOOKUP(A127,'f Excel formulas for calculatio'!A:H,2,FALSE)</f>
        <v>Donald Lee</v>
      </c>
      <c r="C127" s="4">
        <f>VLOOKUP(A127,'f Excel formulas for calculatio'!A:H,3,FALSE)</f>
        <v>26</v>
      </c>
      <c r="D127" s="4" t="str">
        <f>VLOOKUP(A127,'f Excel formulas for calculatio'!A:H,4,FALSE)</f>
        <v>Male</v>
      </c>
      <c r="E127" s="4" t="str">
        <f>VLOOKUP(A127,'f Excel formulas for calculatio'!A:H,5,FALSE)</f>
        <v>Wongberg</v>
      </c>
      <c r="F127" s="4" t="str">
        <f>VLOOKUP(A127,'f Excel formulas for calculatio'!A:H,6,FALSE)</f>
        <v>Illinois</v>
      </c>
      <c r="G127" s="4" t="str">
        <f>VLOOKUP(A127,'f Excel formulas for calculatio'!A:H,7,FALSE)</f>
        <v>USA</v>
      </c>
      <c r="H127" s="4" t="str">
        <f>VLOOKUP(A127,'f Excel formulas for calculatio'!A:H,8,FALSE)</f>
        <v>Bronze</v>
      </c>
    </row>
    <row r="128" spans="1:8" x14ac:dyDescent="0.25">
      <c r="A128" s="4" t="s">
        <v>436</v>
      </c>
      <c r="B128" s="4" t="str">
        <f>VLOOKUP(A128,'f Excel formulas for calculatio'!A:H,2,FALSE)</f>
        <v>Keith Miller</v>
      </c>
      <c r="C128" s="4">
        <f>VLOOKUP(A128,'f Excel formulas for calculatio'!A:H,3,FALSE)</f>
        <v>64</v>
      </c>
      <c r="D128" s="4" t="str">
        <f>VLOOKUP(A128,'f Excel formulas for calculatio'!A:H,4,FALSE)</f>
        <v>Female</v>
      </c>
      <c r="E128" s="4" t="str">
        <f>VLOOKUP(A128,'f Excel formulas for calculatio'!A:H,5,FALSE)</f>
        <v>West Jameston</v>
      </c>
      <c r="F128" s="4" t="str">
        <f>VLOOKUP(A128,'f Excel formulas for calculatio'!A:H,6,FALSE)</f>
        <v>Maine</v>
      </c>
      <c r="G128" s="4" t="str">
        <f>VLOOKUP(A128,'f Excel formulas for calculatio'!A:H,7,FALSE)</f>
        <v>USA</v>
      </c>
      <c r="H128" s="4" t="str">
        <f>VLOOKUP(A128,'f Excel formulas for calculatio'!A:H,8,FALSE)</f>
        <v>Platinum</v>
      </c>
    </row>
    <row r="129" spans="1:8" x14ac:dyDescent="0.25">
      <c r="A129" s="9" t="s">
        <v>440</v>
      </c>
      <c r="B129" s="4" t="str">
        <f>VLOOKUP(A129,'f Excel formulas for calculatio'!A:H,2,FALSE)</f>
        <v>James Wolfe</v>
      </c>
      <c r="C129" s="4">
        <f>VLOOKUP(A129,'f Excel formulas for calculatio'!A:H,3,FALSE)</f>
        <v>62</v>
      </c>
      <c r="D129" s="4" t="str">
        <f>VLOOKUP(A129,'f Excel formulas for calculatio'!A:H,4,FALSE)</f>
        <v>Female</v>
      </c>
      <c r="E129" s="4" t="str">
        <f>VLOOKUP(A129,'f Excel formulas for calculatio'!A:H,5,FALSE)</f>
        <v>Benjaminton</v>
      </c>
      <c r="F129" s="4" t="str">
        <f>VLOOKUP(A129,'f Excel formulas for calculatio'!A:H,6,FALSE)</f>
        <v>Arizona</v>
      </c>
      <c r="G129" s="4" t="str">
        <f>VLOOKUP(A129,'f Excel formulas for calculatio'!A:H,7,FALSE)</f>
        <v>USA</v>
      </c>
      <c r="H129" s="4" t="str">
        <f>VLOOKUP(A129,'f Excel formulas for calculatio'!A:H,8,FALSE)</f>
        <v>Gold</v>
      </c>
    </row>
    <row r="130" spans="1:8" x14ac:dyDescent="0.25">
      <c r="A130" s="4" t="s">
        <v>443</v>
      </c>
      <c r="B130" s="4" t="str">
        <f>VLOOKUP(A130,'f Excel formulas for calculatio'!A:H,2,FALSE)</f>
        <v>John Mcknight</v>
      </c>
      <c r="C130" s="4">
        <f>VLOOKUP(A130,'f Excel formulas for calculatio'!A:H,3,FALSE)</f>
        <v>39</v>
      </c>
      <c r="D130" s="4" t="str">
        <f>VLOOKUP(A130,'f Excel formulas for calculatio'!A:H,4,FALSE)</f>
        <v>Male</v>
      </c>
      <c r="E130" s="4" t="str">
        <f>VLOOKUP(A130,'f Excel formulas for calculatio'!A:H,5,FALSE)</f>
        <v>South Nathan</v>
      </c>
      <c r="F130" s="4" t="str">
        <f>VLOOKUP(A130,'f Excel formulas for calculatio'!A:H,6,FALSE)</f>
        <v>Vermont</v>
      </c>
      <c r="G130" s="4" t="str">
        <f>VLOOKUP(A130,'f Excel formulas for calculatio'!A:H,7,FALSE)</f>
        <v>USA</v>
      </c>
      <c r="H130" s="4" t="str">
        <f>VLOOKUP(A130,'f Excel formulas for calculatio'!A:H,8,FALSE)</f>
        <v>Platinum</v>
      </c>
    </row>
    <row r="131" spans="1:8" x14ac:dyDescent="0.25">
      <c r="A131" s="9" t="s">
        <v>446</v>
      </c>
      <c r="B131" s="4" t="str">
        <f>VLOOKUP(A131,'f Excel formulas for calculatio'!A:H,2,FALSE)</f>
        <v>Susan Mcdonald</v>
      </c>
      <c r="C131" s="4">
        <f>VLOOKUP(A131,'f Excel formulas for calculatio'!A:H,3,FALSE)</f>
        <v>45</v>
      </c>
      <c r="D131" s="4" t="str">
        <f>VLOOKUP(A131,'f Excel formulas for calculatio'!A:H,4,FALSE)</f>
        <v>Male</v>
      </c>
      <c r="E131" s="4" t="str">
        <f>VLOOKUP(A131,'f Excel formulas for calculatio'!A:H,5,FALSE)</f>
        <v>East Ellen</v>
      </c>
      <c r="F131" s="4" t="str">
        <f>VLOOKUP(A131,'f Excel formulas for calculatio'!A:H,6,FALSE)</f>
        <v>Arkansas</v>
      </c>
      <c r="G131" s="4" t="str">
        <f>VLOOKUP(A131,'f Excel formulas for calculatio'!A:H,7,FALSE)</f>
        <v>USA</v>
      </c>
      <c r="H131" s="4" t="str">
        <f>VLOOKUP(A131,'f Excel formulas for calculatio'!A:H,8,FALSE)</f>
        <v>Silver</v>
      </c>
    </row>
    <row r="132" spans="1:8" x14ac:dyDescent="0.25">
      <c r="A132" s="4" t="s">
        <v>449</v>
      </c>
      <c r="B132" s="4" t="str">
        <f>VLOOKUP(A132,'f Excel formulas for calculatio'!A:H,2,FALSE)</f>
        <v>Jessica Mitchell</v>
      </c>
      <c r="C132" s="4">
        <f>VLOOKUP(A132,'f Excel formulas for calculatio'!A:H,3,FALSE)</f>
        <v>43</v>
      </c>
      <c r="D132" s="4" t="str">
        <f>VLOOKUP(A132,'f Excel formulas for calculatio'!A:H,4,FALSE)</f>
        <v>Female</v>
      </c>
      <c r="E132" s="4" t="str">
        <f>VLOOKUP(A132,'f Excel formulas for calculatio'!A:H,5,FALSE)</f>
        <v>Matthewbury</v>
      </c>
      <c r="F132" s="4" t="str">
        <f>VLOOKUP(A132,'f Excel formulas for calculatio'!A:H,6,FALSE)</f>
        <v>South Dakota</v>
      </c>
      <c r="G132" s="4" t="str">
        <f>VLOOKUP(A132,'f Excel formulas for calculatio'!A:H,7,FALSE)</f>
        <v>USA</v>
      </c>
      <c r="H132" s="4" t="str">
        <f>VLOOKUP(A132,'f Excel formulas for calculatio'!A:H,8,FALSE)</f>
        <v>Silver</v>
      </c>
    </row>
    <row r="133" spans="1:8" x14ac:dyDescent="0.25">
      <c r="A133" s="9" t="s">
        <v>452</v>
      </c>
      <c r="B133" s="4" t="str">
        <f>VLOOKUP(A133,'f Excel formulas for calculatio'!A:H,2,FALSE)</f>
        <v>Jamie Reyes</v>
      </c>
      <c r="C133" s="4">
        <f>VLOOKUP(A133,'f Excel formulas for calculatio'!A:H,3,FALSE)</f>
        <v>29</v>
      </c>
      <c r="D133" s="4" t="str">
        <f>VLOOKUP(A133,'f Excel formulas for calculatio'!A:H,4,FALSE)</f>
        <v>Male</v>
      </c>
      <c r="E133" s="4" t="str">
        <f>VLOOKUP(A133,'f Excel formulas for calculatio'!A:H,5,FALSE)</f>
        <v xml:space="preserve">   jonesbury </v>
      </c>
      <c r="F133" s="4" t="str">
        <f>VLOOKUP(A133,'f Excel formulas for calculatio'!A:H,6,FALSE)</f>
        <v>Connecticut</v>
      </c>
      <c r="G133" s="4" t="str">
        <f>VLOOKUP(A133,'f Excel formulas for calculatio'!A:H,7,FALSE)</f>
        <v>United States of America</v>
      </c>
      <c r="H133" s="4" t="str">
        <f>VLOOKUP(A133,'f Excel formulas for calculatio'!A:H,8,FALSE)</f>
        <v>Platinum</v>
      </c>
    </row>
    <row r="134" spans="1:8" x14ac:dyDescent="0.25">
      <c r="A134" s="4" t="s">
        <v>456</v>
      </c>
      <c r="B134" s="4" t="str">
        <f>VLOOKUP(A134,'f Excel formulas for calculatio'!A:H,2,FALSE)</f>
        <v>Joseph Richards</v>
      </c>
      <c r="C134" s="4">
        <f>VLOOKUP(A134,'f Excel formulas for calculatio'!A:H,3,FALSE)</f>
        <v>34</v>
      </c>
      <c r="D134" s="4" t="str">
        <f>VLOOKUP(A134,'f Excel formulas for calculatio'!A:H,4,FALSE)</f>
        <v>Female</v>
      </c>
      <c r="E134" s="4" t="str">
        <f>VLOOKUP(A134,'f Excel formulas for calculatio'!A:H,5,FALSE)</f>
        <v>Wigginsville</v>
      </c>
      <c r="F134" s="4" t="str">
        <f>VLOOKUP(A134,'f Excel formulas for calculatio'!A:H,6,FALSE)</f>
        <v>Alabama</v>
      </c>
      <c r="G134" s="4" t="str">
        <f>VLOOKUP(A134,'f Excel formulas for calculatio'!A:H,7,FALSE)</f>
        <v>USA</v>
      </c>
      <c r="H134" s="4" t="str">
        <f>VLOOKUP(A134,'f Excel formulas for calculatio'!A:H,8,FALSE)</f>
        <v>Bronze</v>
      </c>
    </row>
    <row r="135" spans="1:8" x14ac:dyDescent="0.25">
      <c r="A135" s="9" t="s">
        <v>459</v>
      </c>
      <c r="B135" s="4" t="str">
        <f>VLOOKUP(A135,'f Excel formulas for calculatio'!A:H,2,FALSE)</f>
        <v>Miguel Reynolds</v>
      </c>
      <c r="C135" s="4">
        <f>VLOOKUP(A135,'f Excel formulas for calculatio'!A:H,3,FALSE)</f>
        <v>57</v>
      </c>
      <c r="D135" s="4" t="str">
        <f>VLOOKUP(A135,'f Excel formulas for calculatio'!A:H,4,FALSE)</f>
        <v>Female</v>
      </c>
      <c r="E135" s="4" t="str">
        <f>VLOOKUP(A135,'f Excel formulas for calculatio'!A:H,5,FALSE)</f>
        <v>Taylorberg</v>
      </c>
      <c r="F135" s="4" t="str">
        <f>VLOOKUP(A135,'f Excel formulas for calculatio'!A:H,6,FALSE)</f>
        <v>Ohio</v>
      </c>
      <c r="G135" s="4" t="str">
        <f>VLOOKUP(A135,'f Excel formulas for calculatio'!A:H,7,FALSE)</f>
        <v>USA</v>
      </c>
      <c r="H135" s="4" t="str">
        <f>VLOOKUP(A135,'f Excel formulas for calculatio'!A:H,8,FALSE)</f>
        <v>Gold</v>
      </c>
    </row>
    <row r="136" spans="1:8" x14ac:dyDescent="0.25">
      <c r="A136" s="4" t="s">
        <v>462</v>
      </c>
      <c r="B136" s="4" t="str">
        <f>VLOOKUP(A136,'f Excel formulas for calculatio'!A:H,2,FALSE)</f>
        <v>Hayley Pope</v>
      </c>
      <c r="C136" s="4">
        <f>VLOOKUP(A136,'f Excel formulas for calculatio'!A:H,3,FALSE)</f>
        <v>62</v>
      </c>
      <c r="D136" s="4" t="str">
        <f>VLOOKUP(A136,'f Excel formulas for calculatio'!A:H,4,FALSE)</f>
        <v>Female</v>
      </c>
      <c r="E136" s="4" t="str">
        <f>VLOOKUP(A136,'f Excel formulas for calculatio'!A:H,5,FALSE)</f>
        <v>West Stephenville</v>
      </c>
      <c r="F136" s="4" t="str">
        <f>VLOOKUP(A136,'f Excel formulas for calculatio'!A:H,6,FALSE)</f>
        <v>Florida</v>
      </c>
      <c r="G136" s="4" t="str">
        <f>VLOOKUP(A136,'f Excel formulas for calculatio'!A:H,7,FALSE)</f>
        <v>USA</v>
      </c>
      <c r="H136" s="4" t="str">
        <f>VLOOKUP(A136,'f Excel formulas for calculatio'!A:H,8,FALSE)</f>
        <v>Bronze</v>
      </c>
    </row>
    <row r="137" spans="1:8" x14ac:dyDescent="0.25">
      <c r="A137" s="9" t="s">
        <v>465</v>
      </c>
      <c r="B137" s="4" t="str">
        <f>VLOOKUP(A137,'f Excel formulas for calculatio'!A:H,2,FALSE)</f>
        <v>Morgan Bowen</v>
      </c>
      <c r="C137" s="4">
        <f>VLOOKUP(A137,'f Excel formulas for calculatio'!A:H,3,FALSE)</f>
        <v>54</v>
      </c>
      <c r="D137" s="4" t="str">
        <f>VLOOKUP(A137,'f Excel formulas for calculatio'!A:H,4,FALSE)</f>
        <v>Male</v>
      </c>
      <c r="E137" s="4" t="str">
        <f>VLOOKUP(A137,'f Excel formulas for calculatio'!A:H,5,FALSE)</f>
        <v>Parksfort</v>
      </c>
      <c r="F137" s="4" t="str">
        <f>VLOOKUP(A137,'f Excel formulas for calculatio'!A:H,6,FALSE)</f>
        <v>Washington</v>
      </c>
      <c r="G137" s="4" t="str">
        <f>VLOOKUP(A137,'f Excel formulas for calculatio'!A:H,7,FALSE)</f>
        <v>USA</v>
      </c>
      <c r="H137" s="4" t="str">
        <f>VLOOKUP(A137,'f Excel formulas for calculatio'!A:H,8,FALSE)</f>
        <v>Gold</v>
      </c>
    </row>
    <row r="138" spans="1:8" x14ac:dyDescent="0.25">
      <c r="A138" s="4" t="s">
        <v>468</v>
      </c>
      <c r="B138" s="4" t="str">
        <f>VLOOKUP(A138,'f Excel formulas for calculatio'!A:H,2,FALSE)</f>
        <v>Matthew Hanna</v>
      </c>
      <c r="C138" s="4">
        <f>VLOOKUP(A138,'f Excel formulas for calculatio'!A:H,3,FALSE)</f>
        <v>33</v>
      </c>
      <c r="D138" s="4" t="str">
        <f>VLOOKUP(A138,'f Excel formulas for calculatio'!A:H,4,FALSE)</f>
        <v>Female</v>
      </c>
      <c r="E138" s="4" t="str">
        <f>VLOOKUP(A138,'f Excel formulas for calculatio'!A:H,5,FALSE)</f>
        <v>Gonzalezbury</v>
      </c>
      <c r="F138" s="4" t="str">
        <f>VLOOKUP(A138,'f Excel formulas for calculatio'!A:H,6,FALSE)</f>
        <v>Michigan</v>
      </c>
      <c r="G138" s="4" t="str">
        <f>VLOOKUP(A138,'f Excel formulas for calculatio'!A:H,7,FALSE)</f>
        <v>USA</v>
      </c>
      <c r="H138" s="4" t="str">
        <f>VLOOKUP(A138,'f Excel formulas for calculatio'!A:H,8,FALSE)</f>
        <v>Platinum</v>
      </c>
    </row>
    <row r="139" spans="1:8" x14ac:dyDescent="0.25">
      <c r="A139" s="9" t="s">
        <v>471</v>
      </c>
      <c r="B139" s="4" t="str">
        <f>VLOOKUP(A139,'f Excel formulas for calculatio'!A:H,2,FALSE)</f>
        <v>Patrick Coleman</v>
      </c>
      <c r="C139" s="4">
        <f>VLOOKUP(A139,'f Excel formulas for calculatio'!A:H,3,FALSE)</f>
        <v>29</v>
      </c>
      <c r="D139" s="4" t="str">
        <f>VLOOKUP(A139,'f Excel formulas for calculatio'!A:H,4,FALSE)</f>
        <v>Male</v>
      </c>
      <c r="E139" s="4" t="str">
        <f>VLOOKUP(A139,'f Excel formulas for calculatio'!A:H,5,FALSE)</f>
        <v>New Jeffrey</v>
      </c>
      <c r="F139" s="4" t="str">
        <f>VLOOKUP(A139,'f Excel formulas for calculatio'!A:H,6,FALSE)</f>
        <v>Nebraska</v>
      </c>
      <c r="G139" s="4" t="str">
        <f>VLOOKUP(A139,'f Excel formulas for calculatio'!A:H,7,FALSE)</f>
        <v>USA</v>
      </c>
      <c r="H139" s="4" t="str">
        <f>VLOOKUP(A139,'f Excel formulas for calculatio'!A:H,8,FALSE)</f>
        <v>Silver</v>
      </c>
    </row>
    <row r="140" spans="1:8" x14ac:dyDescent="0.25">
      <c r="A140" s="4" t="s">
        <v>474</v>
      </c>
      <c r="B140" s="4" t="str">
        <f>VLOOKUP(A140,'f Excel formulas for calculatio'!A:H,2,FALSE)</f>
        <v>Rick Dominguez</v>
      </c>
      <c r="C140" s="4">
        <f>VLOOKUP(A140,'f Excel formulas for calculatio'!A:H,3,FALSE)</f>
        <v>55</v>
      </c>
      <c r="D140" s="4" t="str">
        <f>VLOOKUP(A140,'f Excel formulas for calculatio'!A:H,4,FALSE)</f>
        <v>Female</v>
      </c>
      <c r="E140" s="4" t="str">
        <f>VLOOKUP(A140,'f Excel formulas for calculatio'!A:H,5,FALSE)</f>
        <v>North Johnbury</v>
      </c>
      <c r="F140" s="4" t="str">
        <f>VLOOKUP(A140,'f Excel formulas for calculatio'!A:H,6,FALSE)</f>
        <v>Ohio</v>
      </c>
      <c r="G140" s="4" t="str">
        <f>VLOOKUP(A140,'f Excel formulas for calculatio'!A:H,7,FALSE)</f>
        <v>USA</v>
      </c>
      <c r="H140" s="4" t="str">
        <f>VLOOKUP(A140,'f Excel formulas for calculatio'!A:H,8,FALSE)</f>
        <v>Platinum</v>
      </c>
    </row>
    <row r="141" spans="1:8" x14ac:dyDescent="0.25">
      <c r="A141" s="9" t="s">
        <v>477</v>
      </c>
      <c r="B141" s="4" t="str">
        <f>VLOOKUP(A141,'f Excel formulas for calculatio'!A:H,2,FALSE)</f>
        <v>Sean Roth</v>
      </c>
      <c r="C141" s="4">
        <f>VLOOKUP(A141,'f Excel formulas for calculatio'!A:H,3,FALSE)</f>
        <v>43</v>
      </c>
      <c r="D141" s="4" t="str">
        <f>VLOOKUP(A141,'f Excel formulas for calculatio'!A:H,4,FALSE)</f>
        <v>Male</v>
      </c>
      <c r="E141" s="4" t="str">
        <f>VLOOKUP(A141,'f Excel formulas for calculatio'!A:H,5,FALSE)</f>
        <v>Lake Michael</v>
      </c>
      <c r="F141" s="4" t="str">
        <f>VLOOKUP(A141,'f Excel formulas for calculatio'!A:H,6,FALSE)</f>
        <v>Virginia</v>
      </c>
      <c r="G141" s="4" t="str">
        <f>VLOOKUP(A141,'f Excel formulas for calculatio'!A:H,7,FALSE)</f>
        <v>USA</v>
      </c>
      <c r="H141" s="4" t="str">
        <f>VLOOKUP(A141,'f Excel formulas for calculatio'!A:H,8,FALSE)</f>
        <v>Gold</v>
      </c>
    </row>
    <row r="142" spans="1:8" x14ac:dyDescent="0.25">
      <c r="A142" s="4" t="s">
        <v>479</v>
      </c>
      <c r="B142" s="4" t="str">
        <f>VLOOKUP(A142,'f Excel formulas for calculatio'!A:H,2,FALSE)</f>
        <v>Brian Holder</v>
      </c>
      <c r="C142" s="4">
        <f>VLOOKUP(A142,'f Excel formulas for calculatio'!A:H,3,FALSE)</f>
        <v>32</v>
      </c>
      <c r="D142" s="4" t="str">
        <f>VLOOKUP(A142,'f Excel formulas for calculatio'!A:H,4,FALSE)</f>
        <v>Male</v>
      </c>
      <c r="E142" s="4" t="str">
        <f>VLOOKUP(A142,'f Excel formulas for calculatio'!A:H,5,FALSE)</f>
        <v>Port Travis</v>
      </c>
      <c r="F142" s="4" t="str">
        <f>VLOOKUP(A142,'f Excel formulas for calculatio'!A:H,6,FALSE)</f>
        <v>Utah</v>
      </c>
      <c r="G142" s="4" t="str">
        <f>VLOOKUP(A142,'f Excel formulas for calculatio'!A:H,7,FALSE)</f>
        <v>USA</v>
      </c>
      <c r="H142" s="4" t="str">
        <f>VLOOKUP(A142,'f Excel formulas for calculatio'!A:H,8,FALSE)</f>
        <v>Bronze</v>
      </c>
    </row>
    <row r="143" spans="1:8" x14ac:dyDescent="0.25">
      <c r="A143" s="9" t="s">
        <v>482</v>
      </c>
      <c r="B143" s="4" t="str">
        <f>VLOOKUP(A143,'f Excel formulas for calculatio'!A:H,2,FALSE)</f>
        <v>Patty Francis</v>
      </c>
      <c r="C143" s="4">
        <f>VLOOKUP(A143,'f Excel formulas for calculatio'!A:H,3,FALSE)</f>
        <v>63</v>
      </c>
      <c r="D143" s="4" t="str">
        <f>VLOOKUP(A143,'f Excel formulas for calculatio'!A:H,4,FALSE)</f>
        <v>Female</v>
      </c>
      <c r="E143" s="4" t="str">
        <f>VLOOKUP(A143,'f Excel formulas for calculatio'!A:H,5,FALSE)</f>
        <v>South Brooke</v>
      </c>
      <c r="F143" s="4" t="str">
        <f>VLOOKUP(A143,'f Excel formulas for calculatio'!A:H,6,FALSE)</f>
        <v>Pennsylvania</v>
      </c>
      <c r="G143" s="4" t="str">
        <f>VLOOKUP(A143,'f Excel formulas for calculatio'!A:H,7,FALSE)</f>
        <v>USA</v>
      </c>
      <c r="H143" s="4" t="str">
        <f>VLOOKUP(A143,'f Excel formulas for calculatio'!A:H,8,FALSE)</f>
        <v>Gold</v>
      </c>
    </row>
    <row r="144" spans="1:8" x14ac:dyDescent="0.25">
      <c r="A144" s="4" t="s">
        <v>485</v>
      </c>
      <c r="B144" s="4" t="str">
        <f>VLOOKUP(A144,'f Excel formulas for calculatio'!A:H,2,FALSE)</f>
        <v>Cristian Wright</v>
      </c>
      <c r="C144" s="4">
        <f>VLOOKUP(A144,'f Excel formulas for calculatio'!A:H,3,FALSE)</f>
        <v>30</v>
      </c>
      <c r="D144" s="4" t="str">
        <f>VLOOKUP(A144,'f Excel formulas for calculatio'!A:H,4,FALSE)</f>
        <v>Male</v>
      </c>
      <c r="E144" s="4" t="str">
        <f>VLOOKUP(A144,'f Excel formulas for calculatio'!A:H,5,FALSE)</f>
        <v>Port Denise</v>
      </c>
      <c r="F144" s="4" t="str">
        <f>VLOOKUP(A144,'f Excel formulas for calculatio'!A:H,6,FALSE)</f>
        <v>California</v>
      </c>
      <c r="G144" s="4" t="str">
        <f>VLOOKUP(A144,'f Excel formulas for calculatio'!A:H,7,FALSE)</f>
        <v>United States of America</v>
      </c>
      <c r="H144" s="4" t="str">
        <f>VLOOKUP(A144,'f Excel formulas for calculatio'!A:H,8,FALSE)</f>
        <v>Bronze</v>
      </c>
    </row>
    <row r="145" spans="1:8" x14ac:dyDescent="0.25">
      <c r="A145" s="9" t="s">
        <v>488</v>
      </c>
      <c r="B145" s="4" t="str">
        <f>VLOOKUP(A145,'f Excel formulas for calculatio'!A:H,2,FALSE)</f>
        <v>Maria Ramirez</v>
      </c>
      <c r="C145" s="4">
        <f>VLOOKUP(A145,'f Excel formulas for calculatio'!A:H,3,FALSE)</f>
        <v>37</v>
      </c>
      <c r="D145" s="4" t="str">
        <f>VLOOKUP(A145,'f Excel formulas for calculatio'!A:H,4,FALSE)</f>
        <v>Male</v>
      </c>
      <c r="E145" s="4" t="str">
        <f>VLOOKUP(A145,'f Excel formulas for calculatio'!A:H,5,FALSE)</f>
        <v>West Brandon</v>
      </c>
      <c r="F145" s="4" t="str">
        <f>VLOOKUP(A145,'f Excel formulas for calculatio'!A:H,6,FALSE)</f>
        <v>Montana</v>
      </c>
      <c r="G145" s="4" t="str">
        <f>VLOOKUP(A145,'f Excel formulas for calculatio'!A:H,7,FALSE)</f>
        <v>USA</v>
      </c>
      <c r="H145" s="4" t="str">
        <f>VLOOKUP(A145,'f Excel formulas for calculatio'!A:H,8,FALSE)</f>
        <v>Bronze</v>
      </c>
    </row>
    <row r="146" spans="1:8" x14ac:dyDescent="0.25">
      <c r="A146" s="4" t="s">
        <v>491</v>
      </c>
      <c r="B146" s="4" t="str">
        <f>VLOOKUP(A146,'f Excel formulas for calculatio'!A:H,2,FALSE)</f>
        <v>Carlos Skinner</v>
      </c>
      <c r="C146" s="4">
        <f>VLOOKUP(A146,'f Excel formulas for calculatio'!A:H,3,FALSE)</f>
        <v>46</v>
      </c>
      <c r="D146" s="4" t="str">
        <f>VLOOKUP(A146,'f Excel formulas for calculatio'!A:H,4,FALSE)</f>
        <v>Male</v>
      </c>
      <c r="E146" s="4" t="str">
        <f>VLOOKUP(A146,'f Excel formulas for calculatio'!A:H,5,FALSE)</f>
        <v>Dwaynemouth</v>
      </c>
      <c r="F146" s="4" t="str">
        <f>VLOOKUP(A146,'f Excel formulas for calculatio'!A:H,6,FALSE)</f>
        <v>Alabama</v>
      </c>
      <c r="G146" s="4" t="str">
        <f>VLOOKUP(A146,'f Excel formulas for calculatio'!A:H,7,FALSE)</f>
        <v>USA</v>
      </c>
      <c r="H146" s="4" t="str">
        <f>VLOOKUP(A146,'f Excel formulas for calculatio'!A:H,8,FALSE)</f>
        <v>Bronze</v>
      </c>
    </row>
    <row r="147" spans="1:8" x14ac:dyDescent="0.25">
      <c r="A147" s="9" t="s">
        <v>494</v>
      </c>
      <c r="B147" s="4" t="str">
        <f>VLOOKUP(A147,'f Excel formulas for calculatio'!A:H,2,FALSE)</f>
        <v>Justin Cross</v>
      </c>
      <c r="C147" s="4">
        <f>VLOOKUP(A147,'f Excel formulas for calculatio'!A:H,3,FALSE)</f>
        <v>62</v>
      </c>
      <c r="D147" s="4" t="str">
        <f>VLOOKUP(A147,'f Excel formulas for calculatio'!A:H,4,FALSE)</f>
        <v>Female</v>
      </c>
      <c r="E147" s="4" t="str">
        <f>VLOOKUP(A147,'f Excel formulas for calculatio'!A:H,5,FALSE)</f>
        <v>North Anthonychester</v>
      </c>
      <c r="F147" s="4" t="str">
        <f>VLOOKUP(A147,'f Excel formulas for calculatio'!A:H,6,FALSE)</f>
        <v>Nevada</v>
      </c>
      <c r="G147" s="4" t="str">
        <f>VLOOKUP(A147,'f Excel formulas for calculatio'!A:H,7,FALSE)</f>
        <v>USA</v>
      </c>
      <c r="H147" s="4" t="str">
        <f>VLOOKUP(A147,'f Excel formulas for calculatio'!A:H,8,FALSE)</f>
        <v>Bronze</v>
      </c>
    </row>
    <row r="148" spans="1:8" x14ac:dyDescent="0.25">
      <c r="A148" s="4" t="s">
        <v>497</v>
      </c>
      <c r="B148" s="4" t="str">
        <f>VLOOKUP(A148,'f Excel formulas for calculatio'!A:H,2,FALSE)</f>
        <v>Cameron Simpson</v>
      </c>
      <c r="C148" s="4">
        <f>VLOOKUP(A148,'f Excel formulas for calculatio'!A:H,3,FALSE)</f>
        <v>46</v>
      </c>
      <c r="D148" s="4" t="str">
        <f>VLOOKUP(A148,'f Excel formulas for calculatio'!A:H,4,FALSE)</f>
        <v>Male</v>
      </c>
      <c r="E148" s="4" t="str">
        <f>VLOOKUP(A148,'f Excel formulas for calculatio'!A:H,5,FALSE)</f>
        <v>Michaelfort</v>
      </c>
      <c r="F148" s="4" t="str">
        <f>VLOOKUP(A148,'f Excel formulas for calculatio'!A:H,6,FALSE)</f>
        <v>Indiana</v>
      </c>
      <c r="G148" s="4" t="str">
        <f>VLOOKUP(A148,'f Excel formulas for calculatio'!A:H,7,FALSE)</f>
        <v>USA</v>
      </c>
      <c r="H148" s="4" t="str">
        <f>VLOOKUP(A148,'f Excel formulas for calculatio'!A:H,8,FALSE)</f>
        <v>Platinum</v>
      </c>
    </row>
    <row r="149" spans="1:8" x14ac:dyDescent="0.25">
      <c r="A149" s="9" t="s">
        <v>500</v>
      </c>
      <c r="B149" s="4" t="str">
        <f>VLOOKUP(A149,'f Excel formulas for calculatio'!A:H,2,FALSE)</f>
        <v>Edward Rivera</v>
      </c>
      <c r="C149" s="4">
        <f>VLOOKUP(A149,'f Excel formulas for calculatio'!A:H,3,FALSE)</f>
        <v>32</v>
      </c>
      <c r="D149" s="4" t="str">
        <f>VLOOKUP(A149,'f Excel formulas for calculatio'!A:H,4,FALSE)</f>
        <v>Female</v>
      </c>
      <c r="E149" s="4" t="str">
        <f>VLOOKUP(A149,'f Excel formulas for calculatio'!A:H,5,FALSE)</f>
        <v>Chungmouth</v>
      </c>
      <c r="F149" s="4" t="str">
        <f>VLOOKUP(A149,'f Excel formulas for calculatio'!A:H,6,FALSE)</f>
        <v>South Carolina</v>
      </c>
      <c r="G149" s="4" t="str">
        <f>VLOOKUP(A149,'f Excel formulas for calculatio'!A:H,7,FALSE)</f>
        <v>USA</v>
      </c>
      <c r="H149" s="4" t="str">
        <f>VLOOKUP(A149,'f Excel formulas for calculatio'!A:H,8,FALSE)</f>
        <v>Gold</v>
      </c>
    </row>
    <row r="150" spans="1:8" x14ac:dyDescent="0.25">
      <c r="A150" s="4" t="s">
        <v>503</v>
      </c>
      <c r="B150" s="4" t="str">
        <f>VLOOKUP(A150,'f Excel formulas for calculatio'!A:H,2,FALSE)</f>
        <v>Rhonda Young</v>
      </c>
      <c r="C150" s="4">
        <f>VLOOKUP(A150,'f Excel formulas for calculatio'!A:H,3,FALSE)</f>
        <v>49</v>
      </c>
      <c r="D150" s="4" t="str">
        <f>VLOOKUP(A150,'f Excel formulas for calculatio'!A:H,4,FALSE)</f>
        <v>Female</v>
      </c>
      <c r="E150" s="4" t="str">
        <f>VLOOKUP(A150,'f Excel formulas for calculatio'!A:H,5,FALSE)</f>
        <v>Lake Nathanfort</v>
      </c>
      <c r="F150" s="4" t="str">
        <f>VLOOKUP(A150,'f Excel formulas for calculatio'!A:H,6,FALSE)</f>
        <v>Alaska</v>
      </c>
      <c r="G150" s="4" t="str">
        <f>VLOOKUP(A150,'f Excel formulas for calculatio'!A:H,7,FALSE)</f>
        <v>USA</v>
      </c>
      <c r="H150" s="4" t="str">
        <f>VLOOKUP(A150,'f Excel formulas for calculatio'!A:H,8,FALSE)</f>
        <v>Platinum</v>
      </c>
    </row>
    <row r="151" spans="1:8" x14ac:dyDescent="0.25">
      <c r="A151" s="9" t="s">
        <v>506</v>
      </c>
      <c r="B151" s="4" t="str">
        <f>VLOOKUP(A151,'f Excel formulas for calculatio'!A:H,2,FALSE)</f>
        <v>Theresa Campbell</v>
      </c>
      <c r="C151" s="4">
        <f>VLOOKUP(A151,'f Excel formulas for calculatio'!A:H,3,FALSE)</f>
        <v>42</v>
      </c>
      <c r="D151" s="4" t="str">
        <f>VLOOKUP(A151,'f Excel formulas for calculatio'!A:H,4,FALSE)</f>
        <v>Female</v>
      </c>
      <c r="E151" s="4" t="str">
        <f>VLOOKUP(A151,'f Excel formulas for calculatio'!A:H,5,FALSE)</f>
        <v>New Brian</v>
      </c>
      <c r="F151" s="4" t="str">
        <f>VLOOKUP(A151,'f Excel formulas for calculatio'!A:H,6,FALSE)</f>
        <v>Wisconsin</v>
      </c>
      <c r="G151" s="4" t="str">
        <f>VLOOKUP(A151,'f Excel formulas for calculatio'!A:H,7,FALSE)</f>
        <v>USA</v>
      </c>
      <c r="H151" s="4" t="str">
        <f>VLOOKUP(A151,'f Excel formulas for calculatio'!A:H,8,FALSE)</f>
        <v>Bronze</v>
      </c>
    </row>
    <row r="152" spans="1:8" x14ac:dyDescent="0.25">
      <c r="A152" s="4" t="s">
        <v>509</v>
      </c>
      <c r="B152" s="4" t="str">
        <f>VLOOKUP(A152,'f Excel formulas for calculatio'!A:H,2,FALSE)</f>
        <v>Denise Griffin</v>
      </c>
      <c r="C152" s="4">
        <f>VLOOKUP(A152,'f Excel formulas for calculatio'!A:H,3,FALSE)</f>
        <v>33</v>
      </c>
      <c r="D152" s="4" t="str">
        <f>VLOOKUP(A152,'f Excel formulas for calculatio'!A:H,4,FALSE)</f>
        <v>Male</v>
      </c>
      <c r="E152" s="4" t="str">
        <f>VLOOKUP(A152,'f Excel formulas for calculatio'!A:H,5,FALSE)</f>
        <v>West Markhaven</v>
      </c>
      <c r="F152" s="4" t="str">
        <f>VLOOKUP(A152,'f Excel formulas for calculatio'!A:H,6,FALSE)</f>
        <v>Florida</v>
      </c>
      <c r="G152" s="4" t="str">
        <f>VLOOKUP(A152,'f Excel formulas for calculatio'!A:H,7,FALSE)</f>
        <v>USA</v>
      </c>
      <c r="H152" s="4" t="str">
        <f>VLOOKUP(A152,'f Excel formulas for calculatio'!A:H,8,FALSE)</f>
        <v>Platinum</v>
      </c>
    </row>
    <row r="153" spans="1:8" x14ac:dyDescent="0.25">
      <c r="A153" s="9" t="s">
        <v>512</v>
      </c>
      <c r="B153" s="4" t="str">
        <f>VLOOKUP(A153,'f Excel formulas for calculatio'!A:H,2,FALSE)</f>
        <v>Stephanie Conway</v>
      </c>
      <c r="C153" s="4">
        <f>VLOOKUP(A153,'f Excel formulas for calculatio'!A:H,3,FALSE)</f>
        <v>24</v>
      </c>
      <c r="D153" s="4" t="str">
        <f>VLOOKUP(A153,'f Excel formulas for calculatio'!A:H,4,FALSE)</f>
        <v>Male</v>
      </c>
      <c r="E153" s="4" t="str">
        <f>VLOOKUP(A153,'f Excel formulas for calculatio'!A:H,5,FALSE)</f>
        <v>Port Frankmouth</v>
      </c>
      <c r="F153" s="4" t="str">
        <f>VLOOKUP(A153,'f Excel formulas for calculatio'!A:H,6,FALSE)</f>
        <v>Mississippi</v>
      </c>
      <c r="G153" s="4" t="str">
        <f>VLOOKUP(A153,'f Excel formulas for calculatio'!A:H,7,FALSE)</f>
        <v>USA</v>
      </c>
      <c r="H153" s="4" t="str">
        <f>VLOOKUP(A153,'f Excel formulas for calculatio'!A:H,8,FALSE)</f>
        <v>Gold</v>
      </c>
    </row>
    <row r="154" spans="1:8" x14ac:dyDescent="0.25">
      <c r="A154" s="4" t="s">
        <v>515</v>
      </c>
      <c r="B154" s="4" t="str">
        <f>VLOOKUP(A154,'f Excel formulas for calculatio'!A:H,2,FALSE)</f>
        <v>Michael Davies</v>
      </c>
      <c r="C154" s="4">
        <f>VLOOKUP(A154,'f Excel formulas for calculatio'!A:H,3,FALSE)</f>
        <v>25</v>
      </c>
      <c r="D154" s="4" t="str">
        <f>VLOOKUP(A154,'f Excel formulas for calculatio'!A:H,4,FALSE)</f>
        <v>Female</v>
      </c>
      <c r="E154" s="4" t="str">
        <f>VLOOKUP(A154,'f Excel formulas for calculatio'!A:H,5,FALSE)</f>
        <v>Lake Stevenfort</v>
      </c>
      <c r="F154" s="4" t="str">
        <f>VLOOKUP(A154,'f Excel formulas for calculatio'!A:H,6,FALSE)</f>
        <v>Oregon</v>
      </c>
      <c r="G154" s="4" t="str">
        <f>VLOOKUP(A154,'f Excel formulas for calculatio'!A:H,7,FALSE)</f>
        <v>USA</v>
      </c>
      <c r="H154" s="4" t="str">
        <f>VLOOKUP(A154,'f Excel formulas for calculatio'!A:H,8,FALSE)</f>
        <v>Gold</v>
      </c>
    </row>
    <row r="155" spans="1:8" x14ac:dyDescent="0.25">
      <c r="A155" s="9" t="s">
        <v>518</v>
      </c>
      <c r="B155" s="4" t="str">
        <f>VLOOKUP(A155,'f Excel formulas for calculatio'!A:H,2,FALSE)</f>
        <v>Patrick Roberts</v>
      </c>
      <c r="C155" s="4">
        <f>VLOOKUP(A155,'f Excel formulas for calculatio'!A:H,3,FALSE)</f>
        <v>41</v>
      </c>
      <c r="D155" s="4" t="str">
        <f>VLOOKUP(A155,'f Excel formulas for calculatio'!A:H,4,FALSE)</f>
        <v>Female</v>
      </c>
      <c r="E155" s="4" t="str">
        <f>VLOOKUP(A155,'f Excel formulas for calculatio'!A:H,5,FALSE)</f>
        <v>Jaredville</v>
      </c>
      <c r="F155" s="4" t="str">
        <f>VLOOKUP(A155,'f Excel formulas for calculatio'!A:H,6,FALSE)</f>
        <v>Missouri</v>
      </c>
      <c r="G155" s="4" t="str">
        <f>VLOOKUP(A155,'f Excel formulas for calculatio'!A:H,7,FALSE)</f>
        <v>USA</v>
      </c>
      <c r="H155" s="4" t="str">
        <f>VLOOKUP(A155,'f Excel formulas for calculatio'!A:H,8,FALSE)</f>
        <v>Platinum</v>
      </c>
    </row>
    <row r="156" spans="1:8" x14ac:dyDescent="0.25">
      <c r="A156" s="4" t="s">
        <v>521</v>
      </c>
      <c r="B156" s="4" t="str">
        <f>VLOOKUP(A156,'f Excel formulas for calculatio'!A:H,2,FALSE)</f>
        <v>Joseph Faulkner</v>
      </c>
      <c r="C156" s="4">
        <f>VLOOKUP(A156,'f Excel formulas for calculatio'!A:H,3,FALSE)</f>
        <v>31</v>
      </c>
      <c r="D156" s="4" t="str">
        <f>VLOOKUP(A156,'f Excel formulas for calculatio'!A:H,4,FALSE)</f>
        <v>Male</v>
      </c>
      <c r="E156" s="4" t="str">
        <f>VLOOKUP(A156,'f Excel formulas for calculatio'!A:H,5,FALSE)</f>
        <v>New Leahfurt</v>
      </c>
      <c r="F156" s="4" t="str">
        <f>VLOOKUP(A156,'f Excel formulas for calculatio'!A:H,6,FALSE)</f>
        <v>North Dakota</v>
      </c>
      <c r="G156" s="4" t="str">
        <f>VLOOKUP(A156,'f Excel formulas for calculatio'!A:H,7,FALSE)</f>
        <v>USA</v>
      </c>
      <c r="H156" s="4" t="str">
        <f>VLOOKUP(A156,'f Excel formulas for calculatio'!A:H,8,FALSE)</f>
        <v>Bronze</v>
      </c>
    </row>
    <row r="157" spans="1:8" x14ac:dyDescent="0.25">
      <c r="A157" s="9" t="s">
        <v>524</v>
      </c>
      <c r="B157" s="4" t="str">
        <f>VLOOKUP(A157,'f Excel formulas for calculatio'!A:H,2,FALSE)</f>
        <v>Julie Hale</v>
      </c>
      <c r="C157" s="4">
        <f>VLOOKUP(A157,'f Excel formulas for calculatio'!A:H,3,FALSE)</f>
        <v>35</v>
      </c>
      <c r="D157" s="4" t="str">
        <f>VLOOKUP(A157,'f Excel formulas for calculatio'!A:H,4,FALSE)</f>
        <v>Female</v>
      </c>
      <c r="E157" s="4" t="str">
        <f>VLOOKUP(A157,'f Excel formulas for calculatio'!A:H,5,FALSE)</f>
        <v>Owensview</v>
      </c>
      <c r="F157" s="4" t="str">
        <f>VLOOKUP(A157,'f Excel formulas for calculatio'!A:H,6,FALSE)</f>
        <v>Vermont</v>
      </c>
      <c r="G157" s="4" t="str">
        <f>VLOOKUP(A157,'f Excel formulas for calculatio'!A:H,7,FALSE)</f>
        <v>USA</v>
      </c>
      <c r="H157" s="4" t="str">
        <f>VLOOKUP(A157,'f Excel formulas for calculatio'!A:H,8,FALSE)</f>
        <v>Gold</v>
      </c>
    </row>
    <row r="158" spans="1:8" x14ac:dyDescent="0.25">
      <c r="A158" s="4" t="s">
        <v>527</v>
      </c>
      <c r="B158" s="4" t="str">
        <f>VLOOKUP(A158,'f Excel formulas for calculatio'!A:H,2,FALSE)</f>
        <v>Curtis Haynes</v>
      </c>
      <c r="C158" s="4">
        <f>VLOOKUP(A158,'f Excel formulas for calculatio'!A:H,3,FALSE)</f>
        <v>60</v>
      </c>
      <c r="D158" s="4" t="str">
        <f>VLOOKUP(A158,'f Excel formulas for calculatio'!A:H,4,FALSE)</f>
        <v>Female</v>
      </c>
      <c r="E158" s="4" t="str">
        <f>VLOOKUP(A158,'f Excel formulas for calculatio'!A:H,5,FALSE)</f>
        <v>Estradaside</v>
      </c>
      <c r="F158" s="4" t="str">
        <f>VLOOKUP(A158,'f Excel formulas for calculatio'!A:H,6,FALSE)</f>
        <v>Iowa</v>
      </c>
      <c r="G158" s="4" t="str">
        <f>VLOOKUP(A158,'f Excel formulas for calculatio'!A:H,7,FALSE)</f>
        <v>USA</v>
      </c>
      <c r="H158" s="4" t="str">
        <f>VLOOKUP(A158,'f Excel formulas for calculatio'!A:H,8,FALSE)</f>
        <v>Gold</v>
      </c>
    </row>
    <row r="159" spans="1:8" x14ac:dyDescent="0.25">
      <c r="A159" s="9" t="s">
        <v>530</v>
      </c>
      <c r="B159" s="4" t="str">
        <f>VLOOKUP(A159,'f Excel formulas for calculatio'!A:H,2,FALSE)</f>
        <v>Maria Sanchez</v>
      </c>
      <c r="C159" s="4">
        <f>VLOOKUP(A159,'f Excel formulas for calculatio'!A:H,3,FALSE)</f>
        <v>46</v>
      </c>
      <c r="D159" s="4" t="str">
        <f>VLOOKUP(A159,'f Excel formulas for calculatio'!A:H,4,FALSE)</f>
        <v>Male</v>
      </c>
      <c r="E159" s="4" t="str">
        <f>VLOOKUP(A159,'f Excel formulas for calculatio'!A:H,5,FALSE)</f>
        <v>East Peterbury</v>
      </c>
      <c r="F159" s="4" t="str">
        <f>VLOOKUP(A159,'f Excel formulas for calculatio'!A:H,6,FALSE)</f>
        <v>North Dakota</v>
      </c>
      <c r="G159" s="4" t="str">
        <f>VLOOKUP(A159,'f Excel formulas for calculatio'!A:H,7,FALSE)</f>
        <v>USA</v>
      </c>
      <c r="H159" s="4" t="str">
        <f>VLOOKUP(A159,'f Excel formulas for calculatio'!A:H,8,FALSE)</f>
        <v>Bronze</v>
      </c>
    </row>
    <row r="160" spans="1:8" x14ac:dyDescent="0.25">
      <c r="A160" s="4" t="s">
        <v>533</v>
      </c>
      <c r="B160" s="4" t="str">
        <f>VLOOKUP(A160,'f Excel formulas for calculatio'!A:H,2,FALSE)</f>
        <v>Paul Zamora</v>
      </c>
      <c r="C160" s="4">
        <f>VLOOKUP(A160,'f Excel formulas for calculatio'!A:H,3,FALSE)</f>
        <v>59</v>
      </c>
      <c r="D160" s="4" t="str">
        <f>VLOOKUP(A160,'f Excel formulas for calculatio'!A:H,4,FALSE)</f>
        <v>Male</v>
      </c>
      <c r="E160" s="4" t="str">
        <f>VLOOKUP(A160,'f Excel formulas for calculatio'!A:H,5,FALSE)</f>
        <v>North Larryfurt</v>
      </c>
      <c r="F160" s="4" t="str">
        <f>VLOOKUP(A160,'f Excel formulas for calculatio'!A:H,6,FALSE)</f>
        <v>North Dakota</v>
      </c>
      <c r="G160" s="4" t="str">
        <f>VLOOKUP(A160,'f Excel formulas for calculatio'!A:H,7,FALSE)</f>
        <v>USA</v>
      </c>
      <c r="H160" s="4" t="str">
        <f>VLOOKUP(A160,'f Excel formulas for calculatio'!A:H,8,FALSE)</f>
        <v>Platinum</v>
      </c>
    </row>
    <row r="161" spans="1:8" x14ac:dyDescent="0.25">
      <c r="A161" s="9" t="s">
        <v>536</v>
      </c>
      <c r="B161" s="4" t="str">
        <f>VLOOKUP(A161,'f Excel formulas for calculatio'!A:H,2,FALSE)</f>
        <v>Sean Powell</v>
      </c>
      <c r="C161" s="4">
        <f>VLOOKUP(A161,'f Excel formulas for calculatio'!A:H,3,FALSE)</f>
        <v>43</v>
      </c>
      <c r="D161" s="4" t="str">
        <f>VLOOKUP(A161,'f Excel formulas for calculatio'!A:H,4,FALSE)</f>
        <v>Male</v>
      </c>
      <c r="E161" s="4" t="str">
        <f>VLOOKUP(A161,'f Excel formulas for calculatio'!A:H,5,FALSE)</f>
        <v>South Kevin</v>
      </c>
      <c r="F161" s="4" t="str">
        <f>VLOOKUP(A161,'f Excel formulas for calculatio'!A:H,6,FALSE)</f>
        <v>Vermont</v>
      </c>
      <c r="G161" s="4" t="str">
        <f>VLOOKUP(A161,'f Excel formulas for calculatio'!A:H,7,FALSE)</f>
        <v>USA</v>
      </c>
      <c r="H161" s="4" t="str">
        <f>VLOOKUP(A161,'f Excel formulas for calculatio'!A:H,8,FALSE)</f>
        <v>Bronze</v>
      </c>
    </row>
    <row r="162" spans="1:8" x14ac:dyDescent="0.25">
      <c r="A162" s="4" t="s">
        <v>539</v>
      </c>
      <c r="B162" s="4" t="str">
        <f>VLOOKUP(A162,'f Excel formulas for calculatio'!A:H,2,FALSE)</f>
        <v>Brian Choi</v>
      </c>
      <c r="C162" s="4">
        <f>VLOOKUP(A162,'f Excel formulas for calculatio'!A:H,3,FALSE)</f>
        <v>46</v>
      </c>
      <c r="D162" s="4" t="str">
        <f>VLOOKUP(A162,'f Excel formulas for calculatio'!A:H,4,FALSE)</f>
        <v>Female</v>
      </c>
      <c r="E162" s="4" t="str">
        <f>VLOOKUP(A162,'f Excel formulas for calculatio'!A:H,5,FALSE)</f>
        <v>Floydton</v>
      </c>
      <c r="F162" s="4" t="str">
        <f>VLOOKUP(A162,'f Excel formulas for calculatio'!A:H,6,FALSE)</f>
        <v>New Jersey</v>
      </c>
      <c r="G162" s="4" t="str">
        <f>VLOOKUP(A162,'f Excel formulas for calculatio'!A:H,7,FALSE)</f>
        <v>USA</v>
      </c>
      <c r="H162" s="4" t="str">
        <f>VLOOKUP(A162,'f Excel formulas for calculatio'!A:H,8,FALSE)</f>
        <v>Gold</v>
      </c>
    </row>
    <row r="163" spans="1:8" x14ac:dyDescent="0.25">
      <c r="A163" s="9" t="s">
        <v>542</v>
      </c>
      <c r="B163" s="4" t="str">
        <f>VLOOKUP(A163,'f Excel formulas for calculatio'!A:H,2,FALSE)</f>
        <v>John Lawson</v>
      </c>
      <c r="C163" s="4">
        <f>VLOOKUP(A163,'f Excel formulas for calculatio'!A:H,3,FALSE)</f>
        <v>41</v>
      </c>
      <c r="D163" s="4" t="str">
        <f>VLOOKUP(A163,'f Excel formulas for calculatio'!A:H,4,FALSE)</f>
        <v>Female</v>
      </c>
      <c r="E163" s="4" t="str">
        <f>VLOOKUP(A163,'f Excel formulas for calculatio'!A:H,5,FALSE)</f>
        <v>New Juliemouth</v>
      </c>
      <c r="F163" s="4" t="str">
        <f>VLOOKUP(A163,'f Excel formulas for calculatio'!A:H,6,FALSE)</f>
        <v>North Carolina</v>
      </c>
      <c r="G163" s="4" t="str">
        <f>VLOOKUP(A163,'f Excel formulas for calculatio'!A:H,7,FALSE)</f>
        <v>USA</v>
      </c>
      <c r="H163" s="4" t="str">
        <f>VLOOKUP(A163,'f Excel formulas for calculatio'!A:H,8,FALSE)</f>
        <v>Platinum</v>
      </c>
    </row>
    <row r="164" spans="1:8" x14ac:dyDescent="0.25">
      <c r="A164" s="4" t="s">
        <v>545</v>
      </c>
      <c r="B164" s="4" t="str">
        <f>VLOOKUP(A164,'f Excel formulas for calculatio'!A:H,2,FALSE)</f>
        <v>Cynthia Morris</v>
      </c>
      <c r="C164" s="4">
        <f>VLOOKUP(A164,'f Excel formulas for calculatio'!A:H,3,FALSE)</f>
        <v>18</v>
      </c>
      <c r="D164" s="4" t="str">
        <f>VLOOKUP(A164,'f Excel formulas for calculatio'!A:H,4,FALSE)</f>
        <v>Female</v>
      </c>
      <c r="E164" s="4" t="str">
        <f>VLOOKUP(A164,'f Excel formulas for calculatio'!A:H,5,FALSE)</f>
        <v>Hessmouth</v>
      </c>
      <c r="F164" s="4" t="str">
        <f>VLOOKUP(A164,'f Excel formulas for calculatio'!A:H,6,FALSE)</f>
        <v>Arizona</v>
      </c>
      <c r="G164" s="4" t="str">
        <f>VLOOKUP(A164,'f Excel formulas for calculatio'!A:H,7,FALSE)</f>
        <v>USA</v>
      </c>
      <c r="H164" s="4" t="str">
        <f>VLOOKUP(A164,'f Excel formulas for calculatio'!A:H,8,FALSE)</f>
        <v>Silver</v>
      </c>
    </row>
    <row r="165" spans="1:8" x14ac:dyDescent="0.25">
      <c r="A165" s="9" t="s">
        <v>548</v>
      </c>
      <c r="B165" s="4" t="str">
        <f>VLOOKUP(A165,'f Excel formulas for calculatio'!A:H,2,FALSE)</f>
        <v>Mariah Brown</v>
      </c>
      <c r="C165" s="4">
        <f>VLOOKUP(A165,'f Excel formulas for calculatio'!A:H,3,FALSE)</f>
        <v>37</v>
      </c>
      <c r="D165" s="4" t="str">
        <f>VLOOKUP(A165,'f Excel formulas for calculatio'!A:H,4,FALSE)</f>
        <v>Male</v>
      </c>
      <c r="E165" s="4" t="str">
        <f>VLOOKUP(A165,'f Excel formulas for calculatio'!A:H,5,FALSE)</f>
        <v>Palmerbury</v>
      </c>
      <c r="F165" s="4" t="str">
        <f>VLOOKUP(A165,'f Excel formulas for calculatio'!A:H,6,FALSE)</f>
        <v>Tennessee</v>
      </c>
      <c r="G165" s="4" t="str">
        <f>VLOOKUP(A165,'f Excel formulas for calculatio'!A:H,7,FALSE)</f>
        <v>United States of America</v>
      </c>
      <c r="H165" s="4" t="str">
        <f>VLOOKUP(A165,'f Excel formulas for calculatio'!A:H,8,FALSE)</f>
        <v>Silver</v>
      </c>
    </row>
    <row r="166" spans="1:8" x14ac:dyDescent="0.25">
      <c r="A166" s="4" t="s">
        <v>551</v>
      </c>
      <c r="B166" s="4" t="str">
        <f>VLOOKUP(A166,'f Excel formulas for calculatio'!A:H,2,FALSE)</f>
        <v>Joseph Jones</v>
      </c>
      <c r="C166" s="4">
        <f>VLOOKUP(A166,'f Excel formulas for calculatio'!A:H,3,FALSE)</f>
        <v>21</v>
      </c>
      <c r="D166" s="4" t="str">
        <f>VLOOKUP(A166,'f Excel formulas for calculatio'!A:H,4,FALSE)</f>
        <v>Male</v>
      </c>
      <c r="E166" s="4" t="str">
        <f>VLOOKUP(A166,'f Excel formulas for calculatio'!A:H,5,FALSE)</f>
        <v>North Matthew</v>
      </c>
      <c r="F166" s="4" t="str">
        <f>VLOOKUP(A166,'f Excel formulas for calculatio'!A:H,6,FALSE)</f>
        <v>Illinois</v>
      </c>
      <c r="G166" s="4" t="str">
        <f>VLOOKUP(A166,'f Excel formulas for calculatio'!A:H,7,FALSE)</f>
        <v>USA</v>
      </c>
      <c r="H166" s="4" t="str">
        <f>VLOOKUP(A166,'f Excel formulas for calculatio'!A:H,8,FALSE)</f>
        <v>Bronze</v>
      </c>
    </row>
    <row r="167" spans="1:8" x14ac:dyDescent="0.25">
      <c r="A167" s="9" t="s">
        <v>554</v>
      </c>
      <c r="B167" s="4" t="str">
        <f>VLOOKUP(A167,'f Excel formulas for calculatio'!A:H,2,FALSE)</f>
        <v>Daniel Rivas</v>
      </c>
      <c r="C167" s="4">
        <f>VLOOKUP(A167,'f Excel formulas for calculatio'!A:H,3,FALSE)</f>
        <v>39</v>
      </c>
      <c r="D167" s="4" t="str">
        <f>VLOOKUP(A167,'f Excel formulas for calculatio'!A:H,4,FALSE)</f>
        <v>Female</v>
      </c>
      <c r="E167" s="4" t="str">
        <f>VLOOKUP(A167,'f Excel formulas for calculatio'!A:H,5,FALSE)</f>
        <v>Dominiquefort</v>
      </c>
      <c r="F167" s="4" t="str">
        <f>VLOOKUP(A167,'f Excel formulas for calculatio'!A:H,6,FALSE)</f>
        <v>Georgia</v>
      </c>
      <c r="G167" s="4" t="str">
        <f>VLOOKUP(A167,'f Excel formulas for calculatio'!A:H,7,FALSE)</f>
        <v>USA</v>
      </c>
      <c r="H167" s="4" t="str">
        <f>VLOOKUP(A167,'f Excel formulas for calculatio'!A:H,8,FALSE)</f>
        <v>Silver</v>
      </c>
    </row>
    <row r="168" spans="1:8" x14ac:dyDescent="0.25">
      <c r="A168" s="4" t="s">
        <v>557</v>
      </c>
      <c r="B168" s="4" t="str">
        <f>VLOOKUP(A168,'f Excel formulas for calculatio'!A:H,2,FALSE)</f>
        <v>Jason Wheeler</v>
      </c>
      <c r="C168" s="4">
        <f>VLOOKUP(A168,'f Excel formulas for calculatio'!A:H,3,FALSE)</f>
        <v>47</v>
      </c>
      <c r="D168" s="4" t="str">
        <f>VLOOKUP(A168,'f Excel formulas for calculatio'!A:H,4,FALSE)</f>
        <v>Female</v>
      </c>
      <c r="E168" s="4" t="str">
        <f>VLOOKUP(A168,'f Excel formulas for calculatio'!A:H,5,FALSE)</f>
        <v>Carolview</v>
      </c>
      <c r="F168" s="4" t="str">
        <f>VLOOKUP(A168,'f Excel formulas for calculatio'!A:H,6,FALSE)</f>
        <v>Illinois</v>
      </c>
      <c r="G168" s="4" t="str">
        <f>VLOOKUP(A168,'f Excel formulas for calculatio'!A:H,7,FALSE)</f>
        <v>USA</v>
      </c>
      <c r="H168" s="4" t="str">
        <f>VLOOKUP(A168,'f Excel formulas for calculatio'!A:H,8,FALSE)</f>
        <v>Platinum</v>
      </c>
    </row>
    <row r="169" spans="1:8" x14ac:dyDescent="0.25">
      <c r="A169" s="9" t="s">
        <v>560</v>
      </c>
      <c r="B169" s="4" t="str">
        <f>VLOOKUP(A169,'f Excel formulas for calculatio'!A:H,2,FALSE)</f>
        <v>Patricia Gardner</v>
      </c>
      <c r="C169" s="4">
        <f>VLOOKUP(A169,'f Excel formulas for calculatio'!A:H,3,FALSE)</f>
        <v>25</v>
      </c>
      <c r="D169" s="4" t="str">
        <f>VLOOKUP(A169,'f Excel formulas for calculatio'!A:H,4,FALSE)</f>
        <v>Female</v>
      </c>
      <c r="E169" s="4" t="str">
        <f>VLOOKUP(A169,'f Excel formulas for calculatio'!A:H,5,FALSE)</f>
        <v>South Ashleyton</v>
      </c>
      <c r="F169" s="4" t="str">
        <f>VLOOKUP(A169,'f Excel formulas for calculatio'!A:H,6,FALSE)</f>
        <v>Michigan</v>
      </c>
      <c r="G169" s="4" t="str">
        <f>VLOOKUP(A169,'f Excel formulas for calculatio'!A:H,7,FALSE)</f>
        <v>USA</v>
      </c>
      <c r="H169" s="4" t="str">
        <f>VLOOKUP(A169,'f Excel formulas for calculatio'!A:H,8,FALSE)</f>
        <v>Silver</v>
      </c>
    </row>
    <row r="170" spans="1:8" x14ac:dyDescent="0.25">
      <c r="A170" s="4" t="s">
        <v>563</v>
      </c>
      <c r="B170" s="4" t="str">
        <f>VLOOKUP(A170,'f Excel formulas for calculatio'!A:H,2,FALSE)</f>
        <v>Antonio Wade</v>
      </c>
      <c r="C170" s="4">
        <f>VLOOKUP(A170,'f Excel formulas for calculatio'!A:H,3,FALSE)</f>
        <v>36</v>
      </c>
      <c r="D170" s="4" t="str">
        <f>VLOOKUP(A170,'f Excel formulas for calculatio'!A:H,4,FALSE)</f>
        <v>Female</v>
      </c>
      <c r="E170" s="4" t="str">
        <f>VLOOKUP(A170,'f Excel formulas for calculatio'!A:H,5,FALSE)</f>
        <v>New Jasonmouth</v>
      </c>
      <c r="F170" s="4" t="str">
        <f>VLOOKUP(A170,'f Excel formulas for calculatio'!A:H,6,FALSE)</f>
        <v>Tennessee</v>
      </c>
      <c r="G170" s="4" t="str">
        <f>VLOOKUP(A170,'f Excel formulas for calculatio'!A:H,7,FALSE)</f>
        <v>USA</v>
      </c>
      <c r="H170" s="4" t="str">
        <f>VLOOKUP(A170,'f Excel formulas for calculatio'!A:H,8,FALSE)</f>
        <v>Gold</v>
      </c>
    </row>
    <row r="171" spans="1:8" x14ac:dyDescent="0.25">
      <c r="A171" s="9" t="s">
        <v>566</v>
      </c>
      <c r="B171" s="4" t="str">
        <f>VLOOKUP(A171,'f Excel formulas for calculatio'!A:H,2,FALSE)</f>
        <v>Daniel Contreras</v>
      </c>
      <c r="C171" s="4">
        <f>VLOOKUP(A171,'f Excel formulas for calculatio'!A:H,3,FALSE)</f>
        <v>36</v>
      </c>
      <c r="D171" s="4" t="str">
        <f>VLOOKUP(A171,'f Excel formulas for calculatio'!A:H,4,FALSE)</f>
        <v>Female</v>
      </c>
      <c r="E171" s="4" t="str">
        <f>VLOOKUP(A171,'f Excel formulas for calculatio'!A:H,5,FALSE)</f>
        <v>Robertview</v>
      </c>
      <c r="F171" s="4" t="str">
        <f>VLOOKUP(A171,'f Excel formulas for calculatio'!A:H,6,FALSE)</f>
        <v>Florida</v>
      </c>
      <c r="G171" s="4" t="str">
        <f>VLOOKUP(A171,'f Excel formulas for calculatio'!A:H,7,FALSE)</f>
        <v>USA</v>
      </c>
      <c r="H171" s="4" t="str">
        <f>VLOOKUP(A171,'f Excel formulas for calculatio'!A:H,8,FALSE)</f>
        <v>Platinum</v>
      </c>
    </row>
    <row r="172" spans="1:8" x14ac:dyDescent="0.25">
      <c r="A172" s="4" t="s">
        <v>569</v>
      </c>
      <c r="B172" s="4" t="str">
        <f>VLOOKUP(A172,'f Excel formulas for calculatio'!A:H,2,FALSE)</f>
        <v>Steve Mclaughlin</v>
      </c>
      <c r="C172" s="4">
        <f>VLOOKUP(A172,'f Excel formulas for calculatio'!A:H,3,FALSE)</f>
        <v>64</v>
      </c>
      <c r="D172" s="4" t="str">
        <f>VLOOKUP(A172,'f Excel formulas for calculatio'!A:H,4,FALSE)</f>
        <v>Male</v>
      </c>
      <c r="E172" s="4" t="str">
        <f>VLOOKUP(A172,'f Excel formulas for calculatio'!A:H,5,FALSE)</f>
        <v>Josephmouth</v>
      </c>
      <c r="F172" s="4" t="str">
        <f>VLOOKUP(A172,'f Excel formulas for calculatio'!A:H,6,FALSE)</f>
        <v>New Hampshire</v>
      </c>
      <c r="G172" s="4" t="str">
        <f>VLOOKUP(A172,'f Excel formulas for calculatio'!A:H,7,FALSE)</f>
        <v>USA</v>
      </c>
      <c r="H172" s="4" t="str">
        <f>VLOOKUP(A172,'f Excel formulas for calculatio'!A:H,8,FALSE)</f>
        <v>Bronze</v>
      </c>
    </row>
    <row r="173" spans="1:8" x14ac:dyDescent="0.25">
      <c r="A173" s="9" t="s">
        <v>572</v>
      </c>
      <c r="B173" s="4" t="str">
        <f>VLOOKUP(A173,'f Excel formulas for calculatio'!A:H,2,FALSE)</f>
        <v>Christopher Garcia DDS</v>
      </c>
      <c r="C173" s="4">
        <f>VLOOKUP(A173,'f Excel formulas for calculatio'!A:H,3,FALSE)</f>
        <v>18</v>
      </c>
      <c r="D173" s="4" t="str">
        <f>VLOOKUP(A173,'f Excel formulas for calculatio'!A:H,4,FALSE)</f>
        <v>Male</v>
      </c>
      <c r="E173" s="4" t="str">
        <f>VLOOKUP(A173,'f Excel formulas for calculatio'!A:H,5,FALSE)</f>
        <v>New Joseph</v>
      </c>
      <c r="F173" s="4" t="str">
        <f>VLOOKUP(A173,'f Excel formulas for calculatio'!A:H,6,FALSE)</f>
        <v>Missouri</v>
      </c>
      <c r="G173" s="4" t="str">
        <f>VLOOKUP(A173,'f Excel formulas for calculatio'!A:H,7,FALSE)</f>
        <v>USA</v>
      </c>
      <c r="H173" s="4" t="str">
        <f>VLOOKUP(A173,'f Excel formulas for calculatio'!A:H,8,FALSE)</f>
        <v>Gold</v>
      </c>
    </row>
    <row r="174" spans="1:8" x14ac:dyDescent="0.25">
      <c r="A174" s="4" t="s">
        <v>575</v>
      </c>
      <c r="B174" s="4" t="str">
        <f>VLOOKUP(A174,'f Excel formulas for calculatio'!A:H,2,FALSE)</f>
        <v>Amy Wilson</v>
      </c>
      <c r="C174" s="4">
        <f>VLOOKUP(A174,'f Excel formulas for calculatio'!A:H,3,FALSE)</f>
        <v>44</v>
      </c>
      <c r="D174" s="4" t="str">
        <f>VLOOKUP(A174,'f Excel formulas for calculatio'!A:H,4,FALSE)</f>
        <v>Female</v>
      </c>
      <c r="E174" s="4" t="str">
        <f>VLOOKUP(A174,'f Excel formulas for calculatio'!A:H,5,FALSE)</f>
        <v>Morrisburgh</v>
      </c>
      <c r="F174" s="4" t="str">
        <f>VLOOKUP(A174,'f Excel formulas for calculatio'!A:H,6,FALSE)</f>
        <v>Indiana</v>
      </c>
      <c r="G174" s="4" t="str">
        <f>VLOOKUP(A174,'f Excel formulas for calculatio'!A:H,7,FALSE)</f>
        <v>USA</v>
      </c>
      <c r="H174" s="4" t="str">
        <f>VLOOKUP(A174,'f Excel formulas for calculatio'!A:H,8,FALSE)</f>
        <v>Platinum</v>
      </c>
    </row>
    <row r="175" spans="1:8" x14ac:dyDescent="0.25">
      <c r="A175" s="9" t="s">
        <v>578</v>
      </c>
      <c r="B175" s="4" t="str">
        <f>VLOOKUP(A175,'f Excel formulas for calculatio'!A:H,2,FALSE)</f>
        <v>Thomas Rhodes</v>
      </c>
      <c r="C175" s="4">
        <f>VLOOKUP(A175,'f Excel formulas for calculatio'!A:H,3,FALSE)</f>
        <v>41</v>
      </c>
      <c r="D175" s="4" t="str">
        <f>VLOOKUP(A175,'f Excel formulas for calculatio'!A:H,4,FALSE)</f>
        <v>Female</v>
      </c>
      <c r="E175" s="4" t="str">
        <f>VLOOKUP(A175,'f Excel formulas for calculatio'!A:H,5,FALSE)</f>
        <v>Port Richard</v>
      </c>
      <c r="F175" s="4" t="str">
        <f>VLOOKUP(A175,'f Excel formulas for calculatio'!A:H,6,FALSE)</f>
        <v>West Virginia</v>
      </c>
      <c r="G175" s="4" t="str">
        <f>VLOOKUP(A175,'f Excel formulas for calculatio'!A:H,7,FALSE)</f>
        <v>USA</v>
      </c>
      <c r="H175" s="4" t="str">
        <f>VLOOKUP(A175,'f Excel formulas for calculatio'!A:H,8,FALSE)</f>
        <v>Bronze</v>
      </c>
    </row>
    <row r="176" spans="1:8" x14ac:dyDescent="0.25">
      <c r="A176" s="4" t="s">
        <v>581</v>
      </c>
      <c r="B176" s="4" t="str">
        <f>VLOOKUP(A176,'f Excel formulas for calculatio'!A:H,2,FALSE)</f>
        <v>Teresa Stokes</v>
      </c>
      <c r="C176" s="4">
        <f>VLOOKUP(A176,'f Excel formulas for calculatio'!A:H,3,FALSE)</f>
        <v>41</v>
      </c>
      <c r="D176" s="4" t="str">
        <f>VLOOKUP(A176,'f Excel formulas for calculatio'!A:H,4,FALSE)</f>
        <v>Female</v>
      </c>
      <c r="E176" s="4" t="str">
        <f>VLOOKUP(A176,'f Excel formulas for calculatio'!A:H,5,FALSE)</f>
        <v>New William</v>
      </c>
      <c r="F176" s="4" t="str">
        <f>VLOOKUP(A176,'f Excel formulas for calculatio'!A:H,6,FALSE)</f>
        <v>Iowa</v>
      </c>
      <c r="G176" s="4" t="str">
        <f>VLOOKUP(A176,'f Excel formulas for calculatio'!A:H,7,FALSE)</f>
        <v>usa</v>
      </c>
      <c r="H176" s="4" t="str">
        <f>VLOOKUP(A176,'f Excel formulas for calculatio'!A:H,8,FALSE)</f>
        <v>Platinum</v>
      </c>
    </row>
    <row r="177" spans="1:8" x14ac:dyDescent="0.25">
      <c r="A177" s="9" t="s">
        <v>584</v>
      </c>
      <c r="B177" s="4" t="str">
        <f>VLOOKUP(A177,'f Excel formulas for calculatio'!A:H,2,FALSE)</f>
        <v>Maria Davis</v>
      </c>
      <c r="C177" s="4">
        <f>VLOOKUP(A177,'f Excel formulas for calculatio'!A:H,3,FALSE)</f>
        <v>26</v>
      </c>
      <c r="D177" s="4" t="str">
        <f>VLOOKUP(A177,'f Excel formulas for calculatio'!A:H,4,FALSE)</f>
        <v>Female</v>
      </c>
      <c r="E177" s="4" t="str">
        <f>VLOOKUP(A177,'f Excel formulas for calculatio'!A:H,5,FALSE)</f>
        <v>Avilahaven</v>
      </c>
      <c r="F177" s="4" t="str">
        <f>VLOOKUP(A177,'f Excel formulas for calculatio'!A:H,6,FALSE)</f>
        <v>Vermont</v>
      </c>
      <c r="G177" s="4" t="str">
        <f>VLOOKUP(A177,'f Excel formulas for calculatio'!A:H,7,FALSE)</f>
        <v>USA</v>
      </c>
      <c r="H177" s="4" t="str">
        <f>VLOOKUP(A177,'f Excel formulas for calculatio'!A:H,8,FALSE)</f>
        <v>Gold</v>
      </c>
    </row>
    <row r="178" spans="1:8" x14ac:dyDescent="0.25">
      <c r="A178" s="4" t="s">
        <v>587</v>
      </c>
      <c r="B178" s="4" t="str">
        <f>VLOOKUP(A178,'f Excel formulas for calculatio'!A:H,2,FALSE)</f>
        <v>Michelle Rogers</v>
      </c>
      <c r="C178" s="4">
        <f>VLOOKUP(A178,'f Excel formulas for calculatio'!A:H,3,FALSE)</f>
        <v>56</v>
      </c>
      <c r="D178" s="4" t="str">
        <f>VLOOKUP(A178,'f Excel formulas for calculatio'!A:H,4,FALSE)</f>
        <v>Male</v>
      </c>
      <c r="E178" s="4" t="str">
        <f>VLOOKUP(A178,'f Excel formulas for calculatio'!A:H,5,FALSE)</f>
        <v>East Jessicaborough</v>
      </c>
      <c r="F178" s="4" t="str">
        <f>VLOOKUP(A178,'f Excel formulas for calculatio'!A:H,6,FALSE)</f>
        <v>Hawaii</v>
      </c>
      <c r="G178" s="4" t="str">
        <f>VLOOKUP(A178,'f Excel formulas for calculatio'!A:H,7,FALSE)</f>
        <v>USA</v>
      </c>
      <c r="H178" s="4" t="str">
        <f>VLOOKUP(A178,'f Excel formulas for calculatio'!A:H,8,FALSE)</f>
        <v>Platinum</v>
      </c>
    </row>
    <row r="179" spans="1:8" x14ac:dyDescent="0.25">
      <c r="A179" s="9" t="s">
        <v>590</v>
      </c>
      <c r="B179" s="4" t="str">
        <f>VLOOKUP(A179,'f Excel formulas for calculatio'!A:H,2,FALSE)</f>
        <v>John Bradford</v>
      </c>
      <c r="C179" s="4">
        <f>VLOOKUP(A179,'f Excel formulas for calculatio'!A:H,3,FALSE)</f>
        <v>48</v>
      </c>
      <c r="D179" s="4" t="str">
        <f>VLOOKUP(A179,'f Excel formulas for calculatio'!A:H,4,FALSE)</f>
        <v>Male</v>
      </c>
      <c r="E179" s="4" t="str">
        <f>VLOOKUP(A179,'f Excel formulas for calculatio'!A:H,5,FALSE)</f>
        <v>Anabury</v>
      </c>
      <c r="F179" s="4" t="str">
        <f>VLOOKUP(A179,'f Excel formulas for calculatio'!A:H,6,FALSE)</f>
        <v>Vermont</v>
      </c>
      <c r="G179" s="4" t="str">
        <f>VLOOKUP(A179,'f Excel formulas for calculatio'!A:H,7,FALSE)</f>
        <v>USA</v>
      </c>
      <c r="H179" s="4" t="str">
        <f>VLOOKUP(A179,'f Excel formulas for calculatio'!A:H,8,FALSE)</f>
        <v>Silver</v>
      </c>
    </row>
    <row r="180" spans="1:8" x14ac:dyDescent="0.25">
      <c r="A180" s="4" t="s">
        <v>593</v>
      </c>
      <c r="B180" s="4" t="str">
        <f>VLOOKUP(A180,'f Excel formulas for calculatio'!A:H,2,FALSE)</f>
        <v>Curtis Lam</v>
      </c>
      <c r="C180" s="4">
        <f>VLOOKUP(A180,'f Excel formulas for calculatio'!A:H,3,FALSE)</f>
        <v>55</v>
      </c>
      <c r="D180" s="4" t="str">
        <f>VLOOKUP(A180,'f Excel formulas for calculatio'!A:H,4,FALSE)</f>
        <v>Male</v>
      </c>
      <c r="E180" s="4" t="str">
        <f>VLOOKUP(A180,'f Excel formulas for calculatio'!A:H,5,FALSE)</f>
        <v>Butlerberg</v>
      </c>
      <c r="F180" s="4" t="str">
        <f>VLOOKUP(A180,'f Excel formulas for calculatio'!A:H,6,FALSE)</f>
        <v>Kentucky</v>
      </c>
      <c r="G180" s="4" t="str">
        <f>VLOOKUP(A180,'f Excel formulas for calculatio'!A:H,7,FALSE)</f>
        <v>USA</v>
      </c>
      <c r="H180" s="4" t="str">
        <f>VLOOKUP(A180,'f Excel formulas for calculatio'!A:H,8,FALSE)</f>
        <v>Platinum</v>
      </c>
    </row>
    <row r="181" spans="1:8" x14ac:dyDescent="0.25">
      <c r="A181" s="9" t="s">
        <v>597</v>
      </c>
      <c r="B181" s="4" t="str">
        <f>VLOOKUP(A181,'f Excel formulas for calculatio'!A:H,2,FALSE)</f>
        <v>Michelle Myers</v>
      </c>
      <c r="C181" s="4">
        <f>VLOOKUP(A181,'f Excel formulas for calculatio'!A:H,3,FALSE)</f>
        <v>33</v>
      </c>
      <c r="D181" s="4" t="str">
        <f>VLOOKUP(A181,'f Excel formulas for calculatio'!A:H,4,FALSE)</f>
        <v>Female</v>
      </c>
      <c r="E181" s="4" t="str">
        <f>VLOOKUP(A181,'f Excel formulas for calculatio'!A:H,5,FALSE)</f>
        <v>West Daniel</v>
      </c>
      <c r="F181" s="4" t="str">
        <f>VLOOKUP(A181,'f Excel formulas for calculatio'!A:H,6,FALSE)</f>
        <v>South Carolina</v>
      </c>
      <c r="G181" s="4" t="str">
        <f>VLOOKUP(A181,'f Excel formulas for calculatio'!A:H,7,FALSE)</f>
        <v>USA</v>
      </c>
      <c r="H181" s="4" t="str">
        <f>VLOOKUP(A181,'f Excel formulas for calculatio'!A:H,8,FALSE)</f>
        <v>Bronze</v>
      </c>
    </row>
    <row r="182" spans="1:8" x14ac:dyDescent="0.25">
      <c r="A182" s="4" t="s">
        <v>600</v>
      </c>
      <c r="B182" s="4" t="str">
        <f>VLOOKUP(A182,'f Excel formulas for calculatio'!A:H,2,FALSE)</f>
        <v>Nicholas Bradshaw</v>
      </c>
      <c r="C182" s="4">
        <f>VLOOKUP(A182,'f Excel formulas for calculatio'!A:H,3,FALSE)</f>
        <v>43</v>
      </c>
      <c r="D182" s="4" t="str">
        <f>VLOOKUP(A182,'f Excel formulas for calculatio'!A:H,4,FALSE)</f>
        <v>Female</v>
      </c>
      <c r="E182" s="4" t="str">
        <f>VLOOKUP(A182,'f Excel formulas for calculatio'!A:H,5,FALSE)</f>
        <v>Murphyfurt</v>
      </c>
      <c r="F182" s="4" t="str">
        <f>VLOOKUP(A182,'f Excel formulas for calculatio'!A:H,6,FALSE)</f>
        <v>Utah</v>
      </c>
      <c r="G182" s="4" t="str">
        <f>VLOOKUP(A182,'f Excel formulas for calculatio'!A:H,7,FALSE)</f>
        <v>USA</v>
      </c>
      <c r="H182" s="4" t="str">
        <f>VLOOKUP(A182,'f Excel formulas for calculatio'!A:H,8,FALSE)</f>
        <v>Silver</v>
      </c>
    </row>
    <row r="183" spans="1:8" x14ac:dyDescent="0.25">
      <c r="A183" s="9" t="s">
        <v>603</v>
      </c>
      <c r="B183" s="4" t="str">
        <f>VLOOKUP(A183,'f Excel formulas for calculatio'!A:H,2,FALSE)</f>
        <v>Wesley Thompson</v>
      </c>
      <c r="C183" s="4">
        <f>VLOOKUP(A183,'f Excel formulas for calculatio'!A:H,3,FALSE)</f>
        <v>38</v>
      </c>
      <c r="D183" s="4" t="str">
        <f>VLOOKUP(A183,'f Excel formulas for calculatio'!A:H,4,FALSE)</f>
        <v>Male</v>
      </c>
      <c r="E183" s="4" t="str">
        <f>VLOOKUP(A183,'f Excel formulas for calculatio'!A:H,5,FALSE)</f>
        <v>East Davidmouth</v>
      </c>
      <c r="F183" s="4" t="str">
        <f>VLOOKUP(A183,'f Excel formulas for calculatio'!A:H,6,FALSE)</f>
        <v>Maine</v>
      </c>
      <c r="G183" s="4" t="str">
        <f>VLOOKUP(A183,'f Excel formulas for calculatio'!A:H,7,FALSE)</f>
        <v>USA</v>
      </c>
      <c r="H183" s="4" t="str">
        <f>VLOOKUP(A183,'f Excel formulas for calculatio'!A:H,8,FALSE)</f>
        <v>Bronze</v>
      </c>
    </row>
    <row r="184" spans="1:8" x14ac:dyDescent="0.25">
      <c r="A184" s="4" t="s">
        <v>606</v>
      </c>
      <c r="B184" s="4" t="str">
        <f>VLOOKUP(A184,'f Excel formulas for calculatio'!A:H,2,FALSE)</f>
        <v>Erin Ward</v>
      </c>
      <c r="C184" s="4">
        <f>VLOOKUP(A184,'f Excel formulas for calculatio'!A:H,3,FALSE)</f>
        <v>60</v>
      </c>
      <c r="D184" s="4" t="str">
        <f>VLOOKUP(A184,'f Excel formulas for calculatio'!A:H,4,FALSE)</f>
        <v>Male</v>
      </c>
      <c r="E184" s="4" t="str">
        <f>VLOOKUP(A184,'f Excel formulas for calculatio'!A:H,5,FALSE)</f>
        <v>New Brianchester</v>
      </c>
      <c r="F184" s="4" t="str">
        <f>VLOOKUP(A184,'f Excel formulas for calculatio'!A:H,6,FALSE)</f>
        <v>New York</v>
      </c>
      <c r="G184" s="4" t="str">
        <f>VLOOKUP(A184,'f Excel formulas for calculatio'!A:H,7,FALSE)</f>
        <v>USA</v>
      </c>
      <c r="H184" s="4" t="str">
        <f>VLOOKUP(A184,'f Excel formulas for calculatio'!A:H,8,FALSE)</f>
        <v>Bronze</v>
      </c>
    </row>
    <row r="185" spans="1:8" x14ac:dyDescent="0.25">
      <c r="A185" s="9" t="s">
        <v>609</v>
      </c>
      <c r="B185" s="4" t="str">
        <f>VLOOKUP(A185,'f Excel formulas for calculatio'!A:H,2,FALSE)</f>
        <v>Melissa Hamilton</v>
      </c>
      <c r="C185" s="4">
        <f>VLOOKUP(A185,'f Excel formulas for calculatio'!A:H,3,FALSE)</f>
        <v>23</v>
      </c>
      <c r="D185" s="4" t="str">
        <f>VLOOKUP(A185,'f Excel formulas for calculatio'!A:H,4,FALSE)</f>
        <v>Female</v>
      </c>
      <c r="E185" s="4" t="str">
        <f>VLOOKUP(A185,'f Excel formulas for calculatio'!A:H,5,FALSE)</f>
        <v>Hutchinsonville</v>
      </c>
      <c r="F185" s="4" t="str">
        <f>VLOOKUP(A185,'f Excel formulas for calculatio'!A:H,6,FALSE)</f>
        <v>Oklahoma</v>
      </c>
      <c r="G185" s="4" t="str">
        <f>VLOOKUP(A185,'f Excel formulas for calculatio'!A:H,7,FALSE)</f>
        <v>USA</v>
      </c>
      <c r="H185" s="4" t="str">
        <f>VLOOKUP(A185,'f Excel formulas for calculatio'!A:H,8,FALSE)</f>
        <v>Silver</v>
      </c>
    </row>
    <row r="186" spans="1:8" x14ac:dyDescent="0.25">
      <c r="A186" s="4" t="s">
        <v>612</v>
      </c>
      <c r="B186" s="4" t="str">
        <f>VLOOKUP(A186,'f Excel formulas for calculatio'!A:H,2,FALSE)</f>
        <v>Mario Jacobs</v>
      </c>
      <c r="C186" s="4">
        <f>VLOOKUP(A186,'f Excel formulas for calculatio'!A:H,3,FALSE)</f>
        <v>18</v>
      </c>
      <c r="D186" s="4" t="str">
        <f>VLOOKUP(A186,'f Excel formulas for calculatio'!A:H,4,FALSE)</f>
        <v>Male</v>
      </c>
      <c r="E186" s="4" t="str">
        <f>VLOOKUP(A186,'f Excel formulas for calculatio'!A:H,5,FALSE)</f>
        <v>Port James</v>
      </c>
      <c r="F186" s="4" t="str">
        <f>VLOOKUP(A186,'f Excel formulas for calculatio'!A:H,6,FALSE)</f>
        <v>New York</v>
      </c>
      <c r="G186" s="4" t="str">
        <f>VLOOKUP(A186,'f Excel formulas for calculatio'!A:H,7,FALSE)</f>
        <v>USA</v>
      </c>
      <c r="H186" s="4" t="str">
        <f>VLOOKUP(A186,'f Excel formulas for calculatio'!A:H,8,FALSE)</f>
        <v>Platinum</v>
      </c>
    </row>
    <row r="187" spans="1:8" x14ac:dyDescent="0.25">
      <c r="A187" s="9" t="s">
        <v>615</v>
      </c>
      <c r="B187" s="4" t="str">
        <f>VLOOKUP(A187,'f Excel formulas for calculatio'!A:H,2,FALSE)</f>
        <v>Leonard Cochran</v>
      </c>
      <c r="C187" s="4">
        <f>VLOOKUP(A187,'f Excel formulas for calculatio'!A:H,3,FALSE)</f>
        <v>46</v>
      </c>
      <c r="D187" s="4" t="str">
        <f>VLOOKUP(A187,'f Excel formulas for calculatio'!A:H,4,FALSE)</f>
        <v>Female</v>
      </c>
      <c r="E187" s="4" t="str">
        <f>VLOOKUP(A187,'f Excel formulas for calculatio'!A:H,5,FALSE)</f>
        <v>Port Sherryview</v>
      </c>
      <c r="F187" s="4" t="str">
        <f>VLOOKUP(A187,'f Excel formulas for calculatio'!A:H,6,FALSE)</f>
        <v>North Dakota</v>
      </c>
      <c r="G187" s="4" t="str">
        <f>VLOOKUP(A187,'f Excel formulas for calculatio'!A:H,7,FALSE)</f>
        <v>USA</v>
      </c>
      <c r="H187" s="4" t="str">
        <f>VLOOKUP(A187,'f Excel formulas for calculatio'!A:H,8,FALSE)</f>
        <v>Silver</v>
      </c>
    </row>
    <row r="188" spans="1:8" x14ac:dyDescent="0.25">
      <c r="A188" s="4" t="s">
        <v>618</v>
      </c>
      <c r="B188" s="4" t="str">
        <f>VLOOKUP(A188,'f Excel formulas for calculatio'!A:H,2,FALSE)</f>
        <v>Brent Rivas</v>
      </c>
      <c r="C188" s="4">
        <f>VLOOKUP(A188,'f Excel formulas for calculatio'!A:H,3,FALSE)</f>
        <v>54</v>
      </c>
      <c r="D188" s="4" t="str">
        <f>VLOOKUP(A188,'f Excel formulas for calculatio'!A:H,4,FALSE)</f>
        <v>Female</v>
      </c>
      <c r="E188" s="4" t="str">
        <f>VLOOKUP(A188,'f Excel formulas for calculatio'!A:H,5,FALSE)</f>
        <v>North Kellyberg</v>
      </c>
      <c r="F188" s="4" t="str">
        <f>VLOOKUP(A188,'f Excel formulas for calculatio'!A:H,6,FALSE)</f>
        <v>New Jersey</v>
      </c>
      <c r="G188" s="4" t="str">
        <f>VLOOKUP(A188,'f Excel formulas for calculatio'!A:H,7,FALSE)</f>
        <v>USA</v>
      </c>
      <c r="H188" s="4" t="str">
        <f>VLOOKUP(A188,'f Excel formulas for calculatio'!A:H,8,FALSE)</f>
        <v>Platinum</v>
      </c>
    </row>
    <row r="189" spans="1:8" x14ac:dyDescent="0.25">
      <c r="A189" s="9" t="s">
        <v>621</v>
      </c>
      <c r="B189" s="4" t="str">
        <f>VLOOKUP(A189,'f Excel formulas for calculatio'!A:H,2,FALSE)</f>
        <v>Jennifer Pruitt</v>
      </c>
      <c r="C189" s="4">
        <f>VLOOKUP(A189,'f Excel formulas for calculatio'!A:H,3,FALSE)</f>
        <v>53</v>
      </c>
      <c r="D189" s="4" t="str">
        <f>VLOOKUP(A189,'f Excel formulas for calculatio'!A:H,4,FALSE)</f>
        <v>Male</v>
      </c>
      <c r="E189" s="4" t="str">
        <f>VLOOKUP(A189,'f Excel formulas for calculatio'!A:H,5,FALSE)</f>
        <v>East Justin</v>
      </c>
      <c r="F189" s="4" t="str">
        <f>VLOOKUP(A189,'f Excel formulas for calculatio'!A:H,6,FALSE)</f>
        <v>Missouri</v>
      </c>
      <c r="G189" s="4" t="str">
        <f>VLOOKUP(A189,'f Excel formulas for calculatio'!A:H,7,FALSE)</f>
        <v>USA</v>
      </c>
      <c r="H189" s="4" t="str">
        <f>VLOOKUP(A189,'f Excel formulas for calculatio'!A:H,8,FALSE)</f>
        <v>Silver</v>
      </c>
    </row>
    <row r="190" spans="1:8" x14ac:dyDescent="0.25">
      <c r="A190" s="4" t="s">
        <v>624</v>
      </c>
      <c r="B190" s="4" t="str">
        <f>VLOOKUP(A190,'f Excel formulas for calculatio'!A:H,2,FALSE)</f>
        <v>Dr. Suzanne Bullock</v>
      </c>
      <c r="C190" s="4">
        <f>VLOOKUP(A190,'f Excel formulas for calculatio'!A:H,3,FALSE)</f>
        <v>60</v>
      </c>
      <c r="D190" s="4" t="str">
        <f>VLOOKUP(A190,'f Excel formulas for calculatio'!A:H,4,FALSE)</f>
        <v>Female</v>
      </c>
      <c r="E190" s="4" t="str">
        <f>VLOOKUP(A190,'f Excel formulas for calculatio'!A:H,5,FALSE)</f>
        <v>Lake Blaketon</v>
      </c>
      <c r="F190" s="4" t="str">
        <f>VLOOKUP(A190,'f Excel formulas for calculatio'!A:H,6,FALSE)</f>
        <v>Alabama</v>
      </c>
      <c r="G190" s="4" t="str">
        <f>VLOOKUP(A190,'f Excel formulas for calculatio'!A:H,7,FALSE)</f>
        <v>USA</v>
      </c>
      <c r="H190" s="4" t="str">
        <f>VLOOKUP(A190,'f Excel formulas for calculatio'!A:H,8,FALSE)</f>
        <v>Platinum</v>
      </c>
    </row>
    <row r="191" spans="1:8" x14ac:dyDescent="0.25">
      <c r="A191" s="9" t="s">
        <v>627</v>
      </c>
      <c r="B191" s="4" t="str">
        <f>VLOOKUP(A191,'f Excel formulas for calculatio'!A:H,2,FALSE)</f>
        <v>Kimberly Brooks</v>
      </c>
      <c r="C191" s="4">
        <f>VLOOKUP(A191,'f Excel formulas for calculatio'!A:H,3,FALSE)</f>
        <v>42</v>
      </c>
      <c r="D191" s="4" t="str">
        <f>VLOOKUP(A191,'f Excel formulas for calculatio'!A:H,4,FALSE)</f>
        <v>Male</v>
      </c>
      <c r="E191" s="4" t="str">
        <f>VLOOKUP(A191,'f Excel formulas for calculatio'!A:H,5,FALSE)</f>
        <v>Kingfort</v>
      </c>
      <c r="F191" s="4" t="str">
        <f>VLOOKUP(A191,'f Excel formulas for calculatio'!A:H,6,FALSE)</f>
        <v>New Mexico</v>
      </c>
      <c r="G191" s="4" t="str">
        <f>VLOOKUP(A191,'f Excel formulas for calculatio'!A:H,7,FALSE)</f>
        <v>USA</v>
      </c>
      <c r="H191" s="4" t="str">
        <f>VLOOKUP(A191,'f Excel formulas for calculatio'!A:H,8,FALSE)</f>
        <v>Silver</v>
      </c>
    </row>
    <row r="192" spans="1:8" x14ac:dyDescent="0.25">
      <c r="A192" s="4" t="s">
        <v>630</v>
      </c>
      <c r="B192" s="4" t="str">
        <f>VLOOKUP(A192,'f Excel formulas for calculatio'!A:H,2,FALSE)</f>
        <v>Daniel Austin</v>
      </c>
      <c r="C192" s="4">
        <f>VLOOKUP(A192,'f Excel formulas for calculatio'!A:H,3,FALSE)</f>
        <v>29</v>
      </c>
      <c r="D192" s="4" t="str">
        <f>VLOOKUP(A192,'f Excel formulas for calculatio'!A:H,4,FALSE)</f>
        <v>Male</v>
      </c>
      <c r="E192" s="4" t="str">
        <f>VLOOKUP(A192,'f Excel formulas for calculatio'!A:H,5,FALSE)</f>
        <v>Lake Howardberg</v>
      </c>
      <c r="F192" s="4" t="str">
        <f>VLOOKUP(A192,'f Excel formulas for calculatio'!A:H,6,FALSE)</f>
        <v>Kentucky</v>
      </c>
      <c r="G192" s="4" t="str">
        <f>VLOOKUP(A192,'f Excel formulas for calculatio'!A:H,7,FALSE)</f>
        <v>USA</v>
      </c>
      <c r="H192" s="4" t="str">
        <f>VLOOKUP(A192,'f Excel formulas for calculatio'!A:H,8,FALSE)</f>
        <v>Gold</v>
      </c>
    </row>
    <row r="193" spans="1:8" x14ac:dyDescent="0.25">
      <c r="A193" s="9" t="s">
        <v>633</v>
      </c>
      <c r="B193" s="4" t="str">
        <f>VLOOKUP(A193,'f Excel formulas for calculatio'!A:H,2,FALSE)</f>
        <v>Christopher Stewart</v>
      </c>
      <c r="C193" s="4">
        <f>VLOOKUP(A193,'f Excel formulas for calculatio'!A:H,3,FALSE)</f>
        <v>21</v>
      </c>
      <c r="D193" s="4" t="str">
        <f>VLOOKUP(A193,'f Excel formulas for calculatio'!A:H,4,FALSE)</f>
        <v>Male</v>
      </c>
      <c r="E193" s="4" t="str">
        <f>VLOOKUP(A193,'f Excel formulas for calculatio'!A:H,5,FALSE)</f>
        <v>Amandaside</v>
      </c>
      <c r="F193" s="4" t="str">
        <f>VLOOKUP(A193,'f Excel formulas for calculatio'!A:H,6,FALSE)</f>
        <v>New York</v>
      </c>
      <c r="G193" s="4" t="str">
        <f>VLOOKUP(A193,'f Excel formulas for calculatio'!A:H,7,FALSE)</f>
        <v>USA</v>
      </c>
      <c r="H193" s="4" t="str">
        <f>VLOOKUP(A193,'f Excel formulas for calculatio'!A:H,8,FALSE)</f>
        <v>Bronze</v>
      </c>
    </row>
    <row r="194" spans="1:8" x14ac:dyDescent="0.25">
      <c r="A194" s="4" t="s">
        <v>636</v>
      </c>
      <c r="B194" s="4" t="str">
        <f>VLOOKUP(A194,'f Excel formulas for calculatio'!A:H,2,FALSE)</f>
        <v>Todd Poole</v>
      </c>
      <c r="C194" s="4">
        <f>VLOOKUP(A194,'f Excel formulas for calculatio'!A:H,3,FALSE)</f>
        <v>29</v>
      </c>
      <c r="D194" s="4" t="str">
        <f>VLOOKUP(A194,'f Excel formulas for calculatio'!A:H,4,FALSE)</f>
        <v>Female</v>
      </c>
      <c r="E194" s="4" t="str">
        <f>VLOOKUP(A194,'f Excel formulas for calculatio'!A:H,5,FALSE)</f>
        <v>Johnsonshire</v>
      </c>
      <c r="F194" s="4" t="str">
        <f>VLOOKUP(A194,'f Excel formulas for calculatio'!A:H,6,FALSE)</f>
        <v>Ohio</v>
      </c>
      <c r="G194" s="4" t="str">
        <f>VLOOKUP(A194,'f Excel formulas for calculatio'!A:H,7,FALSE)</f>
        <v>USA</v>
      </c>
      <c r="H194" s="4" t="str">
        <f>VLOOKUP(A194,'f Excel formulas for calculatio'!A:H,8,FALSE)</f>
        <v>Bronze</v>
      </c>
    </row>
    <row r="195" spans="1:8" x14ac:dyDescent="0.25">
      <c r="A195" s="9" t="s">
        <v>639</v>
      </c>
      <c r="B195" s="4" t="str">
        <f>VLOOKUP(A195,'f Excel formulas for calculatio'!A:H,2,FALSE)</f>
        <v>Jacob Wood</v>
      </c>
      <c r="C195" s="4">
        <f>VLOOKUP(A195,'f Excel formulas for calculatio'!A:H,3,FALSE)</f>
        <v>26</v>
      </c>
      <c r="D195" s="4" t="str">
        <f>VLOOKUP(A195,'f Excel formulas for calculatio'!A:H,4,FALSE)</f>
        <v>Male</v>
      </c>
      <c r="E195" s="4" t="str">
        <f>VLOOKUP(A195,'f Excel formulas for calculatio'!A:H,5,FALSE)</f>
        <v>Lake Samanthafort</v>
      </c>
      <c r="F195" s="4" t="str">
        <f>VLOOKUP(A195,'f Excel formulas for calculatio'!A:H,6,FALSE)</f>
        <v>Idaho</v>
      </c>
      <c r="G195" s="4" t="str">
        <f>VLOOKUP(A195,'f Excel formulas for calculatio'!A:H,7,FALSE)</f>
        <v>USA</v>
      </c>
      <c r="H195" s="4" t="str">
        <f>VLOOKUP(A195,'f Excel formulas for calculatio'!A:H,8,FALSE)</f>
        <v>Gold</v>
      </c>
    </row>
    <row r="196" spans="1:8" x14ac:dyDescent="0.25">
      <c r="A196" s="4" t="s">
        <v>642</v>
      </c>
      <c r="B196" s="4" t="str">
        <f>VLOOKUP(A196,'f Excel formulas for calculatio'!A:H,2,FALSE)</f>
        <v>David Roberts</v>
      </c>
      <c r="C196" s="4">
        <f>VLOOKUP(A196,'f Excel formulas for calculatio'!A:H,3,FALSE)</f>
        <v>38</v>
      </c>
      <c r="D196" s="4" t="str">
        <f>VLOOKUP(A196,'f Excel formulas for calculatio'!A:H,4,FALSE)</f>
        <v>Male</v>
      </c>
      <c r="E196" s="4" t="str">
        <f>VLOOKUP(A196,'f Excel formulas for calculatio'!A:H,5,FALSE)</f>
        <v>Port Amanda</v>
      </c>
      <c r="F196" s="4" t="str">
        <f>VLOOKUP(A196,'f Excel formulas for calculatio'!A:H,6,FALSE)</f>
        <v>Georgia</v>
      </c>
      <c r="G196" s="4" t="str">
        <f>VLOOKUP(A196,'f Excel formulas for calculatio'!A:H,7,FALSE)</f>
        <v>USA</v>
      </c>
      <c r="H196" s="4" t="str">
        <f>VLOOKUP(A196,'f Excel formulas for calculatio'!A:H,8,FALSE)</f>
        <v>Gold</v>
      </c>
    </row>
    <row r="197" spans="1:8" x14ac:dyDescent="0.25">
      <c r="A197" s="9" t="s">
        <v>645</v>
      </c>
      <c r="B197" s="4" t="str">
        <f>VLOOKUP(A197,'f Excel formulas for calculatio'!A:H,2,FALSE)</f>
        <v>Ashley Ferguson</v>
      </c>
      <c r="C197" s="4">
        <f>VLOOKUP(A197,'f Excel formulas for calculatio'!A:H,3,FALSE)</f>
        <v>46</v>
      </c>
      <c r="D197" s="4" t="str">
        <f>VLOOKUP(A197,'f Excel formulas for calculatio'!A:H,4,FALSE)</f>
        <v>Male</v>
      </c>
      <c r="E197" s="4" t="str">
        <f>VLOOKUP(A197,'f Excel formulas for calculatio'!A:H,5,FALSE)</f>
        <v>Sarahmouth</v>
      </c>
      <c r="F197" s="4" t="str">
        <f>VLOOKUP(A197,'f Excel formulas for calculatio'!A:H,6,FALSE)</f>
        <v>Pennsylvania</v>
      </c>
      <c r="G197" s="4" t="str">
        <f>VLOOKUP(A197,'f Excel formulas for calculatio'!A:H,7,FALSE)</f>
        <v>USA</v>
      </c>
      <c r="H197" s="4" t="str">
        <f>VLOOKUP(A197,'f Excel formulas for calculatio'!A:H,8,FALSE)</f>
        <v>Gold</v>
      </c>
    </row>
    <row r="198" spans="1:8" x14ac:dyDescent="0.25">
      <c r="A198" s="4" t="s">
        <v>648</v>
      </c>
      <c r="B198" s="4" t="str">
        <f>VLOOKUP(A198,'f Excel formulas for calculatio'!A:H,2,FALSE)</f>
        <v>Anthony Garcia</v>
      </c>
      <c r="C198" s="4">
        <f>VLOOKUP(A198,'f Excel formulas for calculatio'!A:H,3,FALSE)</f>
        <v>60</v>
      </c>
      <c r="D198" s="4" t="str">
        <f>VLOOKUP(A198,'f Excel formulas for calculatio'!A:H,4,FALSE)</f>
        <v>Male</v>
      </c>
      <c r="E198" s="4" t="str">
        <f>VLOOKUP(A198,'f Excel formulas for calculatio'!A:H,5,FALSE)</f>
        <v>Taraberg</v>
      </c>
      <c r="F198" s="4" t="str">
        <f>VLOOKUP(A198,'f Excel formulas for calculatio'!A:H,6,FALSE)</f>
        <v>Arizona</v>
      </c>
      <c r="G198" s="4" t="str">
        <f>VLOOKUP(A198,'f Excel formulas for calculatio'!A:H,7,FALSE)</f>
        <v>USA</v>
      </c>
      <c r="H198" s="4" t="str">
        <f>VLOOKUP(A198,'f Excel formulas for calculatio'!A:H,8,FALSE)</f>
        <v>Silver</v>
      </c>
    </row>
    <row r="199" spans="1:8" x14ac:dyDescent="0.25">
      <c r="A199" s="9" t="s">
        <v>651</v>
      </c>
      <c r="B199" s="4" t="str">
        <f>VLOOKUP(A199,'f Excel formulas for calculatio'!A:H,2,FALSE)</f>
        <v>Megan Greer</v>
      </c>
      <c r="C199" s="4">
        <f>VLOOKUP(A199,'f Excel formulas for calculatio'!A:H,3,FALSE)</f>
        <v>18</v>
      </c>
      <c r="D199" s="4" t="str">
        <f>VLOOKUP(A199,'f Excel formulas for calculatio'!A:H,4,FALSE)</f>
        <v>Female</v>
      </c>
      <c r="E199" s="4" t="str">
        <f>VLOOKUP(A199,'f Excel formulas for calculatio'!A:H,5,FALSE)</f>
        <v>West John</v>
      </c>
      <c r="F199" s="4" t="str">
        <f>VLOOKUP(A199,'f Excel formulas for calculatio'!A:H,6,FALSE)</f>
        <v>Alaska</v>
      </c>
      <c r="G199" s="4" t="str">
        <f>VLOOKUP(A199,'f Excel formulas for calculatio'!A:H,7,FALSE)</f>
        <v>USA</v>
      </c>
      <c r="H199" s="4" t="str">
        <f>VLOOKUP(A199,'f Excel formulas for calculatio'!A:H,8,FALSE)</f>
        <v>Platinum</v>
      </c>
    </row>
    <row r="200" spans="1:8" x14ac:dyDescent="0.25">
      <c r="A200" s="4" t="s">
        <v>654</v>
      </c>
      <c r="B200" s="4" t="str">
        <f>VLOOKUP(A200,'f Excel formulas for calculatio'!A:H,2,FALSE)</f>
        <v>Andrea Jacobs</v>
      </c>
      <c r="C200" s="4">
        <f>VLOOKUP(A200,'f Excel formulas for calculatio'!A:H,3,FALSE)</f>
        <v>45</v>
      </c>
      <c r="D200" s="4" t="str">
        <f>VLOOKUP(A200,'f Excel formulas for calculatio'!A:H,4,FALSE)</f>
        <v>Female</v>
      </c>
      <c r="E200" s="4" t="str">
        <f>VLOOKUP(A200,'f Excel formulas for calculatio'!A:H,5,FALSE)</f>
        <v>Christopherland</v>
      </c>
      <c r="F200" s="4" t="str">
        <f>VLOOKUP(A200,'f Excel formulas for calculatio'!A:H,6,FALSE)</f>
        <v>Minnesota</v>
      </c>
      <c r="G200" s="4" t="str">
        <f>VLOOKUP(A200,'f Excel formulas for calculatio'!A:H,7,FALSE)</f>
        <v>USA</v>
      </c>
      <c r="H200" s="4" t="str">
        <f>VLOOKUP(A200,'f Excel formulas for calculatio'!A:H,8,FALSE)</f>
        <v>Platinum</v>
      </c>
    </row>
    <row r="201" spans="1:8" x14ac:dyDescent="0.25">
      <c r="A201" s="9" t="s">
        <v>656</v>
      </c>
      <c r="B201" s="4" t="str">
        <f>VLOOKUP(A201,'f Excel formulas for calculatio'!A:H,2,FALSE)</f>
        <v>Wanda Snyder</v>
      </c>
      <c r="C201" s="4">
        <f>VLOOKUP(A201,'f Excel formulas for calculatio'!A:H,3,FALSE)</f>
        <v>54</v>
      </c>
      <c r="D201" s="4" t="str">
        <f>VLOOKUP(A201,'f Excel formulas for calculatio'!A:H,4,FALSE)</f>
        <v>Male</v>
      </c>
      <c r="E201" s="4" t="str">
        <f>VLOOKUP(A201,'f Excel formulas for calculatio'!A:H,5,FALSE)</f>
        <v>Frostmouth</v>
      </c>
      <c r="F201" s="4" t="str">
        <f>VLOOKUP(A201,'f Excel formulas for calculatio'!A:H,6,FALSE)</f>
        <v>Vermont</v>
      </c>
      <c r="G201" s="4" t="str">
        <f>VLOOKUP(A201,'f Excel formulas for calculatio'!A:H,7,FALSE)</f>
        <v>USA</v>
      </c>
      <c r="H201" s="4" t="str">
        <f>VLOOKUP(A201,'f Excel formulas for calculatio'!A:H,8,FALSE)</f>
        <v>Bronze</v>
      </c>
    </row>
    <row r="202" spans="1:8" x14ac:dyDescent="0.25">
      <c r="A202" s="4" t="s">
        <v>659</v>
      </c>
      <c r="B202" s="4" t="str">
        <f>VLOOKUP(A202,'f Excel formulas for calculatio'!A:H,2,FALSE)</f>
        <v>Carmen Price</v>
      </c>
      <c r="C202" s="4">
        <f>VLOOKUP(A202,'f Excel formulas for calculatio'!A:H,3,FALSE)</f>
        <v>46</v>
      </c>
      <c r="D202" s="4" t="str">
        <f>VLOOKUP(A202,'f Excel formulas for calculatio'!A:H,4,FALSE)</f>
        <v>Male</v>
      </c>
      <c r="E202" s="4" t="str">
        <f>VLOOKUP(A202,'f Excel formulas for calculatio'!A:H,5,FALSE)</f>
        <v>North Briannamouth</v>
      </c>
      <c r="F202" s="4" t="str">
        <f>VLOOKUP(A202,'f Excel formulas for calculatio'!A:H,6,FALSE)</f>
        <v>Tennessee</v>
      </c>
      <c r="G202" s="4" t="str">
        <f>VLOOKUP(A202,'f Excel formulas for calculatio'!A:H,7,FALSE)</f>
        <v>USA</v>
      </c>
      <c r="H202" s="4" t="str">
        <f>VLOOKUP(A202,'f Excel formulas for calculatio'!A:H,8,FALSE)</f>
        <v>Bronze</v>
      </c>
    </row>
    <row r="203" spans="1:8" x14ac:dyDescent="0.25">
      <c r="A203" s="9" t="s">
        <v>662</v>
      </c>
      <c r="B203" s="4" t="str">
        <f>VLOOKUP(A203,'f Excel formulas for calculatio'!A:H,2,FALSE)</f>
        <v>Anna Perez</v>
      </c>
      <c r="C203" s="4">
        <f>VLOOKUP(A203,'f Excel formulas for calculatio'!A:H,3,FALSE)</f>
        <v>30</v>
      </c>
      <c r="D203" s="4" t="str">
        <f>VLOOKUP(A203,'f Excel formulas for calculatio'!A:H,4,FALSE)</f>
        <v>Male</v>
      </c>
      <c r="E203" s="4" t="str">
        <f>VLOOKUP(A203,'f Excel formulas for calculatio'!A:H,5,FALSE)</f>
        <v>South Jerry</v>
      </c>
      <c r="F203" s="4" t="str">
        <f>VLOOKUP(A203,'f Excel formulas for calculatio'!A:H,6,FALSE)</f>
        <v>Maine</v>
      </c>
      <c r="G203" s="4" t="str">
        <f>VLOOKUP(A203,'f Excel formulas for calculatio'!A:H,7,FALSE)</f>
        <v>USA</v>
      </c>
      <c r="H203" s="4" t="str">
        <f>VLOOKUP(A203,'f Excel formulas for calculatio'!A:H,8,FALSE)</f>
        <v>Platinum</v>
      </c>
    </row>
    <row r="204" spans="1:8" x14ac:dyDescent="0.25">
      <c r="A204" s="4" t="s">
        <v>665</v>
      </c>
      <c r="B204" s="4" t="str">
        <f>VLOOKUP(A204,'f Excel formulas for calculatio'!A:H,2,FALSE)</f>
        <v>Mary Boyd</v>
      </c>
      <c r="C204" s="4">
        <f>VLOOKUP(A204,'f Excel formulas for calculatio'!A:H,3,FALSE)</f>
        <v>25</v>
      </c>
      <c r="D204" s="4" t="str">
        <f>VLOOKUP(A204,'f Excel formulas for calculatio'!A:H,4,FALSE)</f>
        <v>Female</v>
      </c>
      <c r="E204" s="4" t="str">
        <f>VLOOKUP(A204,'f Excel formulas for calculatio'!A:H,5,FALSE)</f>
        <v>New Logan</v>
      </c>
      <c r="F204" s="4" t="str">
        <f>VLOOKUP(A204,'f Excel formulas for calculatio'!A:H,6,FALSE)</f>
        <v>Michigan</v>
      </c>
      <c r="G204" s="4" t="str">
        <f>VLOOKUP(A204,'f Excel formulas for calculatio'!A:H,7,FALSE)</f>
        <v>USA</v>
      </c>
      <c r="H204" s="4" t="str">
        <f>VLOOKUP(A204,'f Excel formulas for calculatio'!A:H,8,FALSE)</f>
        <v>Bronze</v>
      </c>
    </row>
    <row r="205" spans="1:8" x14ac:dyDescent="0.25">
      <c r="A205" s="9" t="s">
        <v>668</v>
      </c>
      <c r="B205" s="4" t="str">
        <f>VLOOKUP(A205,'f Excel formulas for calculatio'!A:H,2,FALSE)</f>
        <v>Christina Garcia</v>
      </c>
      <c r="C205" s="4">
        <f>VLOOKUP(A205,'f Excel formulas for calculatio'!A:H,3,FALSE)</f>
        <v>37</v>
      </c>
      <c r="D205" s="4" t="str">
        <f>VLOOKUP(A205,'f Excel formulas for calculatio'!A:H,4,FALSE)</f>
        <v>Female</v>
      </c>
      <c r="E205" s="4" t="str">
        <f>VLOOKUP(A205,'f Excel formulas for calculatio'!A:H,5,FALSE)</f>
        <v>Clarkeside</v>
      </c>
      <c r="F205" s="4" t="str">
        <f>VLOOKUP(A205,'f Excel formulas for calculatio'!A:H,6,FALSE)</f>
        <v>Kansas</v>
      </c>
      <c r="G205" s="4" t="str">
        <f>VLOOKUP(A205,'f Excel formulas for calculatio'!A:H,7,FALSE)</f>
        <v>USA</v>
      </c>
      <c r="H205" s="4" t="str">
        <f>VLOOKUP(A205,'f Excel formulas for calculatio'!A:H,8,FALSE)</f>
        <v>Platinum</v>
      </c>
    </row>
    <row r="206" spans="1:8" x14ac:dyDescent="0.25">
      <c r="A206" s="4" t="s">
        <v>671</v>
      </c>
      <c r="B206" s="4" t="str">
        <f>VLOOKUP(A206,'f Excel formulas for calculatio'!A:H,2,FALSE)</f>
        <v>Sarah Brady</v>
      </c>
      <c r="C206" s="4">
        <f>VLOOKUP(A206,'f Excel formulas for calculatio'!A:H,3,FALSE)</f>
        <v>47</v>
      </c>
      <c r="D206" s="4" t="str">
        <f>VLOOKUP(A206,'f Excel formulas for calculatio'!A:H,4,FALSE)</f>
        <v>Male</v>
      </c>
      <c r="E206" s="4" t="str">
        <f>VLOOKUP(A206,'f Excel formulas for calculatio'!A:H,5,FALSE)</f>
        <v>Johnsonland</v>
      </c>
      <c r="F206" s="4" t="str">
        <f>VLOOKUP(A206,'f Excel formulas for calculatio'!A:H,6,FALSE)</f>
        <v>Iowa</v>
      </c>
      <c r="G206" s="4" t="str">
        <f>VLOOKUP(A206,'f Excel formulas for calculatio'!A:H,7,FALSE)</f>
        <v>USA</v>
      </c>
      <c r="H206" s="4" t="str">
        <f>VLOOKUP(A206,'f Excel formulas for calculatio'!A:H,8,FALSE)</f>
        <v>Platinum</v>
      </c>
    </row>
    <row r="207" spans="1:8" x14ac:dyDescent="0.25">
      <c r="A207" s="9" t="s">
        <v>674</v>
      </c>
      <c r="B207" s="4" t="str">
        <f>VLOOKUP(A207,'f Excel formulas for calculatio'!A:H,2,FALSE)</f>
        <v>Tiffany Herrera</v>
      </c>
      <c r="C207" s="4">
        <f>VLOOKUP(A207,'f Excel formulas for calculatio'!A:H,3,FALSE)</f>
        <v>52</v>
      </c>
      <c r="D207" s="4" t="str">
        <f>VLOOKUP(A207,'f Excel formulas for calculatio'!A:H,4,FALSE)</f>
        <v>Male</v>
      </c>
      <c r="E207" s="4" t="str">
        <f>VLOOKUP(A207,'f Excel formulas for calculatio'!A:H,5,FALSE)</f>
        <v>New Dianebury</v>
      </c>
      <c r="F207" s="4" t="str">
        <f>VLOOKUP(A207,'f Excel formulas for calculatio'!A:H,6,FALSE)</f>
        <v>Virginia</v>
      </c>
      <c r="G207" s="4" t="str">
        <f>VLOOKUP(A207,'f Excel formulas for calculatio'!A:H,7,FALSE)</f>
        <v>USA</v>
      </c>
      <c r="H207" s="4" t="str">
        <f>VLOOKUP(A207,'f Excel formulas for calculatio'!A:H,8,FALSE)</f>
        <v>Platinum</v>
      </c>
    </row>
    <row r="208" spans="1:8" x14ac:dyDescent="0.25">
      <c r="A208" s="4" t="s">
        <v>677</v>
      </c>
      <c r="B208" s="4" t="str">
        <f>VLOOKUP(A208,'f Excel formulas for calculatio'!A:H,2,FALSE)</f>
        <v>Michelle Carpenter</v>
      </c>
      <c r="C208" s="4">
        <f>VLOOKUP(A208,'f Excel formulas for calculatio'!A:H,3,FALSE)</f>
        <v>44</v>
      </c>
      <c r="D208" s="4" t="str">
        <f>VLOOKUP(A208,'f Excel formulas for calculatio'!A:H,4,FALSE)</f>
        <v>Female</v>
      </c>
      <c r="E208" s="4" t="str">
        <f>VLOOKUP(A208,'f Excel formulas for calculatio'!A:H,5,FALSE)</f>
        <v>Lake Danielleton</v>
      </c>
      <c r="F208" s="4" t="str">
        <f>VLOOKUP(A208,'f Excel formulas for calculatio'!A:H,6,FALSE)</f>
        <v>New Jersey</v>
      </c>
      <c r="G208" s="4" t="str">
        <f>VLOOKUP(A208,'f Excel formulas for calculatio'!A:H,7,FALSE)</f>
        <v>USA</v>
      </c>
      <c r="H208" s="4" t="str">
        <f>VLOOKUP(A208,'f Excel formulas for calculatio'!A:H,8,FALSE)</f>
        <v>Gold</v>
      </c>
    </row>
    <row r="209" spans="1:8" x14ac:dyDescent="0.25">
      <c r="A209" s="9" t="s">
        <v>680</v>
      </c>
      <c r="B209" s="4" t="str">
        <f>VLOOKUP(A209,'f Excel formulas for calculatio'!A:H,2,FALSE)</f>
        <v>Ronald Jones</v>
      </c>
      <c r="C209" s="4">
        <f>VLOOKUP(A209,'f Excel formulas for calculatio'!A:H,3,FALSE)</f>
        <v>26</v>
      </c>
      <c r="D209" s="4" t="str">
        <f>VLOOKUP(A209,'f Excel formulas for calculatio'!A:H,4,FALSE)</f>
        <v>Female</v>
      </c>
      <c r="E209" s="4" t="str">
        <f>VLOOKUP(A209,'f Excel formulas for calculatio'!A:H,5,FALSE)</f>
        <v>Brownshire</v>
      </c>
      <c r="F209" s="4" t="str">
        <f>VLOOKUP(A209,'f Excel formulas for calculatio'!A:H,6,FALSE)</f>
        <v>Tennessee</v>
      </c>
      <c r="G209" s="4" t="str">
        <f>VLOOKUP(A209,'f Excel formulas for calculatio'!A:H,7,FALSE)</f>
        <v>USA</v>
      </c>
      <c r="H209" s="4" t="str">
        <f>VLOOKUP(A209,'f Excel formulas for calculatio'!A:H,8,FALSE)</f>
        <v>Silver</v>
      </c>
    </row>
    <row r="210" spans="1:8" x14ac:dyDescent="0.25">
      <c r="A210" s="4" t="s">
        <v>683</v>
      </c>
      <c r="B210" s="4" t="str">
        <f>VLOOKUP(A210,'f Excel formulas for calculatio'!A:H,2,FALSE)</f>
        <v>Jacqueline Pacheco</v>
      </c>
      <c r="C210" s="4">
        <f>VLOOKUP(A210,'f Excel formulas for calculatio'!A:H,3,FALSE)</f>
        <v>28</v>
      </c>
      <c r="D210" s="4" t="str">
        <f>VLOOKUP(A210,'f Excel formulas for calculatio'!A:H,4,FALSE)</f>
        <v>Female</v>
      </c>
      <c r="E210" s="4" t="str">
        <f>VLOOKUP(A210,'f Excel formulas for calculatio'!A:H,5,FALSE)</f>
        <v>South Emily</v>
      </c>
      <c r="F210" s="4" t="str">
        <f>VLOOKUP(A210,'f Excel formulas for calculatio'!A:H,6,FALSE)</f>
        <v>New Jersey</v>
      </c>
      <c r="G210" s="4" t="str">
        <f>VLOOKUP(A210,'f Excel formulas for calculatio'!A:H,7,FALSE)</f>
        <v>USA</v>
      </c>
      <c r="H210" s="4" t="str">
        <f>VLOOKUP(A210,'f Excel formulas for calculatio'!A:H,8,FALSE)</f>
        <v>Bronze</v>
      </c>
    </row>
    <row r="211" spans="1:8" x14ac:dyDescent="0.25">
      <c r="A211" s="9" t="s">
        <v>686</v>
      </c>
      <c r="B211" s="4" t="str">
        <f>VLOOKUP(A211,'f Excel formulas for calculatio'!A:H,2,FALSE)</f>
        <v>John Perez</v>
      </c>
      <c r="C211" s="4">
        <f>VLOOKUP(A211,'f Excel formulas for calculatio'!A:H,3,FALSE)</f>
        <v>54</v>
      </c>
      <c r="D211" s="4" t="str">
        <f>VLOOKUP(A211,'f Excel formulas for calculatio'!A:H,4,FALSE)</f>
        <v>Male</v>
      </c>
      <c r="E211" s="4" t="str">
        <f>VLOOKUP(A211,'f Excel formulas for calculatio'!A:H,5,FALSE)</f>
        <v>Kathrynview</v>
      </c>
      <c r="F211" s="4" t="str">
        <f>VLOOKUP(A211,'f Excel formulas for calculatio'!A:H,6,FALSE)</f>
        <v>Louisiana</v>
      </c>
      <c r="G211" s="4" t="str">
        <f>VLOOKUP(A211,'f Excel formulas for calculatio'!A:H,7,FALSE)</f>
        <v>USA</v>
      </c>
      <c r="H211" s="4" t="str">
        <f>VLOOKUP(A211,'f Excel formulas for calculatio'!A:H,8,FALSE)</f>
        <v>Platinum</v>
      </c>
    </row>
    <row r="212" spans="1:8" x14ac:dyDescent="0.25">
      <c r="A212" s="4" t="s">
        <v>689</v>
      </c>
      <c r="B212" s="4" t="str">
        <f>VLOOKUP(A212,'f Excel formulas for calculatio'!A:H,2,FALSE)</f>
        <v>Joan Johnson</v>
      </c>
      <c r="C212" s="4">
        <f>VLOOKUP(A212,'f Excel formulas for calculatio'!A:H,3,FALSE)</f>
        <v>50</v>
      </c>
      <c r="D212" s="4" t="str">
        <f>VLOOKUP(A212,'f Excel formulas for calculatio'!A:H,4,FALSE)</f>
        <v>Female</v>
      </c>
      <c r="E212" s="4" t="str">
        <f>VLOOKUP(A212,'f Excel formulas for calculatio'!A:H,5,FALSE)</f>
        <v>Lake Josephport</v>
      </c>
      <c r="F212" s="4" t="str">
        <f>VLOOKUP(A212,'f Excel formulas for calculatio'!A:H,6,FALSE)</f>
        <v>Maine</v>
      </c>
      <c r="G212" s="4" t="str">
        <f>VLOOKUP(A212,'f Excel formulas for calculatio'!A:H,7,FALSE)</f>
        <v>USA</v>
      </c>
      <c r="H212" s="4" t="str">
        <f>VLOOKUP(A212,'f Excel formulas for calculatio'!A:H,8,FALSE)</f>
        <v>Platinum</v>
      </c>
    </row>
    <row r="213" spans="1:8" x14ac:dyDescent="0.25">
      <c r="A213" s="9" t="s">
        <v>692</v>
      </c>
      <c r="B213" s="4" t="str">
        <f>VLOOKUP(A213,'f Excel formulas for calculatio'!A:H,2,FALSE)</f>
        <v>Antonio Jones</v>
      </c>
      <c r="C213" s="4">
        <f>VLOOKUP(A213,'f Excel formulas for calculatio'!A:H,3,FALSE)</f>
        <v>48</v>
      </c>
      <c r="D213" s="4" t="str">
        <f>VLOOKUP(A213,'f Excel formulas for calculatio'!A:H,4,FALSE)</f>
        <v>Male</v>
      </c>
      <c r="E213" s="4" t="str">
        <f>VLOOKUP(A213,'f Excel formulas for calculatio'!A:H,5,FALSE)</f>
        <v>Matthewborough</v>
      </c>
      <c r="F213" s="4" t="str">
        <f>VLOOKUP(A213,'f Excel formulas for calculatio'!A:H,6,FALSE)</f>
        <v>Georgia</v>
      </c>
      <c r="G213" s="4" t="str">
        <f>VLOOKUP(A213,'f Excel formulas for calculatio'!A:H,7,FALSE)</f>
        <v>USA</v>
      </c>
      <c r="H213" s="4" t="str">
        <f>VLOOKUP(A213,'f Excel formulas for calculatio'!A:H,8,FALSE)</f>
        <v>Silver</v>
      </c>
    </row>
    <row r="214" spans="1:8" x14ac:dyDescent="0.25">
      <c r="A214" s="4" t="s">
        <v>695</v>
      </c>
      <c r="B214" s="4" t="str">
        <f>VLOOKUP(A214,'f Excel formulas for calculatio'!A:H,2,FALSE)</f>
        <v>Rodney Huffman</v>
      </c>
      <c r="C214" s="4">
        <f>VLOOKUP(A214,'f Excel formulas for calculatio'!A:H,3,FALSE)</f>
        <v>20</v>
      </c>
      <c r="D214" s="4" t="str">
        <f>VLOOKUP(A214,'f Excel formulas for calculatio'!A:H,4,FALSE)</f>
        <v>Female</v>
      </c>
      <c r="E214" s="4" t="str">
        <f>VLOOKUP(A214,'f Excel formulas for calculatio'!A:H,5,FALSE)</f>
        <v>Garzafort</v>
      </c>
      <c r="F214" s="4" t="str">
        <f>VLOOKUP(A214,'f Excel formulas for calculatio'!A:H,6,FALSE)</f>
        <v>Delaware</v>
      </c>
      <c r="G214" s="4" t="str">
        <f>VLOOKUP(A214,'f Excel formulas for calculatio'!A:H,7,FALSE)</f>
        <v>USA</v>
      </c>
      <c r="H214" s="4" t="str">
        <f>VLOOKUP(A214,'f Excel formulas for calculatio'!A:H,8,FALSE)</f>
        <v>Silver</v>
      </c>
    </row>
    <row r="215" spans="1:8" x14ac:dyDescent="0.25">
      <c r="A215" s="9" t="s">
        <v>698</v>
      </c>
      <c r="B215" s="4" t="str">
        <f>VLOOKUP(A215,'f Excel formulas for calculatio'!A:H,2,FALSE)</f>
        <v>Blake Harrison</v>
      </c>
      <c r="C215" s="4">
        <f>VLOOKUP(A215,'f Excel formulas for calculatio'!A:H,3,FALSE)</f>
        <v>63</v>
      </c>
      <c r="D215" s="4" t="str">
        <f>VLOOKUP(A215,'f Excel formulas for calculatio'!A:H,4,FALSE)</f>
        <v>Female</v>
      </c>
      <c r="E215" s="4" t="str">
        <f>VLOOKUP(A215,'f Excel formulas for calculatio'!A:H,5,FALSE)</f>
        <v>Lyonsfort</v>
      </c>
      <c r="F215" s="4" t="str">
        <f>VLOOKUP(A215,'f Excel formulas for calculatio'!A:H,6,FALSE)</f>
        <v>Washington</v>
      </c>
      <c r="G215" s="4" t="str">
        <f>VLOOKUP(A215,'f Excel formulas for calculatio'!A:H,7,FALSE)</f>
        <v>USA</v>
      </c>
      <c r="H215" s="4" t="str">
        <f>VLOOKUP(A215,'f Excel formulas for calculatio'!A:H,8,FALSE)</f>
        <v>Platinum</v>
      </c>
    </row>
    <row r="216" spans="1:8" x14ac:dyDescent="0.25">
      <c r="A216" s="4" t="s">
        <v>701</v>
      </c>
      <c r="B216" s="4" t="str">
        <f>VLOOKUP(A216,'f Excel formulas for calculatio'!A:H,2,FALSE)</f>
        <v>Stuart Johnson</v>
      </c>
      <c r="C216" s="4">
        <f>VLOOKUP(A216,'f Excel formulas for calculatio'!A:H,3,FALSE)</f>
        <v>42</v>
      </c>
      <c r="D216" s="4" t="str">
        <f>VLOOKUP(A216,'f Excel formulas for calculatio'!A:H,4,FALSE)</f>
        <v>Female</v>
      </c>
      <c r="E216" s="4" t="str">
        <f>VLOOKUP(A216,'f Excel formulas for calculatio'!A:H,5,FALSE)</f>
        <v>West Markport</v>
      </c>
      <c r="F216" s="4" t="str">
        <f>VLOOKUP(A216,'f Excel formulas for calculatio'!A:H,6,FALSE)</f>
        <v>North Dakota</v>
      </c>
      <c r="G216" s="4" t="str">
        <f>VLOOKUP(A216,'f Excel formulas for calculatio'!A:H,7,FALSE)</f>
        <v>USA</v>
      </c>
      <c r="H216" s="4" t="str">
        <f>VLOOKUP(A216,'f Excel formulas for calculatio'!A:H,8,FALSE)</f>
        <v>Platinum</v>
      </c>
    </row>
    <row r="217" spans="1:8" x14ac:dyDescent="0.25">
      <c r="A217" s="9" t="s">
        <v>704</v>
      </c>
      <c r="B217" s="4" t="str">
        <f>VLOOKUP(A217,'f Excel formulas for calculatio'!A:H,2,FALSE)</f>
        <v>Eric Todd</v>
      </c>
      <c r="C217" s="4">
        <f>VLOOKUP(A217,'f Excel formulas for calculatio'!A:H,3,FALSE)</f>
        <v>61</v>
      </c>
      <c r="D217" s="4" t="str">
        <f>VLOOKUP(A217,'f Excel formulas for calculatio'!A:H,4,FALSE)</f>
        <v>Male</v>
      </c>
      <c r="E217" s="4" t="str">
        <f>VLOOKUP(A217,'f Excel formulas for calculatio'!A:H,5,FALSE)</f>
        <v>Danielstad</v>
      </c>
      <c r="F217" s="4" t="str">
        <f>VLOOKUP(A217,'f Excel formulas for calculatio'!A:H,6,FALSE)</f>
        <v>Montana</v>
      </c>
      <c r="G217" s="4" t="str">
        <f>VLOOKUP(A217,'f Excel formulas for calculatio'!A:H,7,FALSE)</f>
        <v>USA</v>
      </c>
      <c r="H217" s="4" t="str">
        <f>VLOOKUP(A217,'f Excel formulas for calculatio'!A:H,8,FALSE)</f>
        <v>Gold</v>
      </c>
    </row>
    <row r="218" spans="1:8" x14ac:dyDescent="0.25">
      <c r="A218" s="4" t="s">
        <v>707</v>
      </c>
      <c r="B218" s="4" t="str">
        <f>VLOOKUP(A218,'f Excel formulas for calculatio'!A:H,2,FALSE)</f>
        <v>Steve Medina</v>
      </c>
      <c r="C218" s="4">
        <f>VLOOKUP(A218,'f Excel formulas for calculatio'!A:H,3,FALSE)</f>
        <v>50</v>
      </c>
      <c r="D218" s="4" t="str">
        <f>VLOOKUP(A218,'f Excel formulas for calculatio'!A:H,4,FALSE)</f>
        <v>Female</v>
      </c>
      <c r="E218" s="4" t="str">
        <f>VLOOKUP(A218,'f Excel formulas for calculatio'!A:H,5,FALSE)</f>
        <v>East Josephside</v>
      </c>
      <c r="F218" s="4" t="str">
        <f>VLOOKUP(A218,'f Excel formulas for calculatio'!A:H,6,FALSE)</f>
        <v>Oregon</v>
      </c>
      <c r="G218" s="4" t="str">
        <f>VLOOKUP(A218,'f Excel formulas for calculatio'!A:H,7,FALSE)</f>
        <v>USA</v>
      </c>
      <c r="H218" s="4" t="str">
        <f>VLOOKUP(A218,'f Excel formulas for calculatio'!A:H,8,FALSE)</f>
        <v>Gold</v>
      </c>
    </row>
    <row r="219" spans="1:8" x14ac:dyDescent="0.25">
      <c r="A219" s="9" t="s">
        <v>710</v>
      </c>
      <c r="B219" s="4" t="str">
        <f>VLOOKUP(A219,'f Excel formulas for calculatio'!A:H,2,FALSE)</f>
        <v>Kathryn Garcia</v>
      </c>
      <c r="C219" s="4">
        <f>VLOOKUP(A219,'f Excel formulas for calculatio'!A:H,3,FALSE)</f>
        <v>44</v>
      </c>
      <c r="D219" s="4" t="str">
        <f>VLOOKUP(A219,'f Excel formulas for calculatio'!A:H,4,FALSE)</f>
        <v>Male</v>
      </c>
      <c r="E219" s="4" t="str">
        <f>VLOOKUP(A219,'f Excel formulas for calculatio'!A:H,5,FALSE)</f>
        <v>Morrismouth</v>
      </c>
      <c r="F219" s="4" t="str">
        <f>VLOOKUP(A219,'f Excel formulas for calculatio'!A:H,6,FALSE)</f>
        <v>California</v>
      </c>
      <c r="G219" s="4" t="str">
        <f>VLOOKUP(A219,'f Excel formulas for calculatio'!A:H,7,FALSE)</f>
        <v>USA</v>
      </c>
      <c r="H219" s="4" t="str">
        <f>VLOOKUP(A219,'f Excel formulas for calculatio'!A:H,8,FALSE)</f>
        <v>Platinum</v>
      </c>
    </row>
    <row r="220" spans="1:8" x14ac:dyDescent="0.25">
      <c r="A220" s="4" t="s">
        <v>713</v>
      </c>
      <c r="B220" s="4" t="str">
        <f>VLOOKUP(A220,'f Excel formulas for calculatio'!A:H,2,FALSE)</f>
        <v>Kathy Copeland</v>
      </c>
      <c r="C220" s="4">
        <f>VLOOKUP(A220,'f Excel formulas for calculatio'!A:H,3,FALSE)</f>
        <v>42</v>
      </c>
      <c r="D220" s="4" t="str">
        <f>VLOOKUP(A220,'f Excel formulas for calculatio'!A:H,4,FALSE)</f>
        <v>Male</v>
      </c>
      <c r="E220" s="4" t="str">
        <f>VLOOKUP(A220,'f Excel formulas for calculatio'!A:H,5,FALSE)</f>
        <v>North Christinemouth</v>
      </c>
      <c r="F220" s="4" t="str">
        <f>VLOOKUP(A220,'f Excel formulas for calculatio'!A:H,6,FALSE)</f>
        <v>Missouri</v>
      </c>
      <c r="G220" s="4" t="str">
        <f>VLOOKUP(A220,'f Excel formulas for calculatio'!A:H,7,FALSE)</f>
        <v>USA</v>
      </c>
      <c r="H220" s="4" t="str">
        <f>VLOOKUP(A220,'f Excel formulas for calculatio'!A:H,8,FALSE)</f>
        <v>Silver</v>
      </c>
    </row>
    <row r="221" spans="1:8" x14ac:dyDescent="0.25">
      <c r="A221" s="9" t="s">
        <v>716</v>
      </c>
      <c r="B221" s="4" t="str">
        <f>VLOOKUP(A221,'f Excel formulas for calculatio'!A:H,2,FALSE)</f>
        <v>Julia Jackson</v>
      </c>
      <c r="C221" s="4">
        <f>VLOOKUP(A221,'f Excel formulas for calculatio'!A:H,3,FALSE)</f>
        <v>46</v>
      </c>
      <c r="D221" s="4" t="str">
        <f>VLOOKUP(A221,'f Excel formulas for calculatio'!A:H,4,FALSE)</f>
        <v>Male</v>
      </c>
      <c r="E221" s="4" t="str">
        <f>VLOOKUP(A221,'f Excel formulas for calculatio'!A:H,5,FALSE)</f>
        <v>Edwardland</v>
      </c>
      <c r="F221" s="4" t="str">
        <f>VLOOKUP(A221,'f Excel formulas for calculatio'!A:H,6,FALSE)</f>
        <v>California</v>
      </c>
      <c r="G221" s="4" t="str">
        <f>VLOOKUP(A221,'f Excel formulas for calculatio'!A:H,7,FALSE)</f>
        <v>USA</v>
      </c>
      <c r="H221" s="4" t="str">
        <f>VLOOKUP(A221,'f Excel formulas for calculatio'!A:H,8,FALSE)</f>
        <v>Platinum</v>
      </c>
    </row>
    <row r="222" spans="1:8" x14ac:dyDescent="0.25">
      <c r="A222" s="4" t="s">
        <v>719</v>
      </c>
      <c r="B222" s="4" t="str">
        <f>VLOOKUP(A222,'f Excel formulas for calculatio'!A:H,2,FALSE)</f>
        <v>Jordan Wells</v>
      </c>
      <c r="C222" s="4">
        <f>VLOOKUP(A222,'f Excel formulas for calculatio'!A:H,3,FALSE)</f>
        <v>47</v>
      </c>
      <c r="D222" s="4" t="str">
        <f>VLOOKUP(A222,'f Excel formulas for calculatio'!A:H,4,FALSE)</f>
        <v>Female</v>
      </c>
      <c r="E222" s="4" t="str">
        <f>VLOOKUP(A222,'f Excel formulas for calculatio'!A:H,5,FALSE)</f>
        <v xml:space="preserve">Phillipschester   </v>
      </c>
      <c r="F222" s="4" t="str">
        <f>VLOOKUP(A222,'f Excel formulas for calculatio'!A:H,6,FALSE)</f>
        <v>New Jersey</v>
      </c>
      <c r="G222" s="4" t="str">
        <f>VLOOKUP(A222,'f Excel formulas for calculatio'!A:H,7,FALSE)</f>
        <v>USA</v>
      </c>
      <c r="H222" s="4" t="str">
        <f>VLOOKUP(A222,'f Excel formulas for calculatio'!A:H,8,FALSE)</f>
        <v>Gold</v>
      </c>
    </row>
    <row r="223" spans="1:8" x14ac:dyDescent="0.25">
      <c r="A223" s="9" t="s">
        <v>722</v>
      </c>
      <c r="B223" s="4" t="str">
        <f>VLOOKUP(A223,'f Excel formulas for calculatio'!A:H,2,FALSE)</f>
        <v>George Davis</v>
      </c>
      <c r="C223" s="4">
        <f>VLOOKUP(A223,'f Excel formulas for calculatio'!A:H,3,FALSE)</f>
        <v>50</v>
      </c>
      <c r="D223" s="4" t="str">
        <f>VLOOKUP(A223,'f Excel formulas for calculatio'!A:H,4,FALSE)</f>
        <v>Female</v>
      </c>
      <c r="E223" s="4" t="str">
        <f>VLOOKUP(A223,'f Excel formulas for calculatio'!A:H,5,FALSE)</f>
        <v xml:space="preserve">    lake lisa</v>
      </c>
      <c r="F223" s="4" t="str">
        <f>VLOOKUP(A223,'f Excel formulas for calculatio'!A:H,6,FALSE)</f>
        <v>Massachusetts</v>
      </c>
      <c r="G223" s="4" t="str">
        <f>VLOOKUP(A223,'f Excel formulas for calculatio'!A:H,7,FALSE)</f>
        <v>usa</v>
      </c>
      <c r="H223" s="4" t="str">
        <f>VLOOKUP(A223,'f Excel formulas for calculatio'!A:H,8,FALSE)</f>
        <v>Bronze</v>
      </c>
    </row>
    <row r="224" spans="1:8" x14ac:dyDescent="0.25">
      <c r="A224" s="4" t="s">
        <v>726</v>
      </c>
      <c r="B224" s="4" t="str">
        <f>VLOOKUP(A224,'f Excel formulas for calculatio'!A:H,2,FALSE)</f>
        <v>Lisa Young</v>
      </c>
      <c r="C224" s="4">
        <f>VLOOKUP(A224,'f Excel formulas for calculatio'!A:H,3,FALSE)</f>
        <v>38</v>
      </c>
      <c r="D224" s="4" t="str">
        <f>VLOOKUP(A224,'f Excel formulas for calculatio'!A:H,4,FALSE)</f>
        <v>Male</v>
      </c>
      <c r="E224" s="4" t="str">
        <f>VLOOKUP(A224,'f Excel formulas for calculatio'!A:H,5,FALSE)</f>
        <v>Maybury</v>
      </c>
      <c r="F224" s="4" t="str">
        <f>VLOOKUP(A224,'f Excel formulas for calculatio'!A:H,6,FALSE)</f>
        <v>Georgia</v>
      </c>
      <c r="G224" s="4" t="str">
        <f>VLOOKUP(A224,'f Excel formulas for calculatio'!A:H,7,FALSE)</f>
        <v>USA</v>
      </c>
      <c r="H224" s="4" t="str">
        <f>VLOOKUP(A224,'f Excel formulas for calculatio'!A:H,8,FALSE)</f>
        <v>Platinum</v>
      </c>
    </row>
    <row r="225" spans="1:8" x14ac:dyDescent="0.25">
      <c r="A225" s="9" t="s">
        <v>729</v>
      </c>
      <c r="B225" s="4" t="str">
        <f>VLOOKUP(A225,'f Excel formulas for calculatio'!A:H,2,FALSE)</f>
        <v>Alejandro Doyle</v>
      </c>
      <c r="C225" s="4">
        <f>VLOOKUP(A225,'f Excel formulas for calculatio'!A:H,3,FALSE)</f>
        <v>35</v>
      </c>
      <c r="D225" s="4" t="str">
        <f>VLOOKUP(A225,'f Excel formulas for calculatio'!A:H,4,FALSE)</f>
        <v>Male</v>
      </c>
      <c r="E225" s="4" t="str">
        <f>VLOOKUP(A225,'f Excel formulas for calculatio'!A:H,5,FALSE)</f>
        <v>East Crystalton</v>
      </c>
      <c r="F225" s="4" t="str">
        <f>VLOOKUP(A225,'f Excel formulas for calculatio'!A:H,6,FALSE)</f>
        <v>New Mexico</v>
      </c>
      <c r="G225" s="4" t="str">
        <f>VLOOKUP(A225,'f Excel formulas for calculatio'!A:H,7,FALSE)</f>
        <v>USA</v>
      </c>
      <c r="H225" s="4" t="str">
        <f>VLOOKUP(A225,'f Excel formulas for calculatio'!A:H,8,FALSE)</f>
        <v>Platinum</v>
      </c>
    </row>
    <row r="226" spans="1:8" x14ac:dyDescent="0.25">
      <c r="A226" s="4" t="s">
        <v>732</v>
      </c>
      <c r="B226" s="4" t="str">
        <f>VLOOKUP(A226,'f Excel formulas for calculatio'!A:H,2,FALSE)</f>
        <v>Robert Harris</v>
      </c>
      <c r="C226" s="4">
        <f>VLOOKUP(A226,'f Excel formulas for calculatio'!A:H,3,FALSE)</f>
        <v>50</v>
      </c>
      <c r="D226" s="4" t="str">
        <f>VLOOKUP(A226,'f Excel formulas for calculatio'!A:H,4,FALSE)</f>
        <v>Male</v>
      </c>
      <c r="E226" s="4" t="str">
        <f>VLOOKUP(A226,'f Excel formulas for calculatio'!A:H,5,FALSE)</f>
        <v>East jeremy</v>
      </c>
      <c r="F226" s="4" t="str">
        <f>VLOOKUP(A226,'f Excel formulas for calculatio'!A:H,6,FALSE)</f>
        <v>Iowa</v>
      </c>
      <c r="G226" s="4" t="str">
        <f>VLOOKUP(A226,'f Excel formulas for calculatio'!A:H,7,FALSE)</f>
        <v>USA</v>
      </c>
      <c r="H226" s="4" t="str">
        <f>VLOOKUP(A226,'f Excel formulas for calculatio'!A:H,8,FALSE)</f>
        <v>Platinum</v>
      </c>
    </row>
    <row r="227" spans="1:8" x14ac:dyDescent="0.25">
      <c r="A227" s="9" t="s">
        <v>735</v>
      </c>
      <c r="B227" s="4" t="str">
        <f>VLOOKUP(A227,'f Excel formulas for calculatio'!A:H,2,FALSE)</f>
        <v>Anthony Morgan</v>
      </c>
      <c r="C227" s="4">
        <f>VLOOKUP(A227,'f Excel formulas for calculatio'!A:H,3,FALSE)</f>
        <v>29</v>
      </c>
      <c r="D227" s="4" t="str">
        <f>VLOOKUP(A227,'f Excel formulas for calculatio'!A:H,4,FALSE)</f>
        <v>Male</v>
      </c>
      <c r="E227" s="4" t="str">
        <f>VLOOKUP(A227,'f Excel formulas for calculatio'!A:H,5,FALSE)</f>
        <v>New Anthonyfurt</v>
      </c>
      <c r="F227" s="4" t="str">
        <f>VLOOKUP(A227,'f Excel formulas for calculatio'!A:H,6,FALSE)</f>
        <v>Missouri</v>
      </c>
      <c r="G227" s="4" t="str">
        <f>VLOOKUP(A227,'f Excel formulas for calculatio'!A:H,7,FALSE)</f>
        <v>USA</v>
      </c>
      <c r="H227" s="4" t="str">
        <f>VLOOKUP(A227,'f Excel formulas for calculatio'!A:H,8,FALSE)</f>
        <v>Silver</v>
      </c>
    </row>
    <row r="228" spans="1:8" x14ac:dyDescent="0.25">
      <c r="A228" s="4" t="s">
        <v>738</v>
      </c>
      <c r="B228" s="4" t="str">
        <f>VLOOKUP(A228,'f Excel formulas for calculatio'!A:H,2,FALSE)</f>
        <v>Elizabeth Stanley</v>
      </c>
      <c r="C228" s="4">
        <f>VLOOKUP(A228,'f Excel formulas for calculatio'!A:H,3,FALSE)</f>
        <v>46</v>
      </c>
      <c r="D228" s="4" t="str">
        <f>VLOOKUP(A228,'f Excel formulas for calculatio'!A:H,4,FALSE)</f>
        <v>Female</v>
      </c>
      <c r="E228" s="4" t="str">
        <f>VLOOKUP(A228,'f Excel formulas for calculatio'!A:H,5,FALSE)</f>
        <v>Bethanyton</v>
      </c>
      <c r="F228" s="4" t="str">
        <f>VLOOKUP(A228,'f Excel formulas for calculatio'!A:H,6,FALSE)</f>
        <v>Utah</v>
      </c>
      <c r="G228" s="4" t="str">
        <f>VLOOKUP(A228,'f Excel formulas for calculatio'!A:H,7,FALSE)</f>
        <v>USA</v>
      </c>
      <c r="H228" s="4" t="str">
        <f>VLOOKUP(A228,'f Excel formulas for calculatio'!A:H,8,FALSE)</f>
        <v>Platinum</v>
      </c>
    </row>
    <row r="229" spans="1:8" x14ac:dyDescent="0.25">
      <c r="A229" s="9" t="s">
        <v>741</v>
      </c>
      <c r="B229" s="4" t="str">
        <f>VLOOKUP(A229,'f Excel formulas for calculatio'!A:H,2,FALSE)</f>
        <v>Alexis Castaneda</v>
      </c>
      <c r="C229" s="4">
        <f>VLOOKUP(A229,'f Excel formulas for calculatio'!A:H,3,FALSE)</f>
        <v>54</v>
      </c>
      <c r="D229" s="4" t="str">
        <f>VLOOKUP(A229,'f Excel formulas for calculatio'!A:H,4,FALSE)</f>
        <v>Male</v>
      </c>
      <c r="E229" s="4" t="str">
        <f>VLOOKUP(A229,'f Excel formulas for calculatio'!A:H,5,FALSE)</f>
        <v>Morrisbury</v>
      </c>
      <c r="F229" s="4" t="str">
        <f>VLOOKUP(A229,'f Excel formulas for calculatio'!A:H,6,FALSE)</f>
        <v>Alaska</v>
      </c>
      <c r="G229" s="4" t="str">
        <f>VLOOKUP(A229,'f Excel formulas for calculatio'!A:H,7,FALSE)</f>
        <v>USA</v>
      </c>
      <c r="H229" s="4" t="str">
        <f>VLOOKUP(A229,'f Excel formulas for calculatio'!A:H,8,FALSE)</f>
        <v>Gold</v>
      </c>
    </row>
    <row r="230" spans="1:8" x14ac:dyDescent="0.25">
      <c r="A230" s="4" t="s">
        <v>743</v>
      </c>
      <c r="B230" s="4" t="str">
        <f>VLOOKUP(A230,'f Excel formulas for calculatio'!A:H,2,FALSE)</f>
        <v>Gregory Pham</v>
      </c>
      <c r="C230" s="4">
        <f>VLOOKUP(A230,'f Excel formulas for calculatio'!A:H,3,FALSE)</f>
        <v>63</v>
      </c>
      <c r="D230" s="4" t="str">
        <f>VLOOKUP(A230,'f Excel formulas for calculatio'!A:H,4,FALSE)</f>
        <v>Female</v>
      </c>
      <c r="E230" s="4" t="str">
        <f>VLOOKUP(A230,'f Excel formulas for calculatio'!A:H,5,FALSE)</f>
        <v>Pollardton</v>
      </c>
      <c r="F230" s="4" t="str">
        <f>VLOOKUP(A230,'f Excel formulas for calculatio'!A:H,6,FALSE)</f>
        <v>Kansas</v>
      </c>
      <c r="G230" s="4" t="str">
        <f>VLOOKUP(A230,'f Excel formulas for calculatio'!A:H,7,FALSE)</f>
        <v>USA</v>
      </c>
      <c r="H230" s="4" t="str">
        <f>VLOOKUP(A230,'f Excel formulas for calculatio'!A:H,8,FALSE)</f>
        <v>Gold</v>
      </c>
    </row>
    <row r="231" spans="1:8" x14ac:dyDescent="0.25">
      <c r="A231" s="9" t="s">
        <v>746</v>
      </c>
      <c r="B231" s="4" t="str">
        <f>VLOOKUP(A231,'f Excel formulas for calculatio'!A:H,2,FALSE)</f>
        <v>Casey Flores</v>
      </c>
      <c r="C231" s="4">
        <f>VLOOKUP(A231,'f Excel formulas for calculatio'!A:H,3,FALSE)</f>
        <v>52</v>
      </c>
      <c r="D231" s="4" t="str">
        <f>VLOOKUP(A231,'f Excel formulas for calculatio'!A:H,4,FALSE)</f>
        <v>Female</v>
      </c>
      <c r="E231" s="4" t="str">
        <f>VLOOKUP(A231,'f Excel formulas for calculatio'!A:H,5,FALSE)</f>
        <v>Lake Michael</v>
      </c>
      <c r="F231" s="4" t="str">
        <f>VLOOKUP(A231,'f Excel formulas for calculatio'!A:H,6,FALSE)</f>
        <v>Utah</v>
      </c>
      <c r="G231" s="4" t="str">
        <f>VLOOKUP(A231,'f Excel formulas for calculatio'!A:H,7,FALSE)</f>
        <v>USA</v>
      </c>
      <c r="H231" s="4" t="str">
        <f>VLOOKUP(A231,'f Excel formulas for calculatio'!A:H,8,FALSE)</f>
        <v>Gold</v>
      </c>
    </row>
    <row r="232" spans="1:8" x14ac:dyDescent="0.25">
      <c r="A232" s="4" t="s">
        <v>748</v>
      </c>
      <c r="B232" s="4" t="str">
        <f>VLOOKUP(A232,'f Excel formulas for calculatio'!A:H,2,FALSE)</f>
        <v>Tanner Thompson</v>
      </c>
      <c r="C232" s="4">
        <f>VLOOKUP(A232,'f Excel formulas for calculatio'!A:H,3,FALSE)</f>
        <v>32</v>
      </c>
      <c r="D232" s="4" t="str">
        <f>VLOOKUP(A232,'f Excel formulas for calculatio'!A:H,4,FALSE)</f>
        <v>Female</v>
      </c>
      <c r="E232" s="4" t="str">
        <f>VLOOKUP(A232,'f Excel formulas for calculatio'!A:H,5,FALSE)</f>
        <v>Port Lisashire</v>
      </c>
      <c r="F232" s="4" t="str">
        <f>VLOOKUP(A232,'f Excel formulas for calculatio'!A:H,6,FALSE)</f>
        <v>Maryland</v>
      </c>
      <c r="G232" s="4" t="str">
        <f>VLOOKUP(A232,'f Excel formulas for calculatio'!A:H,7,FALSE)</f>
        <v>USA</v>
      </c>
      <c r="H232" s="4" t="str">
        <f>VLOOKUP(A232,'f Excel formulas for calculatio'!A:H,8,FALSE)</f>
        <v>Bronze</v>
      </c>
    </row>
    <row r="233" spans="1:8" x14ac:dyDescent="0.25">
      <c r="A233" s="9" t="s">
        <v>751</v>
      </c>
      <c r="B233" s="4" t="str">
        <f>VLOOKUP(A233,'f Excel formulas for calculatio'!A:H,2,FALSE)</f>
        <v>Timothy Sanders</v>
      </c>
      <c r="C233" s="4">
        <f>VLOOKUP(A233,'f Excel formulas for calculatio'!A:H,3,FALSE)</f>
        <v>29</v>
      </c>
      <c r="D233" s="4" t="str">
        <f>VLOOKUP(A233,'f Excel formulas for calculatio'!A:H,4,FALSE)</f>
        <v>Male</v>
      </c>
      <c r="E233" s="4" t="str">
        <f>VLOOKUP(A233,'f Excel formulas for calculatio'!A:H,5,FALSE)</f>
        <v>Aaronmouth</v>
      </c>
      <c r="F233" s="4" t="str">
        <f>VLOOKUP(A233,'f Excel formulas for calculatio'!A:H,6,FALSE)</f>
        <v>Florida</v>
      </c>
      <c r="G233" s="4" t="str">
        <f>VLOOKUP(A233,'f Excel formulas for calculatio'!A:H,7,FALSE)</f>
        <v>USA</v>
      </c>
      <c r="H233" s="4" t="str">
        <f>VLOOKUP(A233,'f Excel formulas for calculatio'!A:H,8,FALSE)</f>
        <v>Bronze</v>
      </c>
    </row>
    <row r="234" spans="1:8" x14ac:dyDescent="0.25">
      <c r="A234" s="4" t="s">
        <v>754</v>
      </c>
      <c r="B234" s="4" t="str">
        <f>VLOOKUP(A234,'f Excel formulas for calculatio'!A:H,2,FALSE)</f>
        <v>Timothy Juarez</v>
      </c>
      <c r="C234" s="4">
        <f>VLOOKUP(A234,'f Excel formulas for calculatio'!A:H,3,FALSE)</f>
        <v>22</v>
      </c>
      <c r="D234" s="4" t="str">
        <f>VLOOKUP(A234,'f Excel formulas for calculatio'!A:H,4,FALSE)</f>
        <v>Female</v>
      </c>
      <c r="E234" s="4" t="str">
        <f>VLOOKUP(A234,'f Excel formulas for calculatio'!A:H,5,FALSE)</f>
        <v>Grahamstad</v>
      </c>
      <c r="F234" s="4" t="str">
        <f>VLOOKUP(A234,'f Excel formulas for calculatio'!A:H,6,FALSE)</f>
        <v>South Carolina</v>
      </c>
      <c r="G234" s="4" t="str">
        <f>VLOOKUP(A234,'f Excel formulas for calculatio'!A:H,7,FALSE)</f>
        <v>USA</v>
      </c>
      <c r="H234" s="4" t="str">
        <f>VLOOKUP(A234,'f Excel formulas for calculatio'!A:H,8,FALSE)</f>
        <v>Bronze</v>
      </c>
    </row>
    <row r="235" spans="1:8" x14ac:dyDescent="0.25">
      <c r="A235" s="9" t="s">
        <v>757</v>
      </c>
      <c r="B235" s="4" t="str">
        <f>VLOOKUP(A235,'f Excel formulas for calculatio'!A:H,2,FALSE)</f>
        <v>Christy Hill</v>
      </c>
      <c r="C235" s="4">
        <f>VLOOKUP(A235,'f Excel formulas for calculatio'!A:H,3,FALSE)</f>
        <v>27</v>
      </c>
      <c r="D235" s="4" t="str">
        <f>VLOOKUP(A235,'f Excel formulas for calculatio'!A:H,4,FALSE)</f>
        <v>Female</v>
      </c>
      <c r="E235" s="4" t="str">
        <f>VLOOKUP(A235,'f Excel formulas for calculatio'!A:H,5,FALSE)</f>
        <v>Tammyton</v>
      </c>
      <c r="F235" s="4" t="str">
        <f>VLOOKUP(A235,'f Excel formulas for calculatio'!A:H,6,FALSE)</f>
        <v>New Jersey</v>
      </c>
      <c r="G235" s="4" t="str">
        <f>VLOOKUP(A235,'f Excel formulas for calculatio'!A:H,7,FALSE)</f>
        <v>USA</v>
      </c>
      <c r="H235" s="4" t="str">
        <f>VLOOKUP(A235,'f Excel formulas for calculatio'!A:H,8,FALSE)</f>
        <v>Platinum</v>
      </c>
    </row>
    <row r="236" spans="1:8" x14ac:dyDescent="0.25">
      <c r="A236" s="4" t="s">
        <v>760</v>
      </c>
      <c r="B236" s="4" t="str">
        <f>VLOOKUP(A236,'f Excel formulas for calculatio'!A:H,2,FALSE)</f>
        <v>Michelle Gonzalez</v>
      </c>
      <c r="C236" s="4">
        <f>VLOOKUP(A236,'f Excel formulas for calculatio'!A:H,3,FALSE)</f>
        <v>59</v>
      </c>
      <c r="D236" s="4" t="str">
        <f>VLOOKUP(A236,'f Excel formulas for calculatio'!A:H,4,FALSE)</f>
        <v>Male</v>
      </c>
      <c r="E236" s="4" t="str">
        <f>VLOOKUP(A236,'f Excel formulas for calculatio'!A:H,5,FALSE)</f>
        <v>Clarkport</v>
      </c>
      <c r="F236" s="4" t="str">
        <f>VLOOKUP(A236,'f Excel formulas for calculatio'!A:H,6,FALSE)</f>
        <v>West Virginia</v>
      </c>
      <c r="G236" s="4" t="str">
        <f>VLOOKUP(A236,'f Excel formulas for calculatio'!A:H,7,FALSE)</f>
        <v>USA</v>
      </c>
      <c r="H236" s="4" t="str">
        <f>VLOOKUP(A236,'f Excel formulas for calculatio'!A:H,8,FALSE)</f>
        <v>Silver</v>
      </c>
    </row>
    <row r="237" spans="1:8" x14ac:dyDescent="0.25">
      <c r="A237" s="9" t="s">
        <v>763</v>
      </c>
      <c r="B237" s="4" t="str">
        <f>VLOOKUP(A237,'f Excel formulas for calculatio'!A:H,2,FALSE)</f>
        <v>Nathaniel Hill</v>
      </c>
      <c r="C237" s="4">
        <f>VLOOKUP(A237,'f Excel formulas for calculatio'!A:H,3,FALSE)</f>
        <v>43</v>
      </c>
      <c r="D237" s="4" t="str">
        <f>VLOOKUP(A237,'f Excel formulas for calculatio'!A:H,4,FALSE)</f>
        <v>Female</v>
      </c>
      <c r="E237" s="4" t="str">
        <f>VLOOKUP(A237,'f Excel formulas for calculatio'!A:H,5,FALSE)</f>
        <v>Lake Mark</v>
      </c>
      <c r="F237" s="4" t="str">
        <f>VLOOKUP(A237,'f Excel formulas for calculatio'!A:H,6,FALSE)</f>
        <v>Kansas</v>
      </c>
      <c r="G237" s="4" t="str">
        <f>VLOOKUP(A237,'f Excel formulas for calculatio'!A:H,7,FALSE)</f>
        <v>USA</v>
      </c>
      <c r="H237" s="4" t="str">
        <f>VLOOKUP(A237,'f Excel formulas for calculatio'!A:H,8,FALSE)</f>
        <v>Gold</v>
      </c>
    </row>
    <row r="238" spans="1:8" x14ac:dyDescent="0.25">
      <c r="A238" s="4" t="s">
        <v>766</v>
      </c>
      <c r="B238" s="4" t="str">
        <f>VLOOKUP(A238,'f Excel formulas for calculatio'!A:H,2,FALSE)</f>
        <v>Jon Ortiz</v>
      </c>
      <c r="C238" s="4">
        <f>VLOOKUP(A238,'f Excel formulas for calculatio'!A:H,3,FALSE)</f>
        <v>28</v>
      </c>
      <c r="D238" s="4" t="str">
        <f>VLOOKUP(A238,'f Excel formulas for calculatio'!A:H,4,FALSE)</f>
        <v>Female</v>
      </c>
      <c r="E238" s="4" t="str">
        <f>VLOOKUP(A238,'f Excel formulas for calculatio'!A:H,5,FALSE)</f>
        <v>South Angelaport</v>
      </c>
      <c r="F238" s="4" t="str">
        <f>VLOOKUP(A238,'f Excel formulas for calculatio'!A:H,6,FALSE)</f>
        <v>Delaware</v>
      </c>
      <c r="G238" s="4" t="str">
        <f>VLOOKUP(A238,'f Excel formulas for calculatio'!A:H,7,FALSE)</f>
        <v>USA</v>
      </c>
      <c r="H238" s="4" t="str">
        <f>VLOOKUP(A238,'f Excel formulas for calculatio'!A:H,8,FALSE)</f>
        <v>Bronze</v>
      </c>
    </row>
    <row r="239" spans="1:8" x14ac:dyDescent="0.25">
      <c r="A239" s="9" t="s">
        <v>769</v>
      </c>
      <c r="B239" s="4" t="str">
        <f>VLOOKUP(A239,'f Excel formulas for calculatio'!A:H,2,FALSE)</f>
        <v>Joshua Wilson</v>
      </c>
      <c r="C239" s="4">
        <f>VLOOKUP(A239,'f Excel formulas for calculatio'!A:H,3,FALSE)</f>
        <v>42</v>
      </c>
      <c r="D239" s="4" t="str">
        <f>VLOOKUP(A239,'f Excel formulas for calculatio'!A:H,4,FALSE)</f>
        <v>Female</v>
      </c>
      <c r="E239" s="4" t="str">
        <f>VLOOKUP(A239,'f Excel formulas for calculatio'!A:H,5,FALSE)</f>
        <v>North Larryport</v>
      </c>
      <c r="F239" s="4" t="str">
        <f>VLOOKUP(A239,'f Excel formulas for calculatio'!A:H,6,FALSE)</f>
        <v>Virginia</v>
      </c>
      <c r="G239" s="4" t="str">
        <f>VLOOKUP(A239,'f Excel formulas for calculatio'!A:H,7,FALSE)</f>
        <v>USA</v>
      </c>
      <c r="H239" s="4" t="str">
        <f>VLOOKUP(A239,'f Excel formulas for calculatio'!A:H,8,FALSE)</f>
        <v>Bronze</v>
      </c>
    </row>
    <row r="240" spans="1:8" x14ac:dyDescent="0.25">
      <c r="A240" s="4" t="s">
        <v>772</v>
      </c>
      <c r="B240" s="4" t="str">
        <f>VLOOKUP(A240,'f Excel formulas for calculatio'!A:H,2,FALSE)</f>
        <v>Wesley Short</v>
      </c>
      <c r="C240" s="4">
        <f>VLOOKUP(A240,'f Excel formulas for calculatio'!A:H,3,FALSE)</f>
        <v>41</v>
      </c>
      <c r="D240" s="4" t="str">
        <f>VLOOKUP(A240,'f Excel formulas for calculatio'!A:H,4,FALSE)</f>
        <v>Female</v>
      </c>
      <c r="E240" s="4" t="str">
        <f>VLOOKUP(A240,'f Excel formulas for calculatio'!A:H,5,FALSE)</f>
        <v>Susanstad</v>
      </c>
      <c r="F240" s="4" t="str">
        <f>VLOOKUP(A240,'f Excel formulas for calculatio'!A:H,6,FALSE)</f>
        <v>Montana</v>
      </c>
      <c r="G240" s="4" t="str">
        <f>VLOOKUP(A240,'f Excel formulas for calculatio'!A:H,7,FALSE)</f>
        <v>USA</v>
      </c>
      <c r="H240" s="4" t="str">
        <f>VLOOKUP(A240,'f Excel formulas for calculatio'!A:H,8,FALSE)</f>
        <v>Gold</v>
      </c>
    </row>
    <row r="241" spans="1:8" x14ac:dyDescent="0.25">
      <c r="A241" s="9" t="s">
        <v>775</v>
      </c>
      <c r="B241" s="4" t="str">
        <f>VLOOKUP(A241,'f Excel formulas for calculatio'!A:H,2,FALSE)</f>
        <v>Steven Smith</v>
      </c>
      <c r="C241" s="4">
        <f>VLOOKUP(A241,'f Excel formulas for calculatio'!A:H,3,FALSE)</f>
        <v>40</v>
      </c>
      <c r="D241" s="4" t="str">
        <f>VLOOKUP(A241,'f Excel formulas for calculatio'!A:H,4,FALSE)</f>
        <v>Male</v>
      </c>
      <c r="E241" s="4" t="str">
        <f>VLOOKUP(A241,'f Excel formulas for calculatio'!A:H,5,FALSE)</f>
        <v>Port Krista</v>
      </c>
      <c r="F241" s="4" t="str">
        <f>VLOOKUP(A241,'f Excel formulas for calculatio'!A:H,6,FALSE)</f>
        <v>West Virginia</v>
      </c>
      <c r="G241" s="4" t="str">
        <f>VLOOKUP(A241,'f Excel formulas for calculatio'!A:H,7,FALSE)</f>
        <v>USA</v>
      </c>
      <c r="H241" s="4" t="str">
        <f>VLOOKUP(A241,'f Excel formulas for calculatio'!A:H,8,FALSE)</f>
        <v>Platinum</v>
      </c>
    </row>
    <row r="242" spans="1:8" x14ac:dyDescent="0.25">
      <c r="A242" s="4" t="s">
        <v>778</v>
      </c>
      <c r="B242" s="4" t="str">
        <f>VLOOKUP(A242,'f Excel formulas for calculatio'!A:H,2,FALSE)</f>
        <v>Maria Hill</v>
      </c>
      <c r="C242" s="4">
        <f>VLOOKUP(A242,'f Excel formulas for calculatio'!A:H,3,FALSE)</f>
        <v>58</v>
      </c>
      <c r="D242" s="4" t="str">
        <f>VLOOKUP(A242,'f Excel formulas for calculatio'!A:H,4,FALSE)</f>
        <v>Female</v>
      </c>
      <c r="E242" s="4" t="str">
        <f>VLOOKUP(A242,'f Excel formulas for calculatio'!A:H,5,FALSE)</f>
        <v>Zamoraborough</v>
      </c>
      <c r="F242" s="4" t="str">
        <f>VLOOKUP(A242,'f Excel formulas for calculatio'!A:H,6,FALSE)</f>
        <v>Nevada</v>
      </c>
      <c r="G242" s="4" t="str">
        <f>VLOOKUP(A242,'f Excel formulas for calculatio'!A:H,7,FALSE)</f>
        <v>USA</v>
      </c>
      <c r="H242" s="4" t="str">
        <f>VLOOKUP(A242,'f Excel formulas for calculatio'!A:H,8,FALSE)</f>
        <v>Platinum</v>
      </c>
    </row>
    <row r="243" spans="1:8" x14ac:dyDescent="0.25">
      <c r="A243" s="9" t="s">
        <v>781</v>
      </c>
      <c r="B243" s="4" t="str">
        <f>VLOOKUP(A243,'f Excel formulas for calculatio'!A:H,2,FALSE)</f>
        <v>William Hull</v>
      </c>
      <c r="C243" s="4">
        <f>VLOOKUP(A243,'f Excel formulas for calculatio'!A:H,3,FALSE)</f>
        <v>59</v>
      </c>
      <c r="D243" s="4" t="str">
        <f>VLOOKUP(A243,'f Excel formulas for calculatio'!A:H,4,FALSE)</f>
        <v>Female</v>
      </c>
      <c r="E243" s="4" t="str">
        <f>VLOOKUP(A243,'f Excel formulas for calculatio'!A:H,5,FALSE)</f>
        <v>Heathfort</v>
      </c>
      <c r="F243" s="4" t="str">
        <f>VLOOKUP(A243,'f Excel formulas for calculatio'!A:H,6,FALSE)</f>
        <v>Michigan</v>
      </c>
      <c r="G243" s="4" t="str">
        <f>VLOOKUP(A243,'f Excel formulas for calculatio'!A:H,7,FALSE)</f>
        <v>USA</v>
      </c>
      <c r="H243" s="4" t="str">
        <f>VLOOKUP(A243,'f Excel formulas for calculatio'!A:H,8,FALSE)</f>
        <v>Platinum</v>
      </c>
    </row>
    <row r="244" spans="1:8" x14ac:dyDescent="0.25">
      <c r="A244" s="4" t="s">
        <v>784</v>
      </c>
      <c r="B244" s="4" t="str">
        <f>VLOOKUP(A244,'f Excel formulas for calculatio'!A:H,2,FALSE)</f>
        <v>Mr. William Horton</v>
      </c>
      <c r="C244" s="4">
        <f>VLOOKUP(A244,'f Excel formulas for calculatio'!A:H,3,FALSE)</f>
        <v>31</v>
      </c>
      <c r="D244" s="4" t="str">
        <f>VLOOKUP(A244,'f Excel formulas for calculatio'!A:H,4,FALSE)</f>
        <v>Male</v>
      </c>
      <c r="E244" s="4" t="str">
        <f>VLOOKUP(A244,'f Excel formulas for calculatio'!A:H,5,FALSE)</f>
        <v>Dawsonchester</v>
      </c>
      <c r="F244" s="4" t="str">
        <f>VLOOKUP(A244,'f Excel formulas for calculatio'!A:H,6,FALSE)</f>
        <v>Virginia</v>
      </c>
      <c r="G244" s="4" t="str">
        <f>VLOOKUP(A244,'f Excel formulas for calculatio'!A:H,7,FALSE)</f>
        <v>USA</v>
      </c>
      <c r="H244" s="4" t="str">
        <f>VLOOKUP(A244,'f Excel formulas for calculatio'!A:H,8,FALSE)</f>
        <v>Platinum</v>
      </c>
    </row>
    <row r="245" spans="1:8" x14ac:dyDescent="0.25">
      <c r="A245" s="9" t="s">
        <v>787</v>
      </c>
      <c r="B245" s="4" t="str">
        <f>VLOOKUP(A245,'f Excel formulas for calculatio'!A:H,2,FALSE)</f>
        <v>William Jackson</v>
      </c>
      <c r="C245" s="4">
        <f>VLOOKUP(A245,'f Excel formulas for calculatio'!A:H,3,FALSE)</f>
        <v>58</v>
      </c>
      <c r="D245" s="4" t="str">
        <f>VLOOKUP(A245,'f Excel formulas for calculatio'!A:H,4,FALSE)</f>
        <v>Female</v>
      </c>
      <c r="E245" s="4" t="str">
        <f>VLOOKUP(A245,'f Excel formulas for calculatio'!A:H,5,FALSE)</f>
        <v>New Tina</v>
      </c>
      <c r="F245" s="4" t="str">
        <f>VLOOKUP(A245,'f Excel formulas for calculatio'!A:H,6,FALSE)</f>
        <v>Connecticut</v>
      </c>
      <c r="G245" s="4" t="str">
        <f>VLOOKUP(A245,'f Excel formulas for calculatio'!A:H,7,FALSE)</f>
        <v>USA</v>
      </c>
      <c r="H245" s="4" t="str">
        <f>VLOOKUP(A245,'f Excel formulas for calculatio'!A:H,8,FALSE)</f>
        <v>Silver</v>
      </c>
    </row>
    <row r="246" spans="1:8" x14ac:dyDescent="0.25">
      <c r="A246" s="4" t="s">
        <v>790</v>
      </c>
      <c r="B246" s="4" t="str">
        <f>VLOOKUP(A246,'f Excel formulas for calculatio'!A:H,2,FALSE)</f>
        <v>Brian Hammond</v>
      </c>
      <c r="C246" s="4">
        <f>VLOOKUP(A246,'f Excel formulas for calculatio'!A:H,3,FALSE)</f>
        <v>56</v>
      </c>
      <c r="D246" s="4" t="str">
        <f>VLOOKUP(A246,'f Excel formulas for calculatio'!A:H,4,FALSE)</f>
        <v>Female</v>
      </c>
      <c r="E246" s="4" t="str">
        <f>VLOOKUP(A246,'f Excel formulas for calculatio'!A:H,5,FALSE)</f>
        <v>North Nicholas</v>
      </c>
      <c r="F246" s="4" t="str">
        <f>VLOOKUP(A246,'f Excel formulas for calculatio'!A:H,6,FALSE)</f>
        <v>Texas</v>
      </c>
      <c r="G246" s="4" t="str">
        <f>VLOOKUP(A246,'f Excel formulas for calculatio'!A:H,7,FALSE)</f>
        <v>USA</v>
      </c>
      <c r="H246" s="4" t="str">
        <f>VLOOKUP(A246,'f Excel formulas for calculatio'!A:H,8,FALSE)</f>
        <v>Gold</v>
      </c>
    </row>
    <row r="247" spans="1:8" x14ac:dyDescent="0.25">
      <c r="A247" s="9" t="s">
        <v>793</v>
      </c>
      <c r="B247" s="4" t="str">
        <f>VLOOKUP(A247,'f Excel formulas for calculatio'!A:H,2,FALSE)</f>
        <v>Nancy Page</v>
      </c>
      <c r="C247" s="4">
        <f>VLOOKUP(A247,'f Excel formulas for calculatio'!A:H,3,FALSE)</f>
        <v>19</v>
      </c>
      <c r="D247" s="4" t="str">
        <f>VLOOKUP(A247,'f Excel formulas for calculatio'!A:H,4,FALSE)</f>
        <v>Male</v>
      </c>
      <c r="E247" s="4" t="str">
        <f>VLOOKUP(A247,'f Excel formulas for calculatio'!A:H,5,FALSE)</f>
        <v>West Julia</v>
      </c>
      <c r="F247" s="4" t="str">
        <f>VLOOKUP(A247,'f Excel formulas for calculatio'!A:H,6,FALSE)</f>
        <v>Utah</v>
      </c>
      <c r="G247" s="4" t="str">
        <f>VLOOKUP(A247,'f Excel formulas for calculatio'!A:H,7,FALSE)</f>
        <v>USA</v>
      </c>
      <c r="H247" s="4" t="str">
        <f>VLOOKUP(A247,'f Excel formulas for calculatio'!A:H,8,FALSE)</f>
        <v>Bronze</v>
      </c>
    </row>
    <row r="248" spans="1:8" x14ac:dyDescent="0.25">
      <c r="A248" s="4" t="s">
        <v>796</v>
      </c>
      <c r="B248" s="4" t="str">
        <f>VLOOKUP(A248,'f Excel formulas for calculatio'!A:H,2,FALSE)</f>
        <v>Laura Soto</v>
      </c>
      <c r="C248" s="4">
        <f>VLOOKUP(A248,'f Excel formulas for calculatio'!A:H,3,FALSE)</f>
        <v>57</v>
      </c>
      <c r="D248" s="4" t="str">
        <f>VLOOKUP(A248,'f Excel formulas for calculatio'!A:H,4,FALSE)</f>
        <v>Female</v>
      </c>
      <c r="E248" s="4" t="str">
        <f>VLOOKUP(A248,'f Excel formulas for calculatio'!A:H,5,FALSE)</f>
        <v>Rodriguezton</v>
      </c>
      <c r="F248" s="4" t="str">
        <f>VLOOKUP(A248,'f Excel formulas for calculatio'!A:H,6,FALSE)</f>
        <v>Michigan</v>
      </c>
      <c r="G248" s="4" t="str">
        <f>VLOOKUP(A248,'f Excel formulas for calculatio'!A:H,7,FALSE)</f>
        <v>USA</v>
      </c>
      <c r="H248" s="4" t="str">
        <f>VLOOKUP(A248,'f Excel formulas for calculatio'!A:H,8,FALSE)</f>
        <v>Platinum</v>
      </c>
    </row>
    <row r="249" spans="1:8" x14ac:dyDescent="0.25">
      <c r="A249" s="9" t="s">
        <v>799</v>
      </c>
      <c r="B249" s="4" t="str">
        <f>VLOOKUP(A249,'f Excel formulas for calculatio'!A:H,2,FALSE)</f>
        <v>Mary Russell</v>
      </c>
      <c r="C249" s="4">
        <f>VLOOKUP(A249,'f Excel formulas for calculatio'!A:H,3,FALSE)</f>
        <v>58</v>
      </c>
      <c r="D249" s="4" t="str">
        <f>VLOOKUP(A249,'f Excel formulas for calculatio'!A:H,4,FALSE)</f>
        <v>Male</v>
      </c>
      <c r="E249" s="4" t="str">
        <f>VLOOKUP(A249,'f Excel formulas for calculatio'!A:H,5,FALSE)</f>
        <v>South Regina</v>
      </c>
      <c r="F249" s="4" t="str">
        <f>VLOOKUP(A249,'f Excel formulas for calculatio'!A:H,6,FALSE)</f>
        <v>Arkansas</v>
      </c>
      <c r="G249" s="4" t="str">
        <f>VLOOKUP(A249,'f Excel formulas for calculatio'!A:H,7,FALSE)</f>
        <v>USA</v>
      </c>
      <c r="H249" s="4" t="str">
        <f>VLOOKUP(A249,'f Excel formulas for calculatio'!A:H,8,FALSE)</f>
        <v>Bronze</v>
      </c>
    </row>
    <row r="250" spans="1:8" x14ac:dyDescent="0.25">
      <c r="A250" s="4" t="s">
        <v>802</v>
      </c>
      <c r="B250" s="4" t="str">
        <f>VLOOKUP(A250,'f Excel formulas for calculatio'!A:H,2,FALSE)</f>
        <v>Douglas Rhodes</v>
      </c>
      <c r="C250" s="4">
        <f>VLOOKUP(A250,'f Excel formulas for calculatio'!A:H,3,FALSE)</f>
        <v>32</v>
      </c>
      <c r="D250" s="4" t="str">
        <f>VLOOKUP(A250,'f Excel formulas for calculatio'!A:H,4,FALSE)</f>
        <v>Male</v>
      </c>
      <c r="E250" s="4" t="str">
        <f>VLOOKUP(A250,'f Excel formulas for calculatio'!A:H,5,FALSE)</f>
        <v>Mikehaven</v>
      </c>
      <c r="F250" s="4" t="str">
        <f>VLOOKUP(A250,'f Excel formulas for calculatio'!A:H,6,FALSE)</f>
        <v>New Hampshire</v>
      </c>
      <c r="G250" s="4" t="str">
        <f>VLOOKUP(A250,'f Excel formulas for calculatio'!A:H,7,FALSE)</f>
        <v>USA</v>
      </c>
      <c r="H250" s="4" t="str">
        <f>VLOOKUP(A250,'f Excel formulas for calculatio'!A:H,8,FALSE)</f>
        <v>Platinum</v>
      </c>
    </row>
    <row r="251" spans="1:8" x14ac:dyDescent="0.25">
      <c r="A251" s="9" t="s">
        <v>805</v>
      </c>
      <c r="B251" s="4" t="str">
        <f>VLOOKUP(A251,'f Excel formulas for calculatio'!A:H,2,FALSE)</f>
        <v>Nicholas Webb</v>
      </c>
      <c r="C251" s="4">
        <f>VLOOKUP(A251,'f Excel formulas for calculatio'!A:H,3,FALSE)</f>
        <v>19</v>
      </c>
      <c r="D251" s="4" t="str">
        <f>VLOOKUP(A251,'f Excel formulas for calculatio'!A:H,4,FALSE)</f>
        <v>Male</v>
      </c>
      <c r="E251" s="4" t="str">
        <f>VLOOKUP(A251,'f Excel formulas for calculatio'!A:H,5,FALSE)</f>
        <v>Lake Timothy</v>
      </c>
      <c r="F251" s="4" t="str">
        <f>VLOOKUP(A251,'f Excel formulas for calculatio'!A:H,6,FALSE)</f>
        <v>Nevada</v>
      </c>
      <c r="G251" s="4" t="str">
        <f>VLOOKUP(A251,'f Excel formulas for calculatio'!A:H,7,FALSE)</f>
        <v>USA</v>
      </c>
      <c r="H251" s="4" t="str">
        <f>VLOOKUP(A251,'f Excel formulas for calculatio'!A:H,8,FALSE)</f>
        <v>Gold</v>
      </c>
    </row>
    <row r="252" spans="1:8" x14ac:dyDescent="0.25">
      <c r="A252" s="4" t="s">
        <v>808</v>
      </c>
      <c r="B252" s="4" t="str">
        <f>VLOOKUP(A252,'f Excel formulas for calculatio'!A:H,2,FALSE)</f>
        <v>Lauren George</v>
      </c>
      <c r="C252" s="4">
        <f>VLOOKUP(A252,'f Excel formulas for calculatio'!A:H,3,FALSE)</f>
        <v>41</v>
      </c>
      <c r="D252" s="4" t="str">
        <f>VLOOKUP(A252,'f Excel formulas for calculatio'!A:H,4,FALSE)</f>
        <v>Female</v>
      </c>
      <c r="E252" s="4" t="str">
        <f>VLOOKUP(A252,'f Excel formulas for calculatio'!A:H,5,FALSE)</f>
        <v>Garciamouth</v>
      </c>
      <c r="F252" s="4" t="str">
        <f>VLOOKUP(A252,'f Excel formulas for calculatio'!A:H,6,FALSE)</f>
        <v>New York</v>
      </c>
      <c r="G252" s="4" t="str">
        <f>VLOOKUP(A252,'f Excel formulas for calculatio'!A:H,7,FALSE)</f>
        <v>USA</v>
      </c>
      <c r="H252" s="4" t="str">
        <f>VLOOKUP(A252,'f Excel formulas for calculatio'!A:H,8,FALSE)</f>
        <v>Gold</v>
      </c>
    </row>
    <row r="253" spans="1:8" x14ac:dyDescent="0.25">
      <c r="A253" s="9" t="s">
        <v>811</v>
      </c>
      <c r="B253" s="4" t="str">
        <f>VLOOKUP(A253,'f Excel formulas for calculatio'!A:H,2,FALSE)</f>
        <v>Veronica Newman</v>
      </c>
      <c r="C253" s="4">
        <f>VLOOKUP(A253,'f Excel formulas for calculatio'!A:H,3,FALSE)</f>
        <v>48</v>
      </c>
      <c r="D253" s="4" t="str">
        <f>VLOOKUP(A253,'f Excel formulas for calculatio'!A:H,4,FALSE)</f>
        <v>Male</v>
      </c>
      <c r="E253" s="4" t="str">
        <f>VLOOKUP(A253,'f Excel formulas for calculatio'!A:H,5,FALSE)</f>
        <v>New Daniel</v>
      </c>
      <c r="F253" s="4" t="str">
        <f>VLOOKUP(A253,'f Excel formulas for calculatio'!A:H,6,FALSE)</f>
        <v>Delaware</v>
      </c>
      <c r="G253" s="4" t="str">
        <f>VLOOKUP(A253,'f Excel formulas for calculatio'!A:H,7,FALSE)</f>
        <v>USA</v>
      </c>
      <c r="H253" s="4" t="str">
        <f>VLOOKUP(A253,'f Excel formulas for calculatio'!A:H,8,FALSE)</f>
        <v>Platinum</v>
      </c>
    </row>
    <row r="254" spans="1:8" x14ac:dyDescent="0.25">
      <c r="A254" s="4" t="s">
        <v>814</v>
      </c>
      <c r="B254" s="4" t="str">
        <f>VLOOKUP(A254,'f Excel formulas for calculatio'!A:H,2,FALSE)</f>
        <v>Tyler Garner</v>
      </c>
      <c r="C254" s="4">
        <f>VLOOKUP(A254,'f Excel formulas for calculatio'!A:H,3,FALSE)</f>
        <v>64</v>
      </c>
      <c r="D254" s="4" t="str">
        <f>VLOOKUP(A254,'f Excel formulas for calculatio'!A:H,4,FALSE)</f>
        <v>Male</v>
      </c>
      <c r="E254" s="4" t="str">
        <f>VLOOKUP(A254,'f Excel formulas for calculatio'!A:H,5,FALSE)</f>
        <v>Port Coreyfort</v>
      </c>
      <c r="F254" s="4" t="str">
        <f>VLOOKUP(A254,'f Excel formulas for calculatio'!A:H,6,FALSE)</f>
        <v>Alabama</v>
      </c>
      <c r="G254" s="4" t="str">
        <f>VLOOKUP(A254,'f Excel formulas for calculatio'!A:H,7,FALSE)</f>
        <v>USA</v>
      </c>
      <c r="H254" s="4" t="str">
        <f>VLOOKUP(A254,'f Excel formulas for calculatio'!A:H,8,FALSE)</f>
        <v>Silver</v>
      </c>
    </row>
    <row r="255" spans="1:8" x14ac:dyDescent="0.25">
      <c r="A255" s="9" t="s">
        <v>817</v>
      </c>
      <c r="B255" s="4" t="str">
        <f>VLOOKUP(A255,'f Excel formulas for calculatio'!A:H,2,FALSE)</f>
        <v>John Mccoy</v>
      </c>
      <c r="C255" s="4">
        <f>VLOOKUP(A255,'f Excel formulas for calculatio'!A:H,3,FALSE)</f>
        <v>26</v>
      </c>
      <c r="D255" s="4" t="str">
        <f>VLOOKUP(A255,'f Excel formulas for calculatio'!A:H,4,FALSE)</f>
        <v>Male</v>
      </c>
      <c r="E255" s="4" t="str">
        <f>VLOOKUP(A255,'f Excel formulas for calculatio'!A:H,5,FALSE)</f>
        <v>Robinborough</v>
      </c>
      <c r="F255" s="4" t="str">
        <f>VLOOKUP(A255,'f Excel formulas for calculatio'!A:H,6,FALSE)</f>
        <v>South Dakota</v>
      </c>
      <c r="G255" s="4" t="str">
        <f>VLOOKUP(A255,'f Excel formulas for calculatio'!A:H,7,FALSE)</f>
        <v>USA</v>
      </c>
      <c r="H255" s="4" t="str">
        <f>VLOOKUP(A255,'f Excel formulas for calculatio'!A:H,8,FALSE)</f>
        <v>Silver</v>
      </c>
    </row>
    <row r="256" spans="1:8" x14ac:dyDescent="0.25">
      <c r="A256" s="4" t="s">
        <v>820</v>
      </c>
      <c r="B256" s="4" t="str">
        <f>VLOOKUP(A256,'f Excel formulas for calculatio'!A:H,2,FALSE)</f>
        <v>Dr. Ashley Yates MD</v>
      </c>
      <c r="C256" s="4">
        <f>VLOOKUP(A256,'f Excel formulas for calculatio'!A:H,3,FALSE)</f>
        <v>32</v>
      </c>
      <c r="D256" s="4" t="str">
        <f>VLOOKUP(A256,'f Excel formulas for calculatio'!A:H,4,FALSE)</f>
        <v>Male</v>
      </c>
      <c r="E256" s="4" t="str">
        <f>VLOOKUP(A256,'f Excel formulas for calculatio'!A:H,5,FALSE)</f>
        <v>New Maria</v>
      </c>
      <c r="F256" s="4" t="str">
        <f>VLOOKUP(A256,'f Excel formulas for calculatio'!A:H,6,FALSE)</f>
        <v>Wisconsin</v>
      </c>
      <c r="G256" s="4" t="str">
        <f>VLOOKUP(A256,'f Excel formulas for calculatio'!A:H,7,FALSE)</f>
        <v>USA</v>
      </c>
      <c r="H256" s="4" t="str">
        <f>VLOOKUP(A256,'f Excel formulas for calculatio'!A:H,8,FALSE)</f>
        <v>Bronze</v>
      </c>
    </row>
    <row r="257" spans="1:8" x14ac:dyDescent="0.25">
      <c r="A257" s="9" t="s">
        <v>823</v>
      </c>
      <c r="B257" s="4" t="str">
        <f>VLOOKUP(A257,'f Excel formulas for calculatio'!A:H,2,FALSE)</f>
        <v>Linda Kline</v>
      </c>
      <c r="C257" s="4">
        <f>VLOOKUP(A257,'f Excel formulas for calculatio'!A:H,3,FALSE)</f>
        <v>34</v>
      </c>
      <c r="D257" s="4" t="str">
        <f>VLOOKUP(A257,'f Excel formulas for calculatio'!A:H,4,FALSE)</f>
        <v>Male</v>
      </c>
      <c r="E257" s="4" t="str">
        <f>VLOOKUP(A257,'f Excel formulas for calculatio'!A:H,5,FALSE)</f>
        <v>Masseyland</v>
      </c>
      <c r="F257" s="4" t="str">
        <f>VLOOKUP(A257,'f Excel formulas for calculatio'!A:H,6,FALSE)</f>
        <v>Alaska</v>
      </c>
      <c r="G257" s="4" t="str">
        <f>VLOOKUP(A257,'f Excel formulas for calculatio'!A:H,7,FALSE)</f>
        <v>USA</v>
      </c>
      <c r="H257" s="4" t="str">
        <f>VLOOKUP(A257,'f Excel formulas for calculatio'!A:H,8,FALSE)</f>
        <v>Silver</v>
      </c>
    </row>
    <row r="258" spans="1:8" x14ac:dyDescent="0.25">
      <c r="A258" s="4" t="s">
        <v>826</v>
      </c>
      <c r="B258" s="4" t="str">
        <f>VLOOKUP(A258,'f Excel formulas for calculatio'!A:H,2,FALSE)</f>
        <v>Damon Perez</v>
      </c>
      <c r="C258" s="4">
        <f>VLOOKUP(A258,'f Excel formulas for calculatio'!A:H,3,FALSE)</f>
        <v>21</v>
      </c>
      <c r="D258" s="4" t="str">
        <f>VLOOKUP(A258,'f Excel formulas for calculatio'!A:H,4,FALSE)</f>
        <v>Male</v>
      </c>
      <c r="E258" s="4" t="str">
        <f>VLOOKUP(A258,'f Excel formulas for calculatio'!A:H,5,FALSE)</f>
        <v>Jasonton</v>
      </c>
      <c r="F258" s="4" t="str">
        <f>VLOOKUP(A258,'f Excel formulas for calculatio'!A:H,6,FALSE)</f>
        <v>Ohio</v>
      </c>
      <c r="G258" s="4" t="str">
        <f>VLOOKUP(A258,'f Excel formulas for calculatio'!A:H,7,FALSE)</f>
        <v>USA</v>
      </c>
      <c r="H258" s="4" t="str">
        <f>VLOOKUP(A258,'f Excel formulas for calculatio'!A:H,8,FALSE)</f>
        <v>Gold</v>
      </c>
    </row>
    <row r="259" spans="1:8" x14ac:dyDescent="0.25">
      <c r="A259" s="9" t="s">
        <v>829</v>
      </c>
      <c r="B259" s="4" t="str">
        <f>VLOOKUP(A259,'f Excel formulas for calculatio'!A:H,2,FALSE)</f>
        <v>Kristen Fischer</v>
      </c>
      <c r="C259" s="4">
        <f>VLOOKUP(A259,'f Excel formulas for calculatio'!A:H,3,FALSE)</f>
        <v>57</v>
      </c>
      <c r="D259" s="4" t="str">
        <f>VLOOKUP(A259,'f Excel formulas for calculatio'!A:H,4,FALSE)</f>
        <v>Male</v>
      </c>
      <c r="E259" s="4" t="str">
        <f>VLOOKUP(A259,'f Excel formulas for calculatio'!A:H,5,FALSE)</f>
        <v>Lake Christopher</v>
      </c>
      <c r="F259" s="4" t="str">
        <f>VLOOKUP(A259,'f Excel formulas for calculatio'!A:H,6,FALSE)</f>
        <v>Arkansas</v>
      </c>
      <c r="G259" s="4" t="str">
        <f>VLOOKUP(A259,'f Excel formulas for calculatio'!A:H,7,FALSE)</f>
        <v>USA</v>
      </c>
      <c r="H259" s="4" t="str">
        <f>VLOOKUP(A259,'f Excel formulas for calculatio'!A:H,8,FALSE)</f>
        <v>Platinum</v>
      </c>
    </row>
    <row r="260" spans="1:8" x14ac:dyDescent="0.25">
      <c r="A260" s="4" t="s">
        <v>832</v>
      </c>
      <c r="B260" s="4" t="str">
        <f>VLOOKUP(A260,'f Excel formulas for calculatio'!A:H,2,FALSE)</f>
        <v>Christopher David</v>
      </c>
      <c r="C260" s="4">
        <f>VLOOKUP(A260,'f Excel formulas for calculatio'!A:H,3,FALSE)</f>
        <v>42</v>
      </c>
      <c r="D260" s="4" t="str">
        <f>VLOOKUP(A260,'f Excel formulas for calculatio'!A:H,4,FALSE)</f>
        <v>Male</v>
      </c>
      <c r="E260" s="4" t="str">
        <f>VLOOKUP(A260,'f Excel formulas for calculatio'!A:H,5,FALSE)</f>
        <v>Karenmouth</v>
      </c>
      <c r="F260" s="4" t="str">
        <f>VLOOKUP(A260,'f Excel formulas for calculatio'!A:H,6,FALSE)</f>
        <v>Massachusetts</v>
      </c>
      <c r="G260" s="4" t="str">
        <f>VLOOKUP(A260,'f Excel formulas for calculatio'!A:H,7,FALSE)</f>
        <v>USA</v>
      </c>
      <c r="H260" s="4" t="str">
        <f>VLOOKUP(A260,'f Excel formulas for calculatio'!A:H,8,FALSE)</f>
        <v>Silver</v>
      </c>
    </row>
    <row r="261" spans="1:8" x14ac:dyDescent="0.25">
      <c r="A261" s="9" t="s">
        <v>835</v>
      </c>
      <c r="B261" s="4" t="str">
        <f>VLOOKUP(A261,'f Excel formulas for calculatio'!A:H,2,FALSE)</f>
        <v>Sarah Stewart</v>
      </c>
      <c r="C261" s="4">
        <f>VLOOKUP(A261,'f Excel formulas for calculatio'!A:H,3,FALSE)</f>
        <v>24</v>
      </c>
      <c r="D261" s="4" t="str">
        <f>VLOOKUP(A261,'f Excel formulas for calculatio'!A:H,4,FALSE)</f>
        <v>Female</v>
      </c>
      <c r="E261" s="4" t="str">
        <f>VLOOKUP(A261,'f Excel formulas for calculatio'!A:H,5,FALSE)</f>
        <v>East Richard</v>
      </c>
      <c r="F261" s="4" t="str">
        <f>VLOOKUP(A261,'f Excel formulas for calculatio'!A:H,6,FALSE)</f>
        <v>Texas</v>
      </c>
      <c r="G261" s="4" t="str">
        <f>VLOOKUP(A261,'f Excel formulas for calculatio'!A:H,7,FALSE)</f>
        <v>USA</v>
      </c>
      <c r="H261" s="4" t="str">
        <f>VLOOKUP(A261,'f Excel formulas for calculatio'!A:H,8,FALSE)</f>
        <v>Platinum</v>
      </c>
    </row>
    <row r="262" spans="1:8" x14ac:dyDescent="0.25">
      <c r="A262" s="4" t="s">
        <v>838</v>
      </c>
      <c r="B262" s="4" t="str">
        <f>VLOOKUP(A262,'f Excel formulas for calculatio'!A:H,2,FALSE)</f>
        <v>Beth Allen</v>
      </c>
      <c r="C262" s="4">
        <f>VLOOKUP(A262,'f Excel formulas for calculatio'!A:H,3,FALSE)</f>
        <v>32</v>
      </c>
      <c r="D262" s="4" t="str">
        <f>VLOOKUP(A262,'f Excel formulas for calculatio'!A:H,4,FALSE)</f>
        <v>Female</v>
      </c>
      <c r="E262" s="4" t="str">
        <f>VLOOKUP(A262,'f Excel formulas for calculatio'!A:H,5,FALSE)</f>
        <v>South Kathrynmouth</v>
      </c>
      <c r="F262" s="4" t="str">
        <f>VLOOKUP(A262,'f Excel formulas for calculatio'!A:H,6,FALSE)</f>
        <v>Oklahoma</v>
      </c>
      <c r="G262" s="4" t="str">
        <f>VLOOKUP(A262,'f Excel formulas for calculatio'!A:H,7,FALSE)</f>
        <v>USA</v>
      </c>
      <c r="H262" s="4" t="str">
        <f>VLOOKUP(A262,'f Excel formulas for calculatio'!A:H,8,FALSE)</f>
        <v>Silver</v>
      </c>
    </row>
    <row r="263" spans="1:8" x14ac:dyDescent="0.25">
      <c r="A263" s="9" t="s">
        <v>841</v>
      </c>
      <c r="B263" s="4" t="str">
        <f>VLOOKUP(A263,'f Excel formulas for calculatio'!A:H,2,FALSE)</f>
        <v>Russell Lamb</v>
      </c>
      <c r="C263" s="4">
        <f>VLOOKUP(A263,'f Excel formulas for calculatio'!A:H,3,FALSE)</f>
        <v>63</v>
      </c>
      <c r="D263" s="4" t="str">
        <f>VLOOKUP(A263,'f Excel formulas for calculatio'!A:H,4,FALSE)</f>
        <v>Female</v>
      </c>
      <c r="E263" s="4" t="str">
        <f>VLOOKUP(A263,'f Excel formulas for calculatio'!A:H,5,FALSE)</f>
        <v>North Jonathon</v>
      </c>
      <c r="F263" s="4" t="str">
        <f>VLOOKUP(A263,'f Excel formulas for calculatio'!A:H,6,FALSE)</f>
        <v>Arizona</v>
      </c>
      <c r="G263" s="4" t="str">
        <f>VLOOKUP(A263,'f Excel formulas for calculatio'!A:H,7,FALSE)</f>
        <v>USA</v>
      </c>
      <c r="H263" s="4" t="str">
        <f>VLOOKUP(A263,'f Excel formulas for calculatio'!A:H,8,FALSE)</f>
        <v>Platinum</v>
      </c>
    </row>
    <row r="264" spans="1:8" x14ac:dyDescent="0.25">
      <c r="A264" s="4" t="s">
        <v>844</v>
      </c>
      <c r="B264" s="4" t="str">
        <f>VLOOKUP(A264,'f Excel formulas for calculatio'!A:H,2,FALSE)</f>
        <v>Carol Bishop</v>
      </c>
      <c r="C264" s="4">
        <f>VLOOKUP(A264,'f Excel formulas for calculatio'!A:H,3,FALSE)</f>
        <v>27</v>
      </c>
      <c r="D264" s="4" t="str">
        <f>VLOOKUP(A264,'f Excel formulas for calculatio'!A:H,4,FALSE)</f>
        <v>Female</v>
      </c>
      <c r="E264" s="4" t="str">
        <f>VLOOKUP(A264,'f Excel formulas for calculatio'!A:H,5,FALSE)</f>
        <v>Lake Saramouth</v>
      </c>
      <c r="F264" s="4" t="str">
        <f>VLOOKUP(A264,'f Excel formulas for calculatio'!A:H,6,FALSE)</f>
        <v>Oregon</v>
      </c>
      <c r="G264" s="4" t="str">
        <f>VLOOKUP(A264,'f Excel formulas for calculatio'!A:H,7,FALSE)</f>
        <v>USA</v>
      </c>
      <c r="H264" s="4" t="str">
        <f>VLOOKUP(A264,'f Excel formulas for calculatio'!A:H,8,FALSE)</f>
        <v>Silver</v>
      </c>
    </row>
    <row r="265" spans="1:8" x14ac:dyDescent="0.25">
      <c r="A265" s="9" t="s">
        <v>847</v>
      </c>
      <c r="B265" s="4" t="str">
        <f>VLOOKUP(A265,'f Excel formulas for calculatio'!A:H,2,FALSE)</f>
        <v>Katherine Cowan</v>
      </c>
      <c r="C265" s="4">
        <f>VLOOKUP(A265,'f Excel formulas for calculatio'!A:H,3,FALSE)</f>
        <v>60</v>
      </c>
      <c r="D265" s="4" t="str">
        <f>VLOOKUP(A265,'f Excel formulas for calculatio'!A:H,4,FALSE)</f>
        <v>Female</v>
      </c>
      <c r="E265" s="4" t="str">
        <f>VLOOKUP(A265,'f Excel formulas for calculatio'!A:H,5,FALSE)</f>
        <v>New Ana</v>
      </c>
      <c r="F265" s="4" t="str">
        <f>VLOOKUP(A265,'f Excel formulas for calculatio'!A:H,6,FALSE)</f>
        <v>Montana</v>
      </c>
      <c r="G265" s="4" t="str">
        <f>VLOOKUP(A265,'f Excel formulas for calculatio'!A:H,7,FALSE)</f>
        <v>USA</v>
      </c>
      <c r="H265" s="4" t="str">
        <f>VLOOKUP(A265,'f Excel formulas for calculatio'!A:H,8,FALSE)</f>
        <v>Silver</v>
      </c>
    </row>
    <row r="266" spans="1:8" x14ac:dyDescent="0.25">
      <c r="A266" s="4" t="s">
        <v>850</v>
      </c>
      <c r="B266" s="4" t="str">
        <f>VLOOKUP(A266,'f Excel formulas for calculatio'!A:H,2,FALSE)</f>
        <v>Crystal Davis</v>
      </c>
      <c r="C266" s="4">
        <f>VLOOKUP(A266,'f Excel formulas for calculatio'!A:H,3,FALSE)</f>
        <v>50</v>
      </c>
      <c r="D266" s="4" t="str">
        <f>VLOOKUP(A266,'f Excel formulas for calculatio'!A:H,4,FALSE)</f>
        <v>Male</v>
      </c>
      <c r="E266" s="4" t="str">
        <f>VLOOKUP(A266,'f Excel formulas for calculatio'!A:H,5,FALSE)</f>
        <v>Sallymouth</v>
      </c>
      <c r="F266" s="4" t="str">
        <f>VLOOKUP(A266,'f Excel formulas for calculatio'!A:H,6,FALSE)</f>
        <v>Louisiana</v>
      </c>
      <c r="G266" s="4" t="str">
        <f>VLOOKUP(A266,'f Excel formulas for calculatio'!A:H,7,FALSE)</f>
        <v>USA</v>
      </c>
      <c r="H266" s="4" t="str">
        <f>VLOOKUP(A266,'f Excel formulas for calculatio'!A:H,8,FALSE)</f>
        <v>Bronze</v>
      </c>
    </row>
    <row r="267" spans="1:8" x14ac:dyDescent="0.25">
      <c r="A267" s="9" t="s">
        <v>853</v>
      </c>
      <c r="B267" s="4" t="str">
        <f>VLOOKUP(A267,'f Excel formulas for calculatio'!A:H,2,FALSE)</f>
        <v>Matthew Payne</v>
      </c>
      <c r="C267" s="4">
        <f>VLOOKUP(A267,'f Excel formulas for calculatio'!A:H,3,FALSE)</f>
        <v>25</v>
      </c>
      <c r="D267" s="4" t="str">
        <f>VLOOKUP(A267,'f Excel formulas for calculatio'!A:H,4,FALSE)</f>
        <v>Male</v>
      </c>
      <c r="E267" s="4" t="str">
        <f>VLOOKUP(A267,'f Excel formulas for calculatio'!A:H,5,FALSE)</f>
        <v>Grahamfurt</v>
      </c>
      <c r="F267" s="4" t="str">
        <f>VLOOKUP(A267,'f Excel formulas for calculatio'!A:H,6,FALSE)</f>
        <v>Wyoming</v>
      </c>
      <c r="G267" s="4" t="str">
        <f>VLOOKUP(A267,'f Excel formulas for calculatio'!A:H,7,FALSE)</f>
        <v>USA</v>
      </c>
      <c r="H267" s="4" t="str">
        <f>VLOOKUP(A267,'f Excel formulas for calculatio'!A:H,8,FALSE)</f>
        <v>Gold</v>
      </c>
    </row>
    <row r="268" spans="1:8" x14ac:dyDescent="0.25">
      <c r="A268" s="4" t="s">
        <v>857</v>
      </c>
      <c r="B268" s="4" t="str">
        <f>VLOOKUP(A268,'f Excel formulas for calculatio'!A:H,2,FALSE)</f>
        <v>Tracy Kelly</v>
      </c>
      <c r="C268" s="4">
        <f>VLOOKUP(A268,'f Excel formulas for calculatio'!A:H,3,FALSE)</f>
        <v>38</v>
      </c>
      <c r="D268" s="4" t="str">
        <f>VLOOKUP(A268,'f Excel formulas for calculatio'!A:H,4,FALSE)</f>
        <v>Male</v>
      </c>
      <c r="E268" s="4" t="str">
        <f>VLOOKUP(A268,'f Excel formulas for calculatio'!A:H,5,FALSE)</f>
        <v>West Jamieport</v>
      </c>
      <c r="F268" s="4" t="str">
        <f>VLOOKUP(A268,'f Excel formulas for calculatio'!A:H,6,FALSE)</f>
        <v>Tennessee</v>
      </c>
      <c r="G268" s="4" t="str">
        <f>VLOOKUP(A268,'f Excel formulas for calculatio'!A:H,7,FALSE)</f>
        <v>USA</v>
      </c>
      <c r="H268" s="4" t="str">
        <f>VLOOKUP(A268,'f Excel formulas for calculatio'!A:H,8,FALSE)</f>
        <v>Silver</v>
      </c>
    </row>
    <row r="269" spans="1:8" x14ac:dyDescent="0.25">
      <c r="A269" s="9" t="s">
        <v>860</v>
      </c>
      <c r="B269" s="4" t="str">
        <f>VLOOKUP(A269,'f Excel formulas for calculatio'!A:H,2,FALSE)</f>
        <v>Cynthia Payne</v>
      </c>
      <c r="C269" s="4">
        <f>VLOOKUP(A269,'f Excel formulas for calculatio'!A:H,3,FALSE)</f>
        <v>32</v>
      </c>
      <c r="D269" s="4" t="str">
        <f>VLOOKUP(A269,'f Excel formulas for calculatio'!A:H,4,FALSE)</f>
        <v>Female</v>
      </c>
      <c r="E269" s="4" t="str">
        <f>VLOOKUP(A269,'f Excel formulas for calculatio'!A:H,5,FALSE)</f>
        <v>South Gina</v>
      </c>
      <c r="F269" s="4" t="str">
        <f>VLOOKUP(A269,'f Excel formulas for calculatio'!A:H,6,FALSE)</f>
        <v>Kentucky</v>
      </c>
      <c r="G269" s="4" t="str">
        <f>VLOOKUP(A269,'f Excel formulas for calculatio'!A:H,7,FALSE)</f>
        <v>USA</v>
      </c>
      <c r="H269" s="4" t="str">
        <f>VLOOKUP(A269,'f Excel formulas for calculatio'!A:H,8,FALSE)</f>
        <v>Bronze</v>
      </c>
    </row>
    <row r="270" spans="1:8" x14ac:dyDescent="0.25">
      <c r="A270" s="4" t="s">
        <v>863</v>
      </c>
      <c r="B270" s="4" t="str">
        <f>VLOOKUP(A270,'f Excel formulas for calculatio'!A:H,2,FALSE)</f>
        <v>Zachary Shelton</v>
      </c>
      <c r="C270" s="4">
        <f>VLOOKUP(A270,'f Excel formulas for calculatio'!A:H,3,FALSE)</f>
        <v>18</v>
      </c>
      <c r="D270" s="4" t="str">
        <f>VLOOKUP(A270,'f Excel formulas for calculatio'!A:H,4,FALSE)</f>
        <v>Male</v>
      </c>
      <c r="E270" s="4" t="str">
        <f>VLOOKUP(A270,'f Excel formulas for calculatio'!A:H,5,FALSE)</f>
        <v>North Nicholas</v>
      </c>
      <c r="F270" s="4" t="str">
        <f>VLOOKUP(A270,'f Excel formulas for calculatio'!A:H,6,FALSE)</f>
        <v>Montana</v>
      </c>
      <c r="G270" s="4" t="str">
        <f>VLOOKUP(A270,'f Excel formulas for calculatio'!A:H,7,FALSE)</f>
        <v>USA</v>
      </c>
      <c r="H270" s="4" t="str">
        <f>VLOOKUP(A270,'f Excel formulas for calculatio'!A:H,8,FALSE)</f>
        <v>Bronze</v>
      </c>
    </row>
    <row r="271" spans="1:8" x14ac:dyDescent="0.25">
      <c r="A271" s="9" t="s">
        <v>865</v>
      </c>
      <c r="B271" s="4" t="str">
        <f>VLOOKUP(A271,'f Excel formulas for calculatio'!A:H,2,FALSE)</f>
        <v>Kevin Orr</v>
      </c>
      <c r="C271" s="4">
        <f>VLOOKUP(A271,'f Excel formulas for calculatio'!A:H,3,FALSE)</f>
        <v>53</v>
      </c>
      <c r="D271" s="4" t="str">
        <f>VLOOKUP(A271,'f Excel formulas for calculatio'!A:H,4,FALSE)</f>
        <v>Female</v>
      </c>
      <c r="E271" s="4" t="str">
        <f>VLOOKUP(A271,'f Excel formulas for calculatio'!A:H,5,FALSE)</f>
        <v>Ryanberg</v>
      </c>
      <c r="F271" s="4" t="str">
        <f>VLOOKUP(A271,'f Excel formulas for calculatio'!A:H,6,FALSE)</f>
        <v>Minnesota</v>
      </c>
      <c r="G271" s="4" t="str">
        <f>VLOOKUP(A271,'f Excel formulas for calculatio'!A:H,7,FALSE)</f>
        <v>USA</v>
      </c>
      <c r="H271" s="4" t="str">
        <f>VLOOKUP(A271,'f Excel formulas for calculatio'!A:H,8,FALSE)</f>
        <v>Bronze</v>
      </c>
    </row>
    <row r="272" spans="1:8" x14ac:dyDescent="0.25">
      <c r="A272" s="4" t="s">
        <v>868</v>
      </c>
      <c r="B272" s="4" t="str">
        <f>VLOOKUP(A272,'f Excel formulas for calculatio'!A:H,2,FALSE)</f>
        <v>Tyrone Olson</v>
      </c>
      <c r="C272" s="4">
        <f>VLOOKUP(A272,'f Excel formulas for calculatio'!A:H,3,FALSE)</f>
        <v>45</v>
      </c>
      <c r="D272" s="4" t="str">
        <f>VLOOKUP(A272,'f Excel formulas for calculatio'!A:H,4,FALSE)</f>
        <v>Female</v>
      </c>
      <c r="E272" s="4" t="str">
        <f>VLOOKUP(A272,'f Excel formulas for calculatio'!A:H,5,FALSE)</f>
        <v>Emilytown</v>
      </c>
      <c r="F272" s="4" t="str">
        <f>VLOOKUP(A272,'f Excel formulas for calculatio'!A:H,6,FALSE)</f>
        <v>California</v>
      </c>
      <c r="G272" s="4" t="str">
        <f>VLOOKUP(A272,'f Excel formulas for calculatio'!A:H,7,FALSE)</f>
        <v>USA</v>
      </c>
      <c r="H272" s="4" t="str">
        <f>VLOOKUP(A272,'f Excel formulas for calculatio'!A:H,8,FALSE)</f>
        <v>Silver</v>
      </c>
    </row>
    <row r="273" spans="1:8" x14ac:dyDescent="0.25">
      <c r="A273" s="9" t="s">
        <v>871</v>
      </c>
      <c r="B273" s="4" t="str">
        <f>VLOOKUP(A273,'f Excel formulas for calculatio'!A:H,2,FALSE)</f>
        <v>Brian Garcia</v>
      </c>
      <c r="C273" s="4">
        <f>VLOOKUP(A273,'f Excel formulas for calculatio'!A:H,3,FALSE)</f>
        <v>31</v>
      </c>
      <c r="D273" s="4" t="str">
        <f>VLOOKUP(A273,'f Excel formulas for calculatio'!A:H,4,FALSE)</f>
        <v>Female</v>
      </c>
      <c r="E273" s="4" t="str">
        <f>VLOOKUP(A273,'f Excel formulas for calculatio'!A:H,5,FALSE)</f>
        <v>Ramosmouth</v>
      </c>
      <c r="F273" s="4" t="str">
        <f>VLOOKUP(A273,'f Excel formulas for calculatio'!A:H,6,FALSE)</f>
        <v>Louisiana</v>
      </c>
      <c r="G273" s="4" t="str">
        <f>VLOOKUP(A273,'f Excel formulas for calculatio'!A:H,7,FALSE)</f>
        <v>USA</v>
      </c>
      <c r="H273" s="4" t="str">
        <f>VLOOKUP(A273,'f Excel formulas for calculatio'!A:H,8,FALSE)</f>
        <v>Gold</v>
      </c>
    </row>
    <row r="274" spans="1:8" x14ac:dyDescent="0.25">
      <c r="A274" s="4" t="s">
        <v>874</v>
      </c>
      <c r="B274" s="4" t="str">
        <f>VLOOKUP(A274,'f Excel formulas for calculatio'!A:H,2,FALSE)</f>
        <v>Daisy Johnson DDS</v>
      </c>
      <c r="C274" s="4">
        <f>VLOOKUP(A274,'f Excel formulas for calculatio'!A:H,3,FALSE)</f>
        <v>64</v>
      </c>
      <c r="D274" s="4" t="str">
        <f>VLOOKUP(A274,'f Excel formulas for calculatio'!A:H,4,FALSE)</f>
        <v>Male</v>
      </c>
      <c r="E274" s="4" t="str">
        <f>VLOOKUP(A274,'f Excel formulas for calculatio'!A:H,5,FALSE)</f>
        <v>North Stephanie</v>
      </c>
      <c r="F274" s="4" t="str">
        <f>VLOOKUP(A274,'f Excel formulas for calculatio'!A:H,6,FALSE)</f>
        <v>Nebraska</v>
      </c>
      <c r="G274" s="4" t="str">
        <f>VLOOKUP(A274,'f Excel formulas for calculatio'!A:H,7,FALSE)</f>
        <v>USA</v>
      </c>
      <c r="H274" s="4" t="str">
        <f>VLOOKUP(A274,'f Excel formulas for calculatio'!A:H,8,FALSE)</f>
        <v>Platinum</v>
      </c>
    </row>
    <row r="275" spans="1:8" x14ac:dyDescent="0.25">
      <c r="A275" s="9" t="s">
        <v>877</v>
      </c>
      <c r="B275" s="4" t="str">
        <f>VLOOKUP(A275,'f Excel formulas for calculatio'!A:H,2,FALSE)</f>
        <v>Adam Rowland</v>
      </c>
      <c r="C275" s="4">
        <f>VLOOKUP(A275,'f Excel formulas for calculatio'!A:H,3,FALSE)</f>
        <v>48</v>
      </c>
      <c r="D275" s="4" t="str">
        <f>VLOOKUP(A275,'f Excel formulas for calculatio'!A:H,4,FALSE)</f>
        <v>Female</v>
      </c>
      <c r="E275" s="4" t="str">
        <f>VLOOKUP(A275,'f Excel formulas for calculatio'!A:H,5,FALSE)</f>
        <v>Welchview</v>
      </c>
      <c r="F275" s="4" t="str">
        <f>VLOOKUP(A275,'f Excel formulas for calculatio'!A:H,6,FALSE)</f>
        <v>California</v>
      </c>
      <c r="G275" s="4" t="str">
        <f>VLOOKUP(A275,'f Excel formulas for calculatio'!A:H,7,FALSE)</f>
        <v>USA</v>
      </c>
      <c r="H275" s="4" t="str">
        <f>VLOOKUP(A275,'f Excel formulas for calculatio'!A:H,8,FALSE)</f>
        <v>Gold</v>
      </c>
    </row>
    <row r="276" spans="1:8" x14ac:dyDescent="0.25">
      <c r="A276" s="4" t="s">
        <v>880</v>
      </c>
      <c r="B276" s="4" t="str">
        <f>VLOOKUP(A276,'f Excel formulas for calculatio'!A:H,2,FALSE)</f>
        <v>Samantha Robinson</v>
      </c>
      <c r="C276" s="4">
        <f>VLOOKUP(A276,'f Excel formulas for calculatio'!A:H,3,FALSE)</f>
        <v>23</v>
      </c>
      <c r="D276" s="4" t="str">
        <f>VLOOKUP(A276,'f Excel formulas for calculatio'!A:H,4,FALSE)</f>
        <v>Male</v>
      </c>
      <c r="E276" s="4" t="str">
        <f>VLOOKUP(A276,'f Excel formulas for calculatio'!A:H,5,FALSE)</f>
        <v>North Roy</v>
      </c>
      <c r="F276" s="4" t="str">
        <f>VLOOKUP(A276,'f Excel formulas for calculatio'!A:H,6,FALSE)</f>
        <v>Mississippi</v>
      </c>
      <c r="G276" s="4" t="str">
        <f>VLOOKUP(A276,'f Excel formulas for calculatio'!A:H,7,FALSE)</f>
        <v>USA</v>
      </c>
      <c r="H276" s="4" t="str">
        <f>VLOOKUP(A276,'f Excel formulas for calculatio'!A:H,8,FALSE)</f>
        <v>Bronze</v>
      </c>
    </row>
    <row r="277" spans="1:8" x14ac:dyDescent="0.25">
      <c r="A277" s="9" t="s">
        <v>883</v>
      </c>
      <c r="B277" s="4" t="str">
        <f>VLOOKUP(A277,'f Excel formulas for calculatio'!A:H,2,FALSE)</f>
        <v>Sarah Lane</v>
      </c>
      <c r="C277" s="4">
        <f>VLOOKUP(A277,'f Excel formulas for calculatio'!A:H,3,FALSE)</f>
        <v>38</v>
      </c>
      <c r="D277" s="4" t="str">
        <f>VLOOKUP(A277,'f Excel formulas for calculatio'!A:H,4,FALSE)</f>
        <v>Male</v>
      </c>
      <c r="E277" s="4" t="str">
        <f>VLOOKUP(A277,'f Excel formulas for calculatio'!A:H,5,FALSE)</f>
        <v>Edwardborough</v>
      </c>
      <c r="F277" s="4" t="str">
        <f>VLOOKUP(A277,'f Excel formulas for calculatio'!A:H,6,FALSE)</f>
        <v>Vermont</v>
      </c>
      <c r="G277" s="4" t="str">
        <f>VLOOKUP(A277,'f Excel formulas for calculatio'!A:H,7,FALSE)</f>
        <v>USA</v>
      </c>
      <c r="H277" s="4" t="str">
        <f>VLOOKUP(A277,'f Excel formulas for calculatio'!A:H,8,FALSE)</f>
        <v>Silver</v>
      </c>
    </row>
    <row r="278" spans="1:8" x14ac:dyDescent="0.25">
      <c r="A278" s="4" t="s">
        <v>886</v>
      </c>
      <c r="B278" s="4" t="str">
        <f>VLOOKUP(A278,'f Excel formulas for calculatio'!A:H,2,FALSE)</f>
        <v>Shannon Miller</v>
      </c>
      <c r="C278" s="4">
        <f>VLOOKUP(A278,'f Excel formulas for calculatio'!A:H,3,FALSE)</f>
        <v>22</v>
      </c>
      <c r="D278" s="4" t="str">
        <f>VLOOKUP(A278,'f Excel formulas for calculatio'!A:H,4,FALSE)</f>
        <v>Male</v>
      </c>
      <c r="E278" s="4" t="str">
        <f>VLOOKUP(A278,'f Excel formulas for calculatio'!A:H,5,FALSE)</f>
        <v>North Austinport</v>
      </c>
      <c r="F278" s="4" t="str">
        <f>VLOOKUP(A278,'f Excel formulas for calculatio'!A:H,6,FALSE)</f>
        <v>Kentucky</v>
      </c>
      <c r="G278" s="4" t="str">
        <f>VLOOKUP(A278,'f Excel formulas for calculatio'!A:H,7,FALSE)</f>
        <v>USA</v>
      </c>
      <c r="H278" s="4" t="str">
        <f>VLOOKUP(A278,'f Excel formulas for calculatio'!A:H,8,FALSE)</f>
        <v>Gold</v>
      </c>
    </row>
    <row r="279" spans="1:8" x14ac:dyDescent="0.25">
      <c r="A279" s="9" t="s">
        <v>889</v>
      </c>
      <c r="B279" s="4" t="str">
        <f>VLOOKUP(A279,'f Excel formulas for calculatio'!A:H,2,FALSE)</f>
        <v>Arthur Warren</v>
      </c>
      <c r="C279" s="4">
        <f>VLOOKUP(A279,'f Excel formulas for calculatio'!A:H,3,FALSE)</f>
        <v>38</v>
      </c>
      <c r="D279" s="4" t="str">
        <f>VLOOKUP(A279,'f Excel formulas for calculatio'!A:H,4,FALSE)</f>
        <v>Male</v>
      </c>
      <c r="E279" s="4" t="str">
        <f>VLOOKUP(A279,'f Excel formulas for calculatio'!A:H,5,FALSE)</f>
        <v>Ericshire</v>
      </c>
      <c r="F279" s="4" t="str">
        <f>VLOOKUP(A279,'f Excel formulas for calculatio'!A:H,6,FALSE)</f>
        <v>Nevada</v>
      </c>
      <c r="G279" s="4" t="str">
        <f>VLOOKUP(A279,'f Excel formulas for calculatio'!A:H,7,FALSE)</f>
        <v>USA</v>
      </c>
      <c r="H279" s="4" t="str">
        <f>VLOOKUP(A279,'f Excel formulas for calculatio'!A:H,8,FALSE)</f>
        <v>Gold</v>
      </c>
    </row>
    <row r="280" spans="1:8" x14ac:dyDescent="0.25">
      <c r="A280" s="4" t="s">
        <v>892</v>
      </c>
      <c r="B280" s="4" t="str">
        <f>VLOOKUP(A280,'f Excel formulas for calculatio'!A:H,2,FALSE)</f>
        <v>Jeffrey Gomez</v>
      </c>
      <c r="C280" s="4">
        <f>VLOOKUP(A280,'f Excel formulas for calculatio'!A:H,3,FALSE)</f>
        <v>22</v>
      </c>
      <c r="D280" s="4" t="str">
        <f>VLOOKUP(A280,'f Excel formulas for calculatio'!A:H,4,FALSE)</f>
        <v>Female</v>
      </c>
      <c r="E280" s="4" t="str">
        <f>VLOOKUP(A280,'f Excel formulas for calculatio'!A:H,5,FALSE)</f>
        <v>Lake Nicole</v>
      </c>
      <c r="F280" s="4" t="str">
        <f>VLOOKUP(A280,'f Excel formulas for calculatio'!A:H,6,FALSE)</f>
        <v>Colorado</v>
      </c>
      <c r="G280" s="4" t="str">
        <f>VLOOKUP(A280,'f Excel formulas for calculatio'!A:H,7,FALSE)</f>
        <v>USA</v>
      </c>
      <c r="H280" s="4" t="str">
        <f>VLOOKUP(A280,'f Excel formulas for calculatio'!A:H,8,FALSE)</f>
        <v>Platinum</v>
      </c>
    </row>
    <row r="281" spans="1:8" x14ac:dyDescent="0.25">
      <c r="A281" s="9" t="s">
        <v>895</v>
      </c>
      <c r="B281" s="4" t="str">
        <f>VLOOKUP(A281,'f Excel formulas for calculatio'!A:H,2,FALSE)</f>
        <v>Stephen Fowler</v>
      </c>
      <c r="C281" s="4">
        <f>VLOOKUP(A281,'f Excel formulas for calculatio'!A:H,3,FALSE)</f>
        <v>42</v>
      </c>
      <c r="D281" s="4" t="str">
        <f>VLOOKUP(A281,'f Excel formulas for calculatio'!A:H,4,FALSE)</f>
        <v>Female</v>
      </c>
      <c r="E281" s="4" t="str">
        <f>VLOOKUP(A281,'f Excel formulas for calculatio'!A:H,5,FALSE)</f>
        <v>Port Mariastad</v>
      </c>
      <c r="F281" s="4" t="str">
        <f>VLOOKUP(A281,'f Excel formulas for calculatio'!A:H,6,FALSE)</f>
        <v>Rhode Island</v>
      </c>
      <c r="G281" s="4" t="str">
        <f>VLOOKUP(A281,'f Excel formulas for calculatio'!A:H,7,FALSE)</f>
        <v>USA</v>
      </c>
      <c r="H281" s="4" t="str">
        <f>VLOOKUP(A281,'f Excel formulas for calculatio'!A:H,8,FALSE)</f>
        <v>Platinum</v>
      </c>
    </row>
    <row r="282" spans="1:8" x14ac:dyDescent="0.25">
      <c r="A282" s="4" t="s">
        <v>898</v>
      </c>
      <c r="B282" s="4" t="str">
        <f>VLOOKUP(A282,'f Excel formulas for calculatio'!A:H,2,FALSE)</f>
        <v>Aaron Luna</v>
      </c>
      <c r="C282" s="4">
        <f>VLOOKUP(A282,'f Excel formulas for calculatio'!A:H,3,FALSE)</f>
        <v>21</v>
      </c>
      <c r="D282" s="4" t="str">
        <f>VLOOKUP(A282,'f Excel formulas for calculatio'!A:H,4,FALSE)</f>
        <v>Female</v>
      </c>
      <c r="E282" s="4" t="str">
        <f>VLOOKUP(A282,'f Excel formulas for calculatio'!A:H,5,FALSE)</f>
        <v>Gilltown</v>
      </c>
      <c r="F282" s="4" t="str">
        <f>VLOOKUP(A282,'f Excel formulas for calculatio'!A:H,6,FALSE)</f>
        <v>Ohio</v>
      </c>
      <c r="G282" s="4" t="str">
        <f>VLOOKUP(A282,'f Excel formulas for calculatio'!A:H,7,FALSE)</f>
        <v>USA</v>
      </c>
      <c r="H282" s="4" t="str">
        <f>VLOOKUP(A282,'f Excel formulas for calculatio'!A:H,8,FALSE)</f>
        <v>Bronze</v>
      </c>
    </row>
    <row r="283" spans="1:8" x14ac:dyDescent="0.25">
      <c r="A283" s="9" t="s">
        <v>901</v>
      </c>
      <c r="B283" s="4" t="str">
        <f>VLOOKUP(A283,'f Excel formulas for calculatio'!A:H,2,FALSE)</f>
        <v>Antonio Leon</v>
      </c>
      <c r="C283" s="4">
        <f>VLOOKUP(A283,'f Excel formulas for calculatio'!A:H,3,FALSE)</f>
        <v>48</v>
      </c>
      <c r="D283" s="4" t="str">
        <f>VLOOKUP(A283,'f Excel formulas for calculatio'!A:H,4,FALSE)</f>
        <v>Male</v>
      </c>
      <c r="E283" s="4" t="str">
        <f>VLOOKUP(A283,'f Excel formulas for calculatio'!A:H,5,FALSE)</f>
        <v>Morrisville</v>
      </c>
      <c r="F283" s="4" t="str">
        <f>VLOOKUP(A283,'f Excel formulas for calculatio'!A:H,6,FALSE)</f>
        <v>Hawaii</v>
      </c>
      <c r="G283" s="4" t="str">
        <f>VLOOKUP(A283,'f Excel formulas for calculatio'!A:H,7,FALSE)</f>
        <v>USA</v>
      </c>
      <c r="H283" s="4" t="str">
        <f>VLOOKUP(A283,'f Excel formulas for calculatio'!A:H,8,FALSE)</f>
        <v>Bronze</v>
      </c>
    </row>
    <row r="284" spans="1:8" x14ac:dyDescent="0.25">
      <c r="A284" s="4" t="s">
        <v>904</v>
      </c>
      <c r="B284" s="4" t="str">
        <f>VLOOKUP(A284,'f Excel formulas for calculatio'!A:H,2,FALSE)</f>
        <v>Brittany Watson</v>
      </c>
      <c r="C284" s="4">
        <f>VLOOKUP(A284,'f Excel formulas for calculatio'!A:H,3,FALSE)</f>
        <v>59</v>
      </c>
      <c r="D284" s="4" t="str">
        <f>VLOOKUP(A284,'f Excel formulas for calculatio'!A:H,4,FALSE)</f>
        <v>Male</v>
      </c>
      <c r="E284" s="4" t="str">
        <f>VLOOKUP(A284,'f Excel formulas for calculatio'!A:H,5,FALSE)</f>
        <v>North Joshualand</v>
      </c>
      <c r="F284" s="4" t="str">
        <f>VLOOKUP(A284,'f Excel formulas for calculatio'!A:H,6,FALSE)</f>
        <v>Connecticut</v>
      </c>
      <c r="G284" s="4" t="str">
        <f>VLOOKUP(A284,'f Excel formulas for calculatio'!A:H,7,FALSE)</f>
        <v>USA</v>
      </c>
      <c r="H284" s="4" t="str">
        <f>VLOOKUP(A284,'f Excel formulas for calculatio'!A:H,8,FALSE)</f>
        <v>Platinum</v>
      </c>
    </row>
    <row r="285" spans="1:8" x14ac:dyDescent="0.25">
      <c r="A285" s="9" t="s">
        <v>907</v>
      </c>
      <c r="B285" s="4" t="str">
        <f>VLOOKUP(A285,'f Excel formulas for calculatio'!A:H,2,FALSE)</f>
        <v>Kristi Lopez</v>
      </c>
      <c r="C285" s="4">
        <f>VLOOKUP(A285,'f Excel formulas for calculatio'!A:H,3,FALSE)</f>
        <v>46</v>
      </c>
      <c r="D285" s="4" t="str">
        <f>VLOOKUP(A285,'f Excel formulas for calculatio'!A:H,4,FALSE)</f>
        <v>Female</v>
      </c>
      <c r="E285" s="4" t="str">
        <f>VLOOKUP(A285,'f Excel formulas for calculatio'!A:H,5,FALSE)</f>
        <v>Spencermouth</v>
      </c>
      <c r="F285" s="4" t="str">
        <f>VLOOKUP(A285,'f Excel formulas for calculatio'!A:H,6,FALSE)</f>
        <v>New Jersey</v>
      </c>
      <c r="G285" s="4" t="str">
        <f>VLOOKUP(A285,'f Excel formulas for calculatio'!A:H,7,FALSE)</f>
        <v>USA</v>
      </c>
      <c r="H285" s="4" t="str">
        <f>VLOOKUP(A285,'f Excel formulas for calculatio'!A:H,8,FALSE)</f>
        <v>Gold</v>
      </c>
    </row>
    <row r="286" spans="1:8" x14ac:dyDescent="0.25">
      <c r="A286" s="4" t="s">
        <v>910</v>
      </c>
      <c r="B286" s="4" t="str">
        <f>VLOOKUP(A286,'f Excel formulas for calculatio'!A:H,2,FALSE)</f>
        <v>Bryan Garcia</v>
      </c>
      <c r="C286" s="4">
        <f>VLOOKUP(A286,'f Excel formulas for calculatio'!A:H,3,FALSE)</f>
        <v>54</v>
      </c>
      <c r="D286" s="4" t="str">
        <f>VLOOKUP(A286,'f Excel formulas for calculatio'!A:H,4,FALSE)</f>
        <v>Female</v>
      </c>
      <c r="E286" s="4" t="str">
        <f>VLOOKUP(A286,'f Excel formulas for calculatio'!A:H,5,FALSE)</f>
        <v>Garciaborough</v>
      </c>
      <c r="F286" s="4" t="str">
        <f>VLOOKUP(A286,'f Excel formulas for calculatio'!A:H,6,FALSE)</f>
        <v>Wyoming</v>
      </c>
      <c r="G286" s="4" t="str">
        <f>VLOOKUP(A286,'f Excel formulas for calculatio'!A:H,7,FALSE)</f>
        <v>USA</v>
      </c>
      <c r="H286" s="4" t="str">
        <f>VLOOKUP(A286,'f Excel formulas for calculatio'!A:H,8,FALSE)</f>
        <v>Silver</v>
      </c>
    </row>
    <row r="287" spans="1:8" x14ac:dyDescent="0.25">
      <c r="A287" s="9" t="s">
        <v>913</v>
      </c>
      <c r="B287" s="4" t="str">
        <f>VLOOKUP(A287,'f Excel formulas for calculatio'!A:H,2,FALSE)</f>
        <v>Hunter Sutton</v>
      </c>
      <c r="C287" s="4">
        <f>VLOOKUP(A287,'f Excel formulas for calculatio'!A:H,3,FALSE)</f>
        <v>54</v>
      </c>
      <c r="D287" s="4" t="str">
        <f>VLOOKUP(A287,'f Excel formulas for calculatio'!A:H,4,FALSE)</f>
        <v>Male</v>
      </c>
      <c r="E287" s="4" t="str">
        <f>VLOOKUP(A287,'f Excel formulas for calculatio'!A:H,5,FALSE)</f>
        <v>Patrickshire</v>
      </c>
      <c r="F287" s="4" t="str">
        <f>VLOOKUP(A287,'f Excel formulas for calculatio'!A:H,6,FALSE)</f>
        <v>Connecticut</v>
      </c>
      <c r="G287" s="4" t="str">
        <f>VLOOKUP(A287,'f Excel formulas for calculatio'!A:H,7,FALSE)</f>
        <v>USA</v>
      </c>
      <c r="H287" s="4" t="str">
        <f>VLOOKUP(A287,'f Excel formulas for calculatio'!A:H,8,FALSE)</f>
        <v>Gold</v>
      </c>
    </row>
    <row r="288" spans="1:8" x14ac:dyDescent="0.25">
      <c r="A288" s="4" t="s">
        <v>916</v>
      </c>
      <c r="B288" s="4" t="str">
        <f>VLOOKUP(A288,'f Excel formulas for calculatio'!A:H,2,FALSE)</f>
        <v>Donna Guerra</v>
      </c>
      <c r="C288" s="4">
        <f>VLOOKUP(A288,'f Excel formulas for calculatio'!A:H,3,FALSE)</f>
        <v>46</v>
      </c>
      <c r="D288" s="4" t="str">
        <f>VLOOKUP(A288,'f Excel formulas for calculatio'!A:H,4,FALSE)</f>
        <v>Female</v>
      </c>
      <c r="E288" s="4" t="str">
        <f>VLOOKUP(A288,'f Excel formulas for calculatio'!A:H,5,FALSE)</f>
        <v>North Robert</v>
      </c>
      <c r="F288" s="4" t="str">
        <f>VLOOKUP(A288,'f Excel formulas for calculatio'!A:H,6,FALSE)</f>
        <v>Massachusetts</v>
      </c>
      <c r="G288" s="4" t="str">
        <f>VLOOKUP(A288,'f Excel formulas for calculatio'!A:H,7,FALSE)</f>
        <v>USA</v>
      </c>
      <c r="H288" s="4" t="str">
        <f>VLOOKUP(A288,'f Excel formulas for calculatio'!A:H,8,FALSE)</f>
        <v>Silver</v>
      </c>
    </row>
    <row r="289" spans="1:8" x14ac:dyDescent="0.25">
      <c r="A289" s="9" t="s">
        <v>919</v>
      </c>
      <c r="B289" s="4" t="str">
        <f>VLOOKUP(A289,'f Excel formulas for calculatio'!A:H,2,FALSE)</f>
        <v>Tommy Roberts</v>
      </c>
      <c r="C289" s="4">
        <f>VLOOKUP(A289,'f Excel formulas for calculatio'!A:H,3,FALSE)</f>
        <v>22</v>
      </c>
      <c r="D289" s="4" t="str">
        <f>VLOOKUP(A289,'f Excel formulas for calculatio'!A:H,4,FALSE)</f>
        <v>Male</v>
      </c>
      <c r="E289" s="4" t="str">
        <f>VLOOKUP(A289,'f Excel formulas for calculatio'!A:H,5,FALSE)</f>
        <v>Port Tonyfort</v>
      </c>
      <c r="F289" s="4" t="str">
        <f>VLOOKUP(A289,'f Excel formulas for calculatio'!A:H,6,FALSE)</f>
        <v>South Dakota</v>
      </c>
      <c r="G289" s="4" t="str">
        <f>VLOOKUP(A289,'f Excel formulas for calculatio'!A:H,7,FALSE)</f>
        <v>USA</v>
      </c>
      <c r="H289" s="4" t="str">
        <f>VLOOKUP(A289,'f Excel formulas for calculatio'!A:H,8,FALSE)</f>
        <v>Silver</v>
      </c>
    </row>
    <row r="290" spans="1:8" x14ac:dyDescent="0.25">
      <c r="A290" s="4" t="s">
        <v>922</v>
      </c>
      <c r="B290" s="4" t="str">
        <f>VLOOKUP(A290,'f Excel formulas for calculatio'!A:H,2,FALSE)</f>
        <v>Cynthia Roberts</v>
      </c>
      <c r="C290" s="4">
        <f>VLOOKUP(A290,'f Excel formulas for calculatio'!A:H,3,FALSE)</f>
        <v>22</v>
      </c>
      <c r="D290" s="4" t="str">
        <f>VLOOKUP(A290,'f Excel formulas for calculatio'!A:H,4,FALSE)</f>
        <v>Female</v>
      </c>
      <c r="E290" s="4" t="str">
        <f>VLOOKUP(A290,'f Excel formulas for calculatio'!A:H,5,FALSE)</f>
        <v>Millerfort</v>
      </c>
      <c r="F290" s="4" t="str">
        <f>VLOOKUP(A290,'f Excel formulas for calculatio'!A:H,6,FALSE)</f>
        <v>Vermont</v>
      </c>
      <c r="G290" s="4" t="str">
        <f>VLOOKUP(A290,'f Excel formulas for calculatio'!A:H,7,FALSE)</f>
        <v>USA</v>
      </c>
      <c r="H290" s="4" t="str">
        <f>VLOOKUP(A290,'f Excel formulas for calculatio'!A:H,8,FALSE)</f>
        <v>Gold</v>
      </c>
    </row>
    <row r="291" spans="1:8" x14ac:dyDescent="0.25">
      <c r="A291" s="9" t="s">
        <v>925</v>
      </c>
      <c r="B291" s="4" t="str">
        <f>VLOOKUP(A291,'f Excel formulas for calculatio'!A:H,2,FALSE)</f>
        <v>Misty Ferguson</v>
      </c>
      <c r="C291" s="4">
        <f>VLOOKUP(A291,'f Excel formulas for calculatio'!A:H,3,FALSE)</f>
        <v>58</v>
      </c>
      <c r="D291" s="4" t="str">
        <f>VLOOKUP(A291,'f Excel formulas for calculatio'!A:H,4,FALSE)</f>
        <v>Male</v>
      </c>
      <c r="E291" s="4" t="str">
        <f>VLOOKUP(A291,'f Excel formulas for calculatio'!A:H,5,FALSE)</f>
        <v>North Joseside</v>
      </c>
      <c r="F291" s="4" t="str">
        <f>VLOOKUP(A291,'f Excel formulas for calculatio'!A:H,6,FALSE)</f>
        <v>Connecticut</v>
      </c>
      <c r="G291" s="4" t="str">
        <f>VLOOKUP(A291,'f Excel formulas for calculatio'!A:H,7,FALSE)</f>
        <v>USA</v>
      </c>
      <c r="H291" s="4" t="str">
        <f>VLOOKUP(A291,'f Excel formulas for calculatio'!A:H,8,FALSE)</f>
        <v>Gold</v>
      </c>
    </row>
    <row r="292" spans="1:8" x14ac:dyDescent="0.25">
      <c r="A292" s="4" t="s">
        <v>928</v>
      </c>
      <c r="B292" s="4" t="str">
        <f>VLOOKUP(A292,'f Excel formulas for calculatio'!A:H,2,FALSE)</f>
        <v>Jennifer Figueroa</v>
      </c>
      <c r="C292" s="4">
        <f>VLOOKUP(A292,'f Excel formulas for calculatio'!A:H,3,FALSE)</f>
        <v>45</v>
      </c>
      <c r="D292" s="4" t="str">
        <f>VLOOKUP(A292,'f Excel formulas for calculatio'!A:H,4,FALSE)</f>
        <v>Male</v>
      </c>
      <c r="E292" s="4" t="str">
        <f>VLOOKUP(A292,'f Excel formulas for calculatio'!A:H,5,FALSE)</f>
        <v>North Brookestad</v>
      </c>
      <c r="F292" s="4" t="str">
        <f>VLOOKUP(A292,'f Excel formulas for calculatio'!A:H,6,FALSE)</f>
        <v>Ohio</v>
      </c>
      <c r="G292" s="4" t="str">
        <f>VLOOKUP(A292,'f Excel formulas for calculatio'!A:H,7,FALSE)</f>
        <v>USA</v>
      </c>
      <c r="H292" s="4" t="str">
        <f>VLOOKUP(A292,'f Excel formulas for calculatio'!A:H,8,FALSE)</f>
        <v>Bronze</v>
      </c>
    </row>
    <row r="293" spans="1:8" x14ac:dyDescent="0.25">
      <c r="A293" s="9" t="s">
        <v>931</v>
      </c>
      <c r="B293" s="4" t="str">
        <f>VLOOKUP(A293,'f Excel formulas for calculatio'!A:H,2,FALSE)</f>
        <v>Chase Williams MD</v>
      </c>
      <c r="C293" s="4">
        <f>VLOOKUP(A293,'f Excel formulas for calculatio'!A:H,3,FALSE)</f>
        <v>52</v>
      </c>
      <c r="D293" s="4" t="str">
        <f>VLOOKUP(A293,'f Excel formulas for calculatio'!A:H,4,FALSE)</f>
        <v>Female</v>
      </c>
      <c r="E293" s="4" t="str">
        <f>VLOOKUP(A293,'f Excel formulas for calculatio'!A:H,5,FALSE)</f>
        <v>Sherimouth</v>
      </c>
      <c r="F293" s="4" t="str">
        <f>VLOOKUP(A293,'f Excel formulas for calculatio'!A:H,6,FALSE)</f>
        <v>Virginia</v>
      </c>
      <c r="G293" s="4" t="str">
        <f>VLOOKUP(A293,'f Excel formulas for calculatio'!A:H,7,FALSE)</f>
        <v>USA</v>
      </c>
      <c r="H293" s="4" t="str">
        <f>VLOOKUP(A293,'f Excel formulas for calculatio'!A:H,8,FALSE)</f>
        <v>Silver</v>
      </c>
    </row>
    <row r="294" spans="1:8" x14ac:dyDescent="0.25">
      <c r="A294" s="4" t="s">
        <v>934</v>
      </c>
      <c r="B294" s="4" t="str">
        <f>VLOOKUP(A294,'f Excel formulas for calculatio'!A:H,2,FALSE)</f>
        <v>James Powell</v>
      </c>
      <c r="C294" s="4">
        <f>VLOOKUP(A294,'f Excel formulas for calculatio'!A:H,3,FALSE)</f>
        <v>40</v>
      </c>
      <c r="D294" s="4" t="str">
        <f>VLOOKUP(A294,'f Excel formulas for calculatio'!A:H,4,FALSE)</f>
        <v>Female</v>
      </c>
      <c r="E294" s="4" t="str">
        <f>VLOOKUP(A294,'f Excel formulas for calculatio'!A:H,5,FALSE)</f>
        <v>West Beverlymouth</v>
      </c>
      <c r="F294" s="4" t="str">
        <f>VLOOKUP(A294,'f Excel formulas for calculatio'!A:H,6,FALSE)</f>
        <v>Missouri</v>
      </c>
      <c r="G294" s="4" t="str">
        <f>VLOOKUP(A294,'f Excel formulas for calculatio'!A:H,7,FALSE)</f>
        <v>USA</v>
      </c>
      <c r="H294" s="4" t="str">
        <f>VLOOKUP(A294,'f Excel formulas for calculatio'!A:H,8,FALSE)</f>
        <v>Bronze</v>
      </c>
    </row>
    <row r="295" spans="1:8" x14ac:dyDescent="0.25">
      <c r="A295" s="9" t="s">
        <v>937</v>
      </c>
      <c r="B295" s="4" t="str">
        <f>VLOOKUP(A295,'f Excel formulas for calculatio'!A:H,2,FALSE)</f>
        <v>Ricardo Jones</v>
      </c>
      <c r="C295" s="4">
        <f>VLOOKUP(A295,'f Excel formulas for calculatio'!A:H,3,FALSE)</f>
        <v>30</v>
      </c>
      <c r="D295" s="4" t="str">
        <f>VLOOKUP(A295,'f Excel formulas for calculatio'!A:H,4,FALSE)</f>
        <v>Male</v>
      </c>
      <c r="E295" s="4" t="str">
        <f>VLOOKUP(A295,'f Excel formulas for calculatio'!A:H,5,FALSE)</f>
        <v>Danielland</v>
      </c>
      <c r="F295" s="4" t="str">
        <f>VLOOKUP(A295,'f Excel formulas for calculatio'!A:H,6,FALSE)</f>
        <v>Minnesota</v>
      </c>
      <c r="G295" s="4" t="str">
        <f>VLOOKUP(A295,'f Excel formulas for calculatio'!A:H,7,FALSE)</f>
        <v>USA</v>
      </c>
      <c r="H295" s="4" t="str">
        <f>VLOOKUP(A295,'f Excel formulas for calculatio'!A:H,8,FALSE)</f>
        <v>Silver</v>
      </c>
    </row>
    <row r="296" spans="1:8" x14ac:dyDescent="0.25">
      <c r="A296" s="4" t="s">
        <v>940</v>
      </c>
      <c r="B296" s="4" t="str">
        <f>VLOOKUP(A296,'f Excel formulas for calculatio'!A:H,2,FALSE)</f>
        <v>Gloria Taylor</v>
      </c>
      <c r="C296" s="4">
        <f>VLOOKUP(A296,'f Excel formulas for calculatio'!A:H,3,FALSE)</f>
        <v>56</v>
      </c>
      <c r="D296" s="4" t="str">
        <f>VLOOKUP(A296,'f Excel formulas for calculatio'!A:H,4,FALSE)</f>
        <v>Female</v>
      </c>
      <c r="E296" s="4" t="str">
        <f>VLOOKUP(A296,'f Excel formulas for calculatio'!A:H,5,FALSE)</f>
        <v>North Daniel</v>
      </c>
      <c r="F296" s="4" t="str">
        <f>VLOOKUP(A296,'f Excel formulas for calculatio'!A:H,6,FALSE)</f>
        <v>Louisiana</v>
      </c>
      <c r="G296" s="4" t="str">
        <f>VLOOKUP(A296,'f Excel formulas for calculatio'!A:H,7,FALSE)</f>
        <v>USA</v>
      </c>
      <c r="H296" s="4" t="str">
        <f>VLOOKUP(A296,'f Excel formulas for calculatio'!A:H,8,FALSE)</f>
        <v>Platinum</v>
      </c>
    </row>
    <row r="297" spans="1:8" x14ac:dyDescent="0.25">
      <c r="A297" s="9" t="s">
        <v>943</v>
      </c>
      <c r="B297" s="4" t="str">
        <f>VLOOKUP(A297,'f Excel formulas for calculatio'!A:H,2,FALSE)</f>
        <v>Lisa Chandler</v>
      </c>
      <c r="C297" s="4">
        <f>VLOOKUP(A297,'f Excel formulas for calculatio'!A:H,3,FALSE)</f>
        <v>29</v>
      </c>
      <c r="D297" s="4" t="str">
        <f>VLOOKUP(A297,'f Excel formulas for calculatio'!A:H,4,FALSE)</f>
        <v>Male</v>
      </c>
      <c r="E297" s="4" t="str">
        <f>VLOOKUP(A297,'f Excel formulas for calculatio'!A:H,5,FALSE)</f>
        <v>Port Richard</v>
      </c>
      <c r="F297" s="4" t="str">
        <f>VLOOKUP(A297,'f Excel formulas for calculatio'!A:H,6,FALSE)</f>
        <v>Montana</v>
      </c>
      <c r="G297" s="4" t="str">
        <f>VLOOKUP(A297,'f Excel formulas for calculatio'!A:H,7,FALSE)</f>
        <v>USA</v>
      </c>
      <c r="H297" s="4" t="str">
        <f>VLOOKUP(A297,'f Excel formulas for calculatio'!A:H,8,FALSE)</f>
        <v>Platinum</v>
      </c>
    </row>
    <row r="298" spans="1:8" x14ac:dyDescent="0.25">
      <c r="A298" s="4" t="s">
        <v>945</v>
      </c>
      <c r="B298" s="4" t="str">
        <f>VLOOKUP(A298,'f Excel formulas for calculatio'!A:H,2,FALSE)</f>
        <v>Crystal Waters</v>
      </c>
      <c r="C298" s="4">
        <f>VLOOKUP(A298,'f Excel formulas for calculatio'!A:H,3,FALSE)</f>
        <v>19</v>
      </c>
      <c r="D298" s="4" t="str">
        <f>VLOOKUP(A298,'f Excel formulas for calculatio'!A:H,4,FALSE)</f>
        <v>Female</v>
      </c>
      <c r="E298" s="4" t="str">
        <f>VLOOKUP(A298,'f Excel formulas for calculatio'!A:H,5,FALSE)</f>
        <v>North Michelleport</v>
      </c>
      <c r="F298" s="4" t="str">
        <f>VLOOKUP(A298,'f Excel formulas for calculatio'!A:H,6,FALSE)</f>
        <v>Kansas</v>
      </c>
      <c r="G298" s="4" t="str">
        <f>VLOOKUP(A298,'f Excel formulas for calculatio'!A:H,7,FALSE)</f>
        <v>USA</v>
      </c>
      <c r="H298" s="4" t="str">
        <f>VLOOKUP(A298,'f Excel formulas for calculatio'!A:H,8,FALSE)</f>
        <v>Bronze</v>
      </c>
    </row>
    <row r="299" spans="1:8" x14ac:dyDescent="0.25">
      <c r="A299" s="9" t="s">
        <v>948</v>
      </c>
      <c r="B299" s="4" t="str">
        <f>VLOOKUP(A299,'f Excel formulas for calculatio'!A:H,2,FALSE)</f>
        <v>Jared Moran</v>
      </c>
      <c r="C299" s="4">
        <f>VLOOKUP(A299,'f Excel formulas for calculatio'!A:H,3,FALSE)</f>
        <v>28</v>
      </c>
      <c r="D299" s="4" t="str">
        <f>VLOOKUP(A299,'f Excel formulas for calculatio'!A:H,4,FALSE)</f>
        <v>Female</v>
      </c>
      <c r="E299" s="4" t="str">
        <f>VLOOKUP(A299,'f Excel formulas for calculatio'!A:H,5,FALSE)</f>
        <v>South David</v>
      </c>
      <c r="F299" s="4" t="str">
        <f>VLOOKUP(A299,'f Excel formulas for calculatio'!A:H,6,FALSE)</f>
        <v>West Virginia</v>
      </c>
      <c r="G299" s="4" t="str">
        <f>VLOOKUP(A299,'f Excel formulas for calculatio'!A:H,7,FALSE)</f>
        <v>USA</v>
      </c>
      <c r="H299" s="4" t="str">
        <f>VLOOKUP(A299,'f Excel formulas for calculatio'!A:H,8,FALSE)</f>
        <v>Bronze</v>
      </c>
    </row>
    <row r="300" spans="1:8" x14ac:dyDescent="0.25">
      <c r="A300" s="4" t="s">
        <v>950</v>
      </c>
      <c r="B300" s="4" t="str">
        <f>VLOOKUP(A300,'f Excel formulas for calculatio'!A:H,2,FALSE)</f>
        <v>Jennifer Carr</v>
      </c>
      <c r="C300" s="4">
        <f>VLOOKUP(A300,'f Excel formulas for calculatio'!A:H,3,FALSE)</f>
        <v>47</v>
      </c>
      <c r="D300" s="4" t="str">
        <f>VLOOKUP(A300,'f Excel formulas for calculatio'!A:H,4,FALSE)</f>
        <v>Female</v>
      </c>
      <c r="E300" s="4" t="str">
        <f>VLOOKUP(A300,'f Excel formulas for calculatio'!A:H,5,FALSE)</f>
        <v>Lake Brett</v>
      </c>
      <c r="F300" s="4" t="str">
        <f>VLOOKUP(A300,'f Excel formulas for calculatio'!A:H,6,FALSE)</f>
        <v>Missouri</v>
      </c>
      <c r="G300" s="4" t="str">
        <f>VLOOKUP(A300,'f Excel formulas for calculatio'!A:H,7,FALSE)</f>
        <v>USA</v>
      </c>
      <c r="H300" s="4" t="str">
        <f>VLOOKUP(A300,'f Excel formulas for calculatio'!A:H,8,FALSE)</f>
        <v>Silver</v>
      </c>
    </row>
    <row r="301" spans="1:8" x14ac:dyDescent="0.25">
      <c r="A301" s="9" t="s">
        <v>953</v>
      </c>
      <c r="B301" s="4" t="str">
        <f>VLOOKUP(A301,'f Excel formulas for calculatio'!A:H,2,FALSE)</f>
        <v>Tracy Stephens</v>
      </c>
      <c r="C301" s="4">
        <f>VLOOKUP(A301,'f Excel formulas for calculatio'!A:H,3,FALSE)</f>
        <v>64</v>
      </c>
      <c r="D301" s="4" t="str">
        <f>VLOOKUP(A301,'f Excel formulas for calculatio'!A:H,4,FALSE)</f>
        <v>Male</v>
      </c>
      <c r="E301" s="4" t="str">
        <f>VLOOKUP(A301,'f Excel formulas for calculatio'!A:H,5,FALSE)</f>
        <v>New Joshuatown</v>
      </c>
      <c r="F301" s="4" t="str">
        <f>VLOOKUP(A301,'f Excel formulas for calculatio'!A:H,6,FALSE)</f>
        <v>Maine</v>
      </c>
      <c r="G301" s="4" t="str">
        <f>VLOOKUP(A301,'f Excel formulas for calculatio'!A:H,7,FALSE)</f>
        <v>USA</v>
      </c>
      <c r="H301" s="4" t="str">
        <f>VLOOKUP(A301,'f Excel formulas for calculatio'!A:H,8,FALSE)</f>
        <v>Platinum</v>
      </c>
    </row>
    <row r="302" spans="1:8" x14ac:dyDescent="0.25">
      <c r="A302" s="4" t="s">
        <v>956</v>
      </c>
      <c r="B302" s="4" t="str">
        <f>VLOOKUP(A302,'f Excel formulas for calculatio'!A:H,2,FALSE)</f>
        <v>Stephanie Jacobs</v>
      </c>
      <c r="C302" s="4">
        <f>VLOOKUP(A302,'f Excel formulas for calculatio'!A:H,3,FALSE)</f>
        <v>48</v>
      </c>
      <c r="D302" s="4" t="str">
        <f>VLOOKUP(A302,'f Excel formulas for calculatio'!A:H,4,FALSE)</f>
        <v>Female</v>
      </c>
      <c r="E302" s="4" t="str">
        <f>VLOOKUP(A302,'f Excel formulas for calculatio'!A:H,5,FALSE)</f>
        <v>West Robinmouth</v>
      </c>
      <c r="F302" s="4" t="str">
        <f>VLOOKUP(A302,'f Excel formulas for calculatio'!A:H,6,FALSE)</f>
        <v>Louisiana</v>
      </c>
      <c r="G302" s="4" t="str">
        <f>VLOOKUP(A302,'f Excel formulas for calculatio'!A:H,7,FALSE)</f>
        <v>USA</v>
      </c>
      <c r="H302" s="4" t="str">
        <f>VLOOKUP(A302,'f Excel formulas for calculatio'!A:H,8,FALSE)</f>
        <v>Platinum</v>
      </c>
    </row>
    <row r="303" spans="1:8" x14ac:dyDescent="0.25">
      <c r="A303" s="9" t="s">
        <v>959</v>
      </c>
      <c r="B303" s="4" t="str">
        <f>VLOOKUP(A303,'f Excel formulas for calculatio'!A:H,2,FALSE)</f>
        <v>Matthew Avery</v>
      </c>
      <c r="C303" s="4">
        <f>VLOOKUP(A303,'f Excel formulas for calculatio'!A:H,3,FALSE)</f>
        <v>29</v>
      </c>
      <c r="D303" s="4" t="str">
        <f>VLOOKUP(A303,'f Excel formulas for calculatio'!A:H,4,FALSE)</f>
        <v>Male</v>
      </c>
      <c r="E303" s="4" t="str">
        <f>VLOOKUP(A303,'f Excel formulas for calculatio'!A:H,5,FALSE)</f>
        <v>Lake Melissashire</v>
      </c>
      <c r="F303" s="4" t="str">
        <f>VLOOKUP(A303,'f Excel formulas for calculatio'!A:H,6,FALSE)</f>
        <v>Oregon</v>
      </c>
      <c r="G303" s="4" t="str">
        <f>VLOOKUP(A303,'f Excel formulas for calculatio'!A:H,7,FALSE)</f>
        <v>USA</v>
      </c>
      <c r="H303" s="4" t="str">
        <f>VLOOKUP(A303,'f Excel formulas for calculatio'!A:H,8,FALSE)</f>
        <v>Silver</v>
      </c>
    </row>
    <row r="304" spans="1:8" x14ac:dyDescent="0.25">
      <c r="A304" s="4" t="s">
        <v>962</v>
      </c>
      <c r="B304" s="4" t="str">
        <f>VLOOKUP(A304,'f Excel formulas for calculatio'!A:H,2,FALSE)</f>
        <v>Ryan Kane</v>
      </c>
      <c r="C304" s="4">
        <f>VLOOKUP(A304,'f Excel formulas for calculatio'!A:H,3,FALSE)</f>
        <v>50</v>
      </c>
      <c r="D304" s="4" t="str">
        <f>VLOOKUP(A304,'f Excel formulas for calculatio'!A:H,4,FALSE)</f>
        <v>Male</v>
      </c>
      <c r="E304" s="4" t="str">
        <f>VLOOKUP(A304,'f Excel formulas for calculatio'!A:H,5,FALSE)</f>
        <v>West Bruceburgh</v>
      </c>
      <c r="F304" s="4" t="str">
        <f>VLOOKUP(A304,'f Excel formulas for calculatio'!A:H,6,FALSE)</f>
        <v>Virginia</v>
      </c>
      <c r="G304" s="4" t="str">
        <f>VLOOKUP(A304,'f Excel formulas for calculatio'!A:H,7,FALSE)</f>
        <v>USA</v>
      </c>
      <c r="H304" s="4" t="str">
        <f>VLOOKUP(A304,'f Excel formulas for calculatio'!A:H,8,FALSE)</f>
        <v>Gold</v>
      </c>
    </row>
    <row r="305" spans="1:8" x14ac:dyDescent="0.25">
      <c r="A305" s="9" t="s">
        <v>965</v>
      </c>
      <c r="B305" s="4" t="str">
        <f>VLOOKUP(A305,'f Excel formulas for calculatio'!A:H,2,FALSE)</f>
        <v>Edward Cole</v>
      </c>
      <c r="C305" s="4">
        <f>VLOOKUP(A305,'f Excel formulas for calculatio'!A:H,3,FALSE)</f>
        <v>36</v>
      </c>
      <c r="D305" s="4" t="str">
        <f>VLOOKUP(A305,'f Excel formulas for calculatio'!A:H,4,FALSE)</f>
        <v>Male</v>
      </c>
      <c r="E305" s="4" t="str">
        <f>VLOOKUP(A305,'f Excel formulas for calculatio'!A:H,5,FALSE)</f>
        <v>Lake Charlotte</v>
      </c>
      <c r="F305" s="4" t="str">
        <f>VLOOKUP(A305,'f Excel formulas for calculatio'!A:H,6,FALSE)</f>
        <v>Arizona</v>
      </c>
      <c r="G305" s="4" t="str">
        <f>VLOOKUP(A305,'f Excel formulas for calculatio'!A:H,7,FALSE)</f>
        <v>USA</v>
      </c>
      <c r="H305" s="4" t="str">
        <f>VLOOKUP(A305,'f Excel formulas for calculatio'!A:H,8,FALSE)</f>
        <v>Gold</v>
      </c>
    </row>
    <row r="306" spans="1:8" x14ac:dyDescent="0.25">
      <c r="A306" s="4" t="s">
        <v>968</v>
      </c>
      <c r="B306" s="4" t="str">
        <f>VLOOKUP(A306,'f Excel formulas for calculatio'!A:H,2,FALSE)</f>
        <v>John Sloan</v>
      </c>
      <c r="C306" s="4">
        <f>VLOOKUP(A306,'f Excel formulas for calculatio'!A:H,3,FALSE)</f>
        <v>23</v>
      </c>
      <c r="D306" s="4" t="str">
        <f>VLOOKUP(A306,'f Excel formulas for calculatio'!A:H,4,FALSE)</f>
        <v>Female</v>
      </c>
      <c r="E306" s="4" t="str">
        <f>VLOOKUP(A306,'f Excel formulas for calculatio'!A:H,5,FALSE)</f>
        <v>East Johntown</v>
      </c>
      <c r="F306" s="4" t="str">
        <f>VLOOKUP(A306,'f Excel formulas for calculatio'!A:H,6,FALSE)</f>
        <v>Delaware</v>
      </c>
      <c r="G306" s="4" t="str">
        <f>VLOOKUP(A306,'f Excel formulas for calculatio'!A:H,7,FALSE)</f>
        <v>USA</v>
      </c>
      <c r="H306" s="4" t="str">
        <f>VLOOKUP(A306,'f Excel formulas for calculatio'!A:H,8,FALSE)</f>
        <v>Platinum</v>
      </c>
    </row>
    <row r="307" spans="1:8" x14ac:dyDescent="0.25">
      <c r="A307" s="9" t="s">
        <v>971</v>
      </c>
      <c r="B307" s="4" t="str">
        <f>VLOOKUP(A307,'f Excel formulas for calculatio'!A:H,2,FALSE)</f>
        <v>Miss Alexandria Li DVM</v>
      </c>
      <c r="C307" s="4">
        <f>VLOOKUP(A307,'f Excel formulas for calculatio'!A:H,3,FALSE)</f>
        <v>41</v>
      </c>
      <c r="D307" s="4" t="str">
        <f>VLOOKUP(A307,'f Excel formulas for calculatio'!A:H,4,FALSE)</f>
        <v>Male</v>
      </c>
      <c r="E307" s="4" t="str">
        <f>VLOOKUP(A307,'f Excel formulas for calculatio'!A:H,5,FALSE)</f>
        <v>Port Jenniferton</v>
      </c>
      <c r="F307" s="4" t="str">
        <f>VLOOKUP(A307,'f Excel formulas for calculatio'!A:H,6,FALSE)</f>
        <v>Kansas</v>
      </c>
      <c r="G307" s="4" t="str">
        <f>VLOOKUP(A307,'f Excel formulas for calculatio'!A:H,7,FALSE)</f>
        <v>USA</v>
      </c>
      <c r="H307" s="4" t="str">
        <f>VLOOKUP(A307,'f Excel formulas for calculatio'!A:H,8,FALSE)</f>
        <v>Silver</v>
      </c>
    </row>
    <row r="308" spans="1:8" x14ac:dyDescent="0.25">
      <c r="A308" s="4" t="s">
        <v>974</v>
      </c>
      <c r="B308" s="4" t="str">
        <f>VLOOKUP(A308,'f Excel formulas for calculatio'!A:H,2,FALSE)</f>
        <v>Roberta Green</v>
      </c>
      <c r="C308" s="4">
        <f>VLOOKUP(A308,'f Excel formulas for calculatio'!A:H,3,FALSE)</f>
        <v>64</v>
      </c>
      <c r="D308" s="4" t="str">
        <f>VLOOKUP(A308,'f Excel formulas for calculatio'!A:H,4,FALSE)</f>
        <v>Male</v>
      </c>
      <c r="E308" s="4" t="str">
        <f>VLOOKUP(A308,'f Excel formulas for calculatio'!A:H,5,FALSE)</f>
        <v>West Joseph</v>
      </c>
      <c r="F308" s="4" t="str">
        <f>VLOOKUP(A308,'f Excel formulas for calculatio'!A:H,6,FALSE)</f>
        <v>Washington</v>
      </c>
      <c r="G308" s="4" t="str">
        <f>VLOOKUP(A308,'f Excel formulas for calculatio'!A:H,7,FALSE)</f>
        <v>USA</v>
      </c>
      <c r="H308" s="4" t="str">
        <f>VLOOKUP(A308,'f Excel formulas for calculatio'!A:H,8,FALSE)</f>
        <v>Platinum</v>
      </c>
    </row>
    <row r="309" spans="1:8" x14ac:dyDescent="0.25">
      <c r="A309" s="9" t="s">
        <v>977</v>
      </c>
      <c r="B309" s="4" t="str">
        <f>VLOOKUP(A309,'f Excel formulas for calculatio'!A:H,2,FALSE)</f>
        <v>Angela Robinson</v>
      </c>
      <c r="C309" s="4">
        <f>VLOOKUP(A309,'f Excel formulas for calculatio'!A:H,3,FALSE)</f>
        <v>44</v>
      </c>
      <c r="D309" s="4" t="str">
        <f>VLOOKUP(A309,'f Excel formulas for calculatio'!A:H,4,FALSE)</f>
        <v>Male</v>
      </c>
      <c r="E309" s="4" t="str">
        <f>VLOOKUP(A309,'f Excel formulas for calculatio'!A:H,5,FALSE)</f>
        <v>New Nicholasstad</v>
      </c>
      <c r="F309" s="4" t="str">
        <f>VLOOKUP(A309,'f Excel formulas for calculatio'!A:H,6,FALSE)</f>
        <v>Tennessee</v>
      </c>
      <c r="G309" s="4" t="str">
        <f>VLOOKUP(A309,'f Excel formulas for calculatio'!A:H,7,FALSE)</f>
        <v>USA</v>
      </c>
      <c r="H309" s="4" t="str">
        <f>VLOOKUP(A309,'f Excel formulas for calculatio'!A:H,8,FALSE)</f>
        <v>Platinum</v>
      </c>
    </row>
    <row r="310" spans="1:8" x14ac:dyDescent="0.25">
      <c r="A310" s="4" t="s">
        <v>980</v>
      </c>
      <c r="B310" s="4" t="str">
        <f>VLOOKUP(A310,'f Excel formulas for calculatio'!A:H,2,FALSE)</f>
        <v>Brandy Thompson</v>
      </c>
      <c r="C310" s="4">
        <f>VLOOKUP(A310,'f Excel formulas for calculatio'!A:H,3,FALSE)</f>
        <v>56</v>
      </c>
      <c r="D310" s="4" t="str">
        <f>VLOOKUP(A310,'f Excel formulas for calculatio'!A:H,4,FALSE)</f>
        <v>Female</v>
      </c>
      <c r="E310" s="4" t="str">
        <f>VLOOKUP(A310,'f Excel formulas for calculatio'!A:H,5,FALSE)</f>
        <v>West Patriciaview</v>
      </c>
      <c r="F310" s="4" t="str">
        <f>VLOOKUP(A310,'f Excel formulas for calculatio'!A:H,6,FALSE)</f>
        <v>Alabama</v>
      </c>
      <c r="G310" s="4" t="str">
        <f>VLOOKUP(A310,'f Excel formulas for calculatio'!A:H,7,FALSE)</f>
        <v>USA</v>
      </c>
      <c r="H310" s="4" t="str">
        <f>VLOOKUP(A310,'f Excel formulas for calculatio'!A:H,8,FALSE)</f>
        <v>Bronze</v>
      </c>
    </row>
    <row r="311" spans="1:8" x14ac:dyDescent="0.25">
      <c r="A311" s="9" t="s">
        <v>983</v>
      </c>
      <c r="B311" s="4" t="str">
        <f>VLOOKUP(A311,'f Excel formulas for calculatio'!A:H,2,FALSE)</f>
        <v>Jennifer Zamora</v>
      </c>
      <c r="C311" s="4">
        <f>VLOOKUP(A311,'f Excel formulas for calculatio'!A:H,3,FALSE)</f>
        <v>60</v>
      </c>
      <c r="D311" s="4" t="str">
        <f>VLOOKUP(A311,'f Excel formulas for calculatio'!A:H,4,FALSE)</f>
        <v>Female</v>
      </c>
      <c r="E311" s="4" t="str">
        <f>VLOOKUP(A311,'f Excel formulas for calculatio'!A:H,5,FALSE)</f>
        <v>Sarahland</v>
      </c>
      <c r="F311" s="4" t="str">
        <f>VLOOKUP(A311,'f Excel formulas for calculatio'!A:H,6,FALSE)</f>
        <v>Iowa</v>
      </c>
      <c r="G311" s="4" t="str">
        <f>VLOOKUP(A311,'f Excel formulas for calculatio'!A:H,7,FALSE)</f>
        <v>USA</v>
      </c>
      <c r="H311" s="4" t="str">
        <f>VLOOKUP(A311,'f Excel formulas for calculatio'!A:H,8,FALSE)</f>
        <v>Gold</v>
      </c>
    </row>
    <row r="312" spans="1:8" x14ac:dyDescent="0.25">
      <c r="A312" s="4" t="s">
        <v>986</v>
      </c>
      <c r="B312" s="4" t="str">
        <f>VLOOKUP(A312,'f Excel formulas for calculatio'!A:H,2,FALSE)</f>
        <v>Stacy Collins</v>
      </c>
      <c r="C312" s="4">
        <f>VLOOKUP(A312,'f Excel formulas for calculatio'!A:H,3,FALSE)</f>
        <v>41</v>
      </c>
      <c r="D312" s="4" t="str">
        <f>VLOOKUP(A312,'f Excel formulas for calculatio'!A:H,4,FALSE)</f>
        <v>Female</v>
      </c>
      <c r="E312" s="4" t="str">
        <f>VLOOKUP(A312,'f Excel formulas for calculatio'!A:H,5,FALSE)</f>
        <v>Randychester</v>
      </c>
      <c r="F312" s="4" t="str">
        <f>VLOOKUP(A312,'f Excel formulas for calculatio'!A:H,6,FALSE)</f>
        <v>California</v>
      </c>
      <c r="G312" s="4" t="str">
        <f>VLOOKUP(A312,'f Excel formulas for calculatio'!A:H,7,FALSE)</f>
        <v>USA</v>
      </c>
      <c r="H312" s="4" t="str">
        <f>VLOOKUP(A312,'f Excel formulas for calculatio'!A:H,8,FALSE)</f>
        <v>Bronze</v>
      </c>
    </row>
    <row r="313" spans="1:8" x14ac:dyDescent="0.25">
      <c r="A313" s="9" t="s">
        <v>989</v>
      </c>
      <c r="B313" s="4" t="str">
        <f>VLOOKUP(A313,'f Excel formulas for calculatio'!A:H,2,FALSE)</f>
        <v>Kara Dodson</v>
      </c>
      <c r="C313" s="4">
        <f>VLOOKUP(A313,'f Excel formulas for calculatio'!A:H,3,FALSE)</f>
        <v>20</v>
      </c>
      <c r="D313" s="4" t="str">
        <f>VLOOKUP(A313,'f Excel formulas for calculatio'!A:H,4,FALSE)</f>
        <v>Male</v>
      </c>
      <c r="E313" s="4" t="str">
        <f>VLOOKUP(A313,'f Excel formulas for calculatio'!A:H,5,FALSE)</f>
        <v>Joelside</v>
      </c>
      <c r="F313" s="4" t="str">
        <f>VLOOKUP(A313,'f Excel formulas for calculatio'!A:H,6,FALSE)</f>
        <v>Vermont</v>
      </c>
      <c r="G313" s="4" t="str">
        <f>VLOOKUP(A313,'f Excel formulas for calculatio'!A:H,7,FALSE)</f>
        <v>USA</v>
      </c>
      <c r="H313" s="4" t="str">
        <f>VLOOKUP(A313,'f Excel formulas for calculatio'!A:H,8,FALSE)</f>
        <v>Silver</v>
      </c>
    </row>
    <row r="314" spans="1:8" x14ac:dyDescent="0.25">
      <c r="A314" s="4" t="s">
        <v>992</v>
      </c>
      <c r="B314" s="4" t="str">
        <f>VLOOKUP(A314,'f Excel formulas for calculatio'!A:H,2,FALSE)</f>
        <v>Kevin Larson</v>
      </c>
      <c r="C314" s="4">
        <f>VLOOKUP(A314,'f Excel formulas for calculatio'!A:H,3,FALSE)</f>
        <v>35</v>
      </c>
      <c r="D314" s="4" t="str">
        <f>VLOOKUP(A314,'f Excel formulas for calculatio'!A:H,4,FALSE)</f>
        <v>Male</v>
      </c>
      <c r="E314" s="4" t="str">
        <f>VLOOKUP(A314,'f Excel formulas for calculatio'!A:H,5,FALSE)</f>
        <v>Port Edwardmouth</v>
      </c>
      <c r="F314" s="4" t="str">
        <f>VLOOKUP(A314,'f Excel formulas for calculatio'!A:H,6,FALSE)</f>
        <v>Oregon</v>
      </c>
      <c r="G314" s="4" t="str">
        <f>VLOOKUP(A314,'f Excel formulas for calculatio'!A:H,7,FALSE)</f>
        <v>USA</v>
      </c>
      <c r="H314" s="4" t="str">
        <f>VLOOKUP(A314,'f Excel formulas for calculatio'!A:H,8,FALSE)</f>
        <v>Platinum</v>
      </c>
    </row>
    <row r="315" spans="1:8" x14ac:dyDescent="0.25">
      <c r="A315" s="9" t="s">
        <v>995</v>
      </c>
      <c r="B315" s="4" t="str">
        <f>VLOOKUP(A315,'f Excel formulas for calculatio'!A:H,2,FALSE)</f>
        <v>Jason Mullins</v>
      </c>
      <c r="C315" s="4">
        <f>VLOOKUP(A315,'f Excel formulas for calculatio'!A:H,3,FALSE)</f>
        <v>47</v>
      </c>
      <c r="D315" s="4" t="str">
        <f>VLOOKUP(A315,'f Excel formulas for calculatio'!A:H,4,FALSE)</f>
        <v>Female</v>
      </c>
      <c r="E315" s="4" t="str">
        <f>VLOOKUP(A315,'f Excel formulas for calculatio'!A:H,5,FALSE)</f>
        <v>Brianchester</v>
      </c>
      <c r="F315" s="4" t="str">
        <f>VLOOKUP(A315,'f Excel formulas for calculatio'!A:H,6,FALSE)</f>
        <v>Delaware</v>
      </c>
      <c r="G315" s="4" t="str">
        <f>VLOOKUP(A315,'f Excel formulas for calculatio'!A:H,7,FALSE)</f>
        <v>USA</v>
      </c>
      <c r="H315" s="4" t="str">
        <f>VLOOKUP(A315,'f Excel formulas for calculatio'!A:H,8,FALSE)</f>
        <v>Silver</v>
      </c>
    </row>
    <row r="316" spans="1:8" x14ac:dyDescent="0.25">
      <c r="A316" s="4" t="s">
        <v>998</v>
      </c>
      <c r="B316" s="4" t="str">
        <f>VLOOKUP(A316,'f Excel formulas for calculatio'!A:H,2,FALSE)</f>
        <v>Elizabeth Jones</v>
      </c>
      <c r="C316" s="4">
        <f>VLOOKUP(A316,'f Excel formulas for calculatio'!A:H,3,FALSE)</f>
        <v>62</v>
      </c>
      <c r="D316" s="4" t="str">
        <f>VLOOKUP(A316,'f Excel formulas for calculatio'!A:H,4,FALSE)</f>
        <v>Male</v>
      </c>
      <c r="E316" s="4" t="str">
        <f>VLOOKUP(A316,'f Excel formulas for calculatio'!A:H,5,FALSE)</f>
        <v>Brownburgh</v>
      </c>
      <c r="F316" s="4" t="str">
        <f>VLOOKUP(A316,'f Excel formulas for calculatio'!A:H,6,FALSE)</f>
        <v>Maryland</v>
      </c>
      <c r="G316" s="4" t="str">
        <f>VLOOKUP(A316,'f Excel formulas for calculatio'!A:H,7,FALSE)</f>
        <v>USA</v>
      </c>
      <c r="H316" s="4" t="str">
        <f>VLOOKUP(A316,'f Excel formulas for calculatio'!A:H,8,FALSE)</f>
        <v>Platinum</v>
      </c>
    </row>
    <row r="317" spans="1:8" x14ac:dyDescent="0.25">
      <c r="A317" s="9" t="s">
        <v>1001</v>
      </c>
      <c r="B317" s="4" t="str">
        <f>VLOOKUP(A317,'f Excel formulas for calculatio'!A:H,2,FALSE)</f>
        <v>Elizabeth Johnson</v>
      </c>
      <c r="C317" s="4">
        <f>VLOOKUP(A317,'f Excel formulas for calculatio'!A:H,3,FALSE)</f>
        <v>53</v>
      </c>
      <c r="D317" s="4" t="str">
        <f>VLOOKUP(A317,'f Excel formulas for calculatio'!A:H,4,FALSE)</f>
        <v>Female</v>
      </c>
      <c r="E317" s="4" t="str">
        <f>VLOOKUP(A317,'f Excel formulas for calculatio'!A:H,5,FALSE)</f>
        <v>Anitaland</v>
      </c>
      <c r="F317" s="4" t="str">
        <f>VLOOKUP(A317,'f Excel formulas for calculatio'!A:H,6,FALSE)</f>
        <v>Washington</v>
      </c>
      <c r="G317" s="4" t="str">
        <f>VLOOKUP(A317,'f Excel formulas for calculatio'!A:H,7,FALSE)</f>
        <v>USA</v>
      </c>
      <c r="H317" s="4" t="str">
        <f>VLOOKUP(A317,'f Excel formulas for calculatio'!A:H,8,FALSE)</f>
        <v>Silver</v>
      </c>
    </row>
    <row r="318" spans="1:8" x14ac:dyDescent="0.25">
      <c r="A318" s="4" t="s">
        <v>1004</v>
      </c>
      <c r="B318" s="4" t="str">
        <f>VLOOKUP(A318,'f Excel formulas for calculatio'!A:H,2,FALSE)</f>
        <v>William Rodriguez</v>
      </c>
      <c r="C318" s="4">
        <f>VLOOKUP(A318,'f Excel formulas for calculatio'!A:H,3,FALSE)</f>
        <v>49</v>
      </c>
      <c r="D318" s="4" t="str">
        <f>VLOOKUP(A318,'f Excel formulas for calculatio'!A:H,4,FALSE)</f>
        <v>Male</v>
      </c>
      <c r="E318" s="4" t="str">
        <f>VLOOKUP(A318,'f Excel formulas for calculatio'!A:H,5,FALSE)</f>
        <v>Port Chad</v>
      </c>
      <c r="F318" s="4" t="str">
        <f>VLOOKUP(A318,'f Excel formulas for calculatio'!A:H,6,FALSE)</f>
        <v>Massachusetts</v>
      </c>
      <c r="G318" s="4" t="str">
        <f>VLOOKUP(A318,'f Excel formulas for calculatio'!A:H,7,FALSE)</f>
        <v>USA</v>
      </c>
      <c r="H318" s="4" t="str">
        <f>VLOOKUP(A318,'f Excel formulas for calculatio'!A:H,8,FALSE)</f>
        <v>Silver</v>
      </c>
    </row>
    <row r="319" spans="1:8" x14ac:dyDescent="0.25">
      <c r="A319" s="9" t="s">
        <v>1007</v>
      </c>
      <c r="B319" s="4" t="str">
        <f>VLOOKUP(A319,'f Excel formulas for calculatio'!A:H,2,FALSE)</f>
        <v>Robert House</v>
      </c>
      <c r="C319" s="4">
        <f>VLOOKUP(A319,'f Excel formulas for calculatio'!A:H,3,FALSE)</f>
        <v>34</v>
      </c>
      <c r="D319" s="4" t="str">
        <f>VLOOKUP(A319,'f Excel formulas for calculatio'!A:H,4,FALSE)</f>
        <v>Male</v>
      </c>
      <c r="E319" s="4" t="str">
        <f>VLOOKUP(A319,'f Excel formulas for calculatio'!A:H,5,FALSE)</f>
        <v>Lake James</v>
      </c>
      <c r="F319" s="4" t="str">
        <f>VLOOKUP(A319,'f Excel formulas for calculatio'!A:H,6,FALSE)</f>
        <v>Maryland</v>
      </c>
      <c r="G319" s="4" t="str">
        <f>VLOOKUP(A319,'f Excel formulas for calculatio'!A:H,7,FALSE)</f>
        <v>USA</v>
      </c>
      <c r="H319" s="4" t="str">
        <f>VLOOKUP(A319,'f Excel formulas for calculatio'!A:H,8,FALSE)</f>
        <v>Gold</v>
      </c>
    </row>
    <row r="320" spans="1:8" x14ac:dyDescent="0.25">
      <c r="A320" s="4" t="s">
        <v>1010</v>
      </c>
      <c r="B320" s="4" t="str">
        <f>VLOOKUP(A320,'f Excel formulas for calculatio'!A:H,2,FALSE)</f>
        <v>Tiffany Williams</v>
      </c>
      <c r="C320" s="4">
        <f>VLOOKUP(A320,'f Excel formulas for calculatio'!A:H,3,FALSE)</f>
        <v>64</v>
      </c>
      <c r="D320" s="4" t="str">
        <f>VLOOKUP(A320,'f Excel formulas for calculatio'!A:H,4,FALSE)</f>
        <v>Female</v>
      </c>
      <c r="E320" s="4" t="str">
        <f>VLOOKUP(A320,'f Excel formulas for calculatio'!A:H,5,FALSE)</f>
        <v>Richardsport</v>
      </c>
      <c r="F320" s="4" t="str">
        <f>VLOOKUP(A320,'f Excel formulas for calculatio'!A:H,6,FALSE)</f>
        <v>New Hampshire</v>
      </c>
      <c r="G320" s="4" t="str">
        <f>VLOOKUP(A320,'f Excel formulas for calculatio'!A:H,7,FALSE)</f>
        <v>USA</v>
      </c>
      <c r="H320" s="4" t="str">
        <f>VLOOKUP(A320,'f Excel formulas for calculatio'!A:H,8,FALSE)</f>
        <v>Gold</v>
      </c>
    </row>
    <row r="321" spans="1:8" x14ac:dyDescent="0.25">
      <c r="A321" s="9" t="s">
        <v>1013</v>
      </c>
      <c r="B321" s="4" t="str">
        <f>VLOOKUP(A321,'f Excel formulas for calculatio'!A:H,2,FALSE)</f>
        <v>Madison Wright</v>
      </c>
      <c r="C321" s="4">
        <f>VLOOKUP(A321,'f Excel formulas for calculatio'!A:H,3,FALSE)</f>
        <v>25</v>
      </c>
      <c r="D321" s="4" t="str">
        <f>VLOOKUP(A321,'f Excel formulas for calculatio'!A:H,4,FALSE)</f>
        <v>Male</v>
      </c>
      <c r="E321" s="4" t="str">
        <f>VLOOKUP(A321,'f Excel formulas for calculatio'!A:H,5,FALSE)</f>
        <v>Monicaview</v>
      </c>
      <c r="F321" s="4" t="str">
        <f>VLOOKUP(A321,'f Excel formulas for calculatio'!A:H,6,FALSE)</f>
        <v>Kansas</v>
      </c>
      <c r="G321" s="4" t="str">
        <f>VLOOKUP(A321,'f Excel formulas for calculatio'!A:H,7,FALSE)</f>
        <v>USA</v>
      </c>
      <c r="H321" s="4" t="str">
        <f>VLOOKUP(A321,'f Excel formulas for calculatio'!A:H,8,FALSE)</f>
        <v>Platinum</v>
      </c>
    </row>
    <row r="322" spans="1:8" x14ac:dyDescent="0.25">
      <c r="A322" s="4" t="s">
        <v>1016</v>
      </c>
      <c r="B322" s="4" t="str">
        <f>VLOOKUP(A322,'f Excel formulas for calculatio'!A:H,2,FALSE)</f>
        <v>Casey Simpson</v>
      </c>
      <c r="C322" s="4">
        <f>VLOOKUP(A322,'f Excel formulas for calculatio'!A:H,3,FALSE)</f>
        <v>54</v>
      </c>
      <c r="D322" s="4" t="str">
        <f>VLOOKUP(A322,'f Excel formulas for calculatio'!A:H,4,FALSE)</f>
        <v>Male</v>
      </c>
      <c r="E322" s="4" t="str">
        <f>VLOOKUP(A322,'f Excel formulas for calculatio'!A:H,5,FALSE)</f>
        <v>West Mathewside</v>
      </c>
      <c r="F322" s="4" t="str">
        <f>VLOOKUP(A322,'f Excel formulas for calculatio'!A:H,6,FALSE)</f>
        <v>Mississippi</v>
      </c>
      <c r="G322" s="4" t="str">
        <f>VLOOKUP(A322,'f Excel formulas for calculatio'!A:H,7,FALSE)</f>
        <v>USA</v>
      </c>
      <c r="H322" s="4" t="str">
        <f>VLOOKUP(A322,'f Excel formulas for calculatio'!A:H,8,FALSE)</f>
        <v>Platinum</v>
      </c>
    </row>
    <row r="323" spans="1:8" x14ac:dyDescent="0.25">
      <c r="A323" s="9" t="s">
        <v>1019</v>
      </c>
      <c r="B323" s="4" t="str">
        <f>VLOOKUP(A323,'f Excel formulas for calculatio'!A:H,2,FALSE)</f>
        <v>Jessica Gonzalez</v>
      </c>
      <c r="C323" s="4">
        <f>VLOOKUP(A323,'f Excel formulas for calculatio'!A:H,3,FALSE)</f>
        <v>34</v>
      </c>
      <c r="D323" s="4" t="str">
        <f>VLOOKUP(A323,'f Excel formulas for calculatio'!A:H,4,FALSE)</f>
        <v>Female</v>
      </c>
      <c r="E323" s="4" t="str">
        <f>VLOOKUP(A323,'f Excel formulas for calculatio'!A:H,5,FALSE)</f>
        <v>South Darrenland</v>
      </c>
      <c r="F323" s="4" t="str">
        <f>VLOOKUP(A323,'f Excel formulas for calculatio'!A:H,6,FALSE)</f>
        <v>Iowa</v>
      </c>
      <c r="G323" s="4" t="str">
        <f>VLOOKUP(A323,'f Excel formulas for calculatio'!A:H,7,FALSE)</f>
        <v>USA</v>
      </c>
      <c r="H323" s="4" t="str">
        <f>VLOOKUP(A323,'f Excel formulas for calculatio'!A:H,8,FALSE)</f>
        <v>Bronze</v>
      </c>
    </row>
    <row r="324" spans="1:8" x14ac:dyDescent="0.25">
      <c r="A324" s="4" t="s">
        <v>1022</v>
      </c>
      <c r="B324" s="4" t="str">
        <f>VLOOKUP(A324,'f Excel formulas for calculatio'!A:H,2,FALSE)</f>
        <v>Darren Burton</v>
      </c>
      <c r="C324" s="4">
        <f>VLOOKUP(A324,'f Excel formulas for calculatio'!A:H,3,FALSE)</f>
        <v>21</v>
      </c>
      <c r="D324" s="4" t="str">
        <f>VLOOKUP(A324,'f Excel formulas for calculatio'!A:H,4,FALSE)</f>
        <v>Female</v>
      </c>
      <c r="E324" s="4" t="str">
        <f>VLOOKUP(A324,'f Excel formulas for calculatio'!A:H,5,FALSE)</f>
        <v>Lake Alice</v>
      </c>
      <c r="F324" s="4" t="str">
        <f>VLOOKUP(A324,'f Excel formulas for calculatio'!A:H,6,FALSE)</f>
        <v>Tennessee</v>
      </c>
      <c r="G324" s="4" t="str">
        <f>VLOOKUP(A324,'f Excel formulas for calculatio'!A:H,7,FALSE)</f>
        <v>USA</v>
      </c>
      <c r="H324" s="4" t="str">
        <f>VLOOKUP(A324,'f Excel formulas for calculatio'!A:H,8,FALSE)</f>
        <v>Bronze</v>
      </c>
    </row>
    <row r="325" spans="1:8" x14ac:dyDescent="0.25">
      <c r="A325" s="9" t="s">
        <v>1025</v>
      </c>
      <c r="B325" s="4" t="str">
        <f>VLOOKUP(A325,'f Excel formulas for calculatio'!A:H,2,FALSE)</f>
        <v>Samuel Arias</v>
      </c>
      <c r="C325" s="4">
        <f>VLOOKUP(A325,'f Excel formulas for calculatio'!A:H,3,FALSE)</f>
        <v>54</v>
      </c>
      <c r="D325" s="4" t="str">
        <f>VLOOKUP(A325,'f Excel formulas for calculatio'!A:H,4,FALSE)</f>
        <v>Male</v>
      </c>
      <c r="E325" s="4" t="str">
        <f>VLOOKUP(A325,'f Excel formulas for calculatio'!A:H,5,FALSE)</f>
        <v>North Nicole</v>
      </c>
      <c r="F325" s="4" t="str">
        <f>VLOOKUP(A325,'f Excel formulas for calculatio'!A:H,6,FALSE)</f>
        <v>Wyoming</v>
      </c>
      <c r="G325" s="4" t="str">
        <f>VLOOKUP(A325,'f Excel formulas for calculatio'!A:H,7,FALSE)</f>
        <v>USA</v>
      </c>
      <c r="H325" s="4" t="str">
        <f>VLOOKUP(A325,'f Excel formulas for calculatio'!A:H,8,FALSE)</f>
        <v>Bronze</v>
      </c>
    </row>
    <row r="326" spans="1:8" x14ac:dyDescent="0.25">
      <c r="A326" s="4" t="s">
        <v>1028</v>
      </c>
      <c r="B326" s="4" t="str">
        <f>VLOOKUP(A326,'f Excel formulas for calculatio'!A:H,2,FALSE)</f>
        <v>Kristy Dunlap</v>
      </c>
      <c r="C326" s="4">
        <f>VLOOKUP(A326,'f Excel formulas for calculatio'!A:H,3,FALSE)</f>
        <v>64</v>
      </c>
      <c r="D326" s="4" t="str">
        <f>VLOOKUP(A326,'f Excel formulas for calculatio'!A:H,4,FALSE)</f>
        <v>Female</v>
      </c>
      <c r="E326" s="4" t="str">
        <f>VLOOKUP(A326,'f Excel formulas for calculatio'!A:H,5,FALSE)</f>
        <v>Whiteport</v>
      </c>
      <c r="F326" s="4" t="str">
        <f>VLOOKUP(A326,'f Excel formulas for calculatio'!A:H,6,FALSE)</f>
        <v>North Carolina</v>
      </c>
      <c r="G326" s="4" t="str">
        <f>VLOOKUP(A326,'f Excel formulas for calculatio'!A:H,7,FALSE)</f>
        <v>USA</v>
      </c>
      <c r="H326" s="4" t="str">
        <f>VLOOKUP(A326,'f Excel formulas for calculatio'!A:H,8,FALSE)</f>
        <v>Platinum</v>
      </c>
    </row>
    <row r="327" spans="1:8" x14ac:dyDescent="0.25">
      <c r="A327" s="9" t="s">
        <v>1031</v>
      </c>
      <c r="B327" s="4" t="str">
        <f>VLOOKUP(A327,'f Excel formulas for calculatio'!A:H,2,FALSE)</f>
        <v>Alex Mann II</v>
      </c>
      <c r="C327" s="4">
        <f>VLOOKUP(A327,'f Excel formulas for calculatio'!A:H,3,FALSE)</f>
        <v>58</v>
      </c>
      <c r="D327" s="4" t="str">
        <f>VLOOKUP(A327,'f Excel formulas for calculatio'!A:H,4,FALSE)</f>
        <v>Male</v>
      </c>
      <c r="E327" s="4" t="str">
        <f>VLOOKUP(A327,'f Excel formulas for calculatio'!A:H,5,FALSE)</f>
        <v>South Zacharychester</v>
      </c>
      <c r="F327" s="4" t="str">
        <f>VLOOKUP(A327,'f Excel formulas for calculatio'!A:H,6,FALSE)</f>
        <v>Oklahoma</v>
      </c>
      <c r="G327" s="4" t="str">
        <f>VLOOKUP(A327,'f Excel formulas for calculatio'!A:H,7,FALSE)</f>
        <v>USA</v>
      </c>
      <c r="H327" s="4" t="str">
        <f>VLOOKUP(A327,'f Excel formulas for calculatio'!A:H,8,FALSE)</f>
        <v>Bronze</v>
      </c>
    </row>
    <row r="328" spans="1:8" x14ac:dyDescent="0.25">
      <c r="A328" s="4" t="s">
        <v>1034</v>
      </c>
      <c r="B328" s="4" t="str">
        <f>VLOOKUP(A328,'f Excel formulas for calculatio'!A:H,2,FALSE)</f>
        <v>Andrew Smith</v>
      </c>
      <c r="C328" s="4">
        <f>VLOOKUP(A328,'f Excel formulas for calculatio'!A:H,3,FALSE)</f>
        <v>60</v>
      </c>
      <c r="D328" s="4" t="str">
        <f>VLOOKUP(A328,'f Excel formulas for calculatio'!A:H,4,FALSE)</f>
        <v>Male</v>
      </c>
      <c r="E328" s="4" t="str">
        <f>VLOOKUP(A328,'f Excel formulas for calculatio'!A:H,5,FALSE)</f>
        <v>East Matthew</v>
      </c>
      <c r="F328" s="4" t="str">
        <f>VLOOKUP(A328,'f Excel formulas for calculatio'!A:H,6,FALSE)</f>
        <v>Wisconsin</v>
      </c>
      <c r="G328" s="4" t="str">
        <f>VLOOKUP(A328,'f Excel formulas for calculatio'!A:H,7,FALSE)</f>
        <v>USA</v>
      </c>
      <c r="H328" s="4" t="str">
        <f>VLOOKUP(A328,'f Excel formulas for calculatio'!A:H,8,FALSE)</f>
        <v>Bronze</v>
      </c>
    </row>
    <row r="329" spans="1:8" x14ac:dyDescent="0.25">
      <c r="A329" s="9" t="s">
        <v>1037</v>
      </c>
      <c r="B329" s="4" t="str">
        <f>VLOOKUP(A329,'f Excel formulas for calculatio'!A:H,2,FALSE)</f>
        <v>Robert King</v>
      </c>
      <c r="C329" s="4">
        <f>VLOOKUP(A329,'f Excel formulas for calculatio'!A:H,3,FALSE)</f>
        <v>58</v>
      </c>
      <c r="D329" s="4" t="str">
        <f>VLOOKUP(A329,'f Excel formulas for calculatio'!A:H,4,FALSE)</f>
        <v>Female</v>
      </c>
      <c r="E329" s="4" t="str">
        <f>VLOOKUP(A329,'f Excel formulas for calculatio'!A:H,5,FALSE)</f>
        <v>Cindyton</v>
      </c>
      <c r="F329" s="4" t="str">
        <f>VLOOKUP(A329,'f Excel formulas for calculatio'!A:H,6,FALSE)</f>
        <v>Rhode Island</v>
      </c>
      <c r="G329" s="4" t="str">
        <f>VLOOKUP(A329,'f Excel formulas for calculatio'!A:H,7,FALSE)</f>
        <v>USA</v>
      </c>
      <c r="H329" s="4" t="str">
        <f>VLOOKUP(A329,'f Excel formulas for calculatio'!A:H,8,FALSE)</f>
        <v>Gold</v>
      </c>
    </row>
    <row r="330" spans="1:8" x14ac:dyDescent="0.25">
      <c r="A330" s="4" t="s">
        <v>1040</v>
      </c>
      <c r="B330" s="4" t="str">
        <f>VLOOKUP(A330,'f Excel formulas for calculatio'!A:H,2,FALSE)</f>
        <v>Reginald Willis</v>
      </c>
      <c r="C330" s="4">
        <f>VLOOKUP(A330,'f Excel formulas for calculatio'!A:H,3,FALSE)</f>
        <v>62</v>
      </c>
      <c r="D330" s="4" t="str">
        <f>VLOOKUP(A330,'f Excel formulas for calculatio'!A:H,4,FALSE)</f>
        <v>Female</v>
      </c>
      <c r="E330" s="4" t="str">
        <f>VLOOKUP(A330,'f Excel formulas for calculatio'!A:H,5,FALSE)</f>
        <v>Kellybury</v>
      </c>
      <c r="F330" s="4" t="str">
        <f>VLOOKUP(A330,'f Excel formulas for calculatio'!A:H,6,FALSE)</f>
        <v>New York</v>
      </c>
      <c r="G330" s="4" t="str">
        <f>VLOOKUP(A330,'f Excel formulas for calculatio'!A:H,7,FALSE)</f>
        <v>USA</v>
      </c>
      <c r="H330" s="4" t="str">
        <f>VLOOKUP(A330,'f Excel formulas for calculatio'!A:H,8,FALSE)</f>
        <v>Bronze</v>
      </c>
    </row>
    <row r="331" spans="1:8" x14ac:dyDescent="0.25">
      <c r="A331" s="9" t="s">
        <v>1043</v>
      </c>
      <c r="B331" s="4" t="str">
        <f>VLOOKUP(A331,'f Excel formulas for calculatio'!A:H,2,FALSE)</f>
        <v>Mario Harvey Jr.</v>
      </c>
      <c r="C331" s="4">
        <f>VLOOKUP(A331,'f Excel formulas for calculatio'!A:H,3,FALSE)</f>
        <v>46</v>
      </c>
      <c r="D331" s="4" t="str">
        <f>VLOOKUP(A331,'f Excel formulas for calculatio'!A:H,4,FALSE)</f>
        <v>Male</v>
      </c>
      <c r="E331" s="4" t="str">
        <f>VLOOKUP(A331,'f Excel formulas for calculatio'!A:H,5,FALSE)</f>
        <v>Jessicaport</v>
      </c>
      <c r="F331" s="4" t="str">
        <f>VLOOKUP(A331,'f Excel formulas for calculatio'!A:H,6,FALSE)</f>
        <v>Minnesota</v>
      </c>
      <c r="G331" s="4" t="str">
        <f>VLOOKUP(A331,'f Excel formulas for calculatio'!A:H,7,FALSE)</f>
        <v>USA</v>
      </c>
      <c r="H331" s="4" t="str">
        <f>VLOOKUP(A331,'f Excel formulas for calculatio'!A:H,8,FALSE)</f>
        <v>Platinum</v>
      </c>
    </row>
    <row r="332" spans="1:8" x14ac:dyDescent="0.25">
      <c r="A332" s="4" t="s">
        <v>1046</v>
      </c>
      <c r="B332" s="4" t="str">
        <f>VLOOKUP(A332,'f Excel formulas for calculatio'!A:H,2,FALSE)</f>
        <v>Victor Mcintosh</v>
      </c>
      <c r="C332" s="4">
        <f>VLOOKUP(A332,'f Excel formulas for calculatio'!A:H,3,FALSE)</f>
        <v>62</v>
      </c>
      <c r="D332" s="4" t="str">
        <f>VLOOKUP(A332,'f Excel formulas for calculatio'!A:H,4,FALSE)</f>
        <v>Female</v>
      </c>
      <c r="E332" s="4" t="str">
        <f>VLOOKUP(A332,'f Excel formulas for calculatio'!A:H,5,FALSE)</f>
        <v>Tiffanyshire</v>
      </c>
      <c r="F332" s="4" t="str">
        <f>VLOOKUP(A332,'f Excel formulas for calculatio'!A:H,6,FALSE)</f>
        <v>Minnesota</v>
      </c>
      <c r="G332" s="4" t="str">
        <f>VLOOKUP(A332,'f Excel formulas for calculatio'!A:H,7,FALSE)</f>
        <v>USA</v>
      </c>
      <c r="H332" s="4" t="str">
        <f>VLOOKUP(A332,'f Excel formulas for calculatio'!A:H,8,FALSE)</f>
        <v>Bronze</v>
      </c>
    </row>
    <row r="333" spans="1:8" x14ac:dyDescent="0.25">
      <c r="A333" s="9" t="s">
        <v>1049</v>
      </c>
      <c r="B333" s="4" t="str">
        <f>VLOOKUP(A333,'f Excel formulas for calculatio'!A:H,2,FALSE)</f>
        <v>Pamela Mcguire</v>
      </c>
      <c r="C333" s="4">
        <f>VLOOKUP(A333,'f Excel formulas for calculatio'!A:H,3,FALSE)</f>
        <v>54</v>
      </c>
      <c r="D333" s="4" t="str">
        <f>VLOOKUP(A333,'f Excel formulas for calculatio'!A:H,4,FALSE)</f>
        <v>Male</v>
      </c>
      <c r="E333" s="4" t="str">
        <f>VLOOKUP(A333,'f Excel formulas for calculatio'!A:H,5,FALSE)</f>
        <v>South Jasontown</v>
      </c>
      <c r="F333" s="4" t="str">
        <f>VLOOKUP(A333,'f Excel formulas for calculatio'!A:H,6,FALSE)</f>
        <v>Illinois</v>
      </c>
      <c r="G333" s="4" t="str">
        <f>VLOOKUP(A333,'f Excel formulas for calculatio'!A:H,7,FALSE)</f>
        <v>USA</v>
      </c>
      <c r="H333" s="4" t="str">
        <f>VLOOKUP(A333,'f Excel formulas for calculatio'!A:H,8,FALSE)</f>
        <v>Platinum</v>
      </c>
    </row>
    <row r="334" spans="1:8" x14ac:dyDescent="0.25">
      <c r="A334" s="4" t="s">
        <v>1052</v>
      </c>
      <c r="B334" s="4" t="str">
        <f>VLOOKUP(A334,'f Excel formulas for calculatio'!A:H,2,FALSE)</f>
        <v>Maria Phillips</v>
      </c>
      <c r="C334" s="4">
        <f>VLOOKUP(A334,'f Excel formulas for calculatio'!A:H,3,FALSE)</f>
        <v>38</v>
      </c>
      <c r="D334" s="4" t="str">
        <f>VLOOKUP(A334,'f Excel formulas for calculatio'!A:H,4,FALSE)</f>
        <v>Female</v>
      </c>
      <c r="E334" s="4" t="str">
        <f>VLOOKUP(A334,'f Excel formulas for calculatio'!A:H,5,FALSE)</f>
        <v>North Kathytown</v>
      </c>
      <c r="F334" s="4" t="str">
        <f>VLOOKUP(A334,'f Excel formulas for calculatio'!A:H,6,FALSE)</f>
        <v>Montana</v>
      </c>
      <c r="G334" s="4" t="str">
        <f>VLOOKUP(A334,'f Excel formulas for calculatio'!A:H,7,FALSE)</f>
        <v>USA</v>
      </c>
      <c r="H334" s="4" t="str">
        <f>VLOOKUP(A334,'f Excel formulas for calculatio'!A:H,8,FALSE)</f>
        <v>Bronze</v>
      </c>
    </row>
    <row r="335" spans="1:8" x14ac:dyDescent="0.25">
      <c r="A335" s="9" t="s">
        <v>1055</v>
      </c>
      <c r="B335" s="4" t="str">
        <f>VLOOKUP(A335,'f Excel formulas for calculatio'!A:H,2,FALSE)</f>
        <v>Dr. Lindsay Hanna</v>
      </c>
      <c r="C335" s="4">
        <f>VLOOKUP(A335,'f Excel formulas for calculatio'!A:H,3,FALSE)</f>
        <v>34</v>
      </c>
      <c r="D335" s="4" t="str">
        <f>VLOOKUP(A335,'f Excel formulas for calculatio'!A:H,4,FALSE)</f>
        <v>Female</v>
      </c>
      <c r="E335" s="4" t="str">
        <f>VLOOKUP(A335,'f Excel formulas for calculatio'!A:H,5,FALSE)</f>
        <v>New Paulstad</v>
      </c>
      <c r="F335" s="4" t="str">
        <f>VLOOKUP(A335,'f Excel formulas for calculatio'!A:H,6,FALSE)</f>
        <v>Hawaii</v>
      </c>
      <c r="G335" s="4" t="str">
        <f>VLOOKUP(A335,'f Excel formulas for calculatio'!A:H,7,FALSE)</f>
        <v>USA</v>
      </c>
      <c r="H335" s="4" t="str">
        <f>VLOOKUP(A335,'f Excel formulas for calculatio'!A:H,8,FALSE)</f>
        <v>Bronze</v>
      </c>
    </row>
    <row r="336" spans="1:8" x14ac:dyDescent="0.25">
      <c r="A336" s="4" t="s">
        <v>1058</v>
      </c>
      <c r="B336" s="4" t="str">
        <f>VLOOKUP(A336,'f Excel formulas for calculatio'!A:H,2,FALSE)</f>
        <v>Teresa Johnson</v>
      </c>
      <c r="C336" s="4">
        <f>VLOOKUP(A336,'f Excel formulas for calculatio'!A:H,3,FALSE)</f>
        <v>64</v>
      </c>
      <c r="D336" s="4" t="str">
        <f>VLOOKUP(A336,'f Excel formulas for calculatio'!A:H,4,FALSE)</f>
        <v>Female</v>
      </c>
      <c r="E336" s="4" t="str">
        <f>VLOOKUP(A336,'f Excel formulas for calculatio'!A:H,5,FALSE)</f>
        <v>Johnsonbury</v>
      </c>
      <c r="F336" s="4" t="str">
        <f>VLOOKUP(A336,'f Excel formulas for calculatio'!A:H,6,FALSE)</f>
        <v>Georgia</v>
      </c>
      <c r="G336" s="4" t="str">
        <f>VLOOKUP(A336,'f Excel formulas for calculatio'!A:H,7,FALSE)</f>
        <v>USA</v>
      </c>
      <c r="H336" s="4" t="str">
        <f>VLOOKUP(A336,'f Excel formulas for calculatio'!A:H,8,FALSE)</f>
        <v>Gold</v>
      </c>
    </row>
    <row r="337" spans="1:8" x14ac:dyDescent="0.25">
      <c r="A337" s="9" t="s">
        <v>1061</v>
      </c>
      <c r="B337" s="4" t="str">
        <f>VLOOKUP(A337,'f Excel formulas for calculatio'!A:H,2,FALSE)</f>
        <v>Mr. Christopher Sims</v>
      </c>
      <c r="C337" s="4">
        <f>VLOOKUP(A337,'f Excel formulas for calculatio'!A:H,3,FALSE)</f>
        <v>50</v>
      </c>
      <c r="D337" s="4" t="str">
        <f>VLOOKUP(A337,'f Excel formulas for calculatio'!A:H,4,FALSE)</f>
        <v>Female</v>
      </c>
      <c r="E337" s="4" t="str">
        <f>VLOOKUP(A337,'f Excel formulas for calculatio'!A:H,5,FALSE)</f>
        <v>Donaldsontown</v>
      </c>
      <c r="F337" s="4" t="str">
        <f>VLOOKUP(A337,'f Excel formulas for calculatio'!A:H,6,FALSE)</f>
        <v>Connecticut</v>
      </c>
      <c r="G337" s="4" t="str">
        <f>VLOOKUP(A337,'f Excel formulas for calculatio'!A:H,7,FALSE)</f>
        <v>USA</v>
      </c>
      <c r="H337" s="4" t="str">
        <f>VLOOKUP(A337,'f Excel formulas for calculatio'!A:H,8,FALSE)</f>
        <v>Silver</v>
      </c>
    </row>
    <row r="338" spans="1:8" x14ac:dyDescent="0.25">
      <c r="A338" s="4" t="s">
        <v>1064</v>
      </c>
      <c r="B338" s="4" t="str">
        <f>VLOOKUP(A338,'f Excel formulas for calculatio'!A:H,2,FALSE)</f>
        <v>Jennifer Woods</v>
      </c>
      <c r="C338" s="4">
        <f>VLOOKUP(A338,'f Excel formulas for calculatio'!A:H,3,FALSE)</f>
        <v>37</v>
      </c>
      <c r="D338" s="4" t="str">
        <f>VLOOKUP(A338,'f Excel formulas for calculatio'!A:H,4,FALSE)</f>
        <v>Male</v>
      </c>
      <c r="E338" s="4" t="str">
        <f>VLOOKUP(A338,'f Excel formulas for calculatio'!A:H,5,FALSE)</f>
        <v>West Brendamouth</v>
      </c>
      <c r="F338" s="4" t="str">
        <f>VLOOKUP(A338,'f Excel formulas for calculatio'!A:H,6,FALSE)</f>
        <v>North Carolina</v>
      </c>
      <c r="G338" s="4" t="str">
        <f>VLOOKUP(A338,'f Excel formulas for calculatio'!A:H,7,FALSE)</f>
        <v>USA</v>
      </c>
      <c r="H338" s="4" t="str">
        <f>VLOOKUP(A338,'f Excel formulas for calculatio'!A:H,8,FALSE)</f>
        <v>Platinum</v>
      </c>
    </row>
    <row r="339" spans="1:8" x14ac:dyDescent="0.25">
      <c r="A339" s="9" t="s">
        <v>1067</v>
      </c>
      <c r="B339" s="4" t="str">
        <f>VLOOKUP(A339,'f Excel formulas for calculatio'!A:H,2,FALSE)</f>
        <v>John Jones</v>
      </c>
      <c r="C339" s="4">
        <f>VLOOKUP(A339,'f Excel formulas for calculatio'!A:H,3,FALSE)</f>
        <v>58</v>
      </c>
      <c r="D339" s="4" t="str">
        <f>VLOOKUP(A339,'f Excel formulas for calculatio'!A:H,4,FALSE)</f>
        <v>Female</v>
      </c>
      <c r="E339" s="4" t="str">
        <f>VLOOKUP(A339,'f Excel formulas for calculatio'!A:H,5,FALSE)</f>
        <v>North Michaelborough</v>
      </c>
      <c r="F339" s="4" t="str">
        <f>VLOOKUP(A339,'f Excel formulas for calculatio'!A:H,6,FALSE)</f>
        <v>Oregon</v>
      </c>
      <c r="G339" s="4" t="str">
        <f>VLOOKUP(A339,'f Excel formulas for calculatio'!A:H,7,FALSE)</f>
        <v>USA</v>
      </c>
      <c r="H339" s="4" t="str">
        <f>VLOOKUP(A339,'f Excel formulas for calculatio'!A:H,8,FALSE)</f>
        <v>Silver</v>
      </c>
    </row>
    <row r="340" spans="1:8" x14ac:dyDescent="0.25">
      <c r="A340" s="4" t="s">
        <v>1070</v>
      </c>
      <c r="B340" s="4" t="str">
        <f>VLOOKUP(A340,'f Excel formulas for calculatio'!A:H,2,FALSE)</f>
        <v>Carol Lewis</v>
      </c>
      <c r="C340" s="4">
        <f>VLOOKUP(A340,'f Excel formulas for calculatio'!A:H,3,FALSE)</f>
        <v>40</v>
      </c>
      <c r="D340" s="4" t="str">
        <f>VLOOKUP(A340,'f Excel formulas for calculatio'!A:H,4,FALSE)</f>
        <v>Female</v>
      </c>
      <c r="E340" s="4" t="str">
        <f>VLOOKUP(A340,'f Excel formulas for calculatio'!A:H,5,FALSE)</f>
        <v>Ryanport</v>
      </c>
      <c r="F340" s="4" t="str">
        <f>VLOOKUP(A340,'f Excel formulas for calculatio'!A:H,6,FALSE)</f>
        <v>North Carolina</v>
      </c>
      <c r="G340" s="4" t="str">
        <f>VLOOKUP(A340,'f Excel formulas for calculatio'!A:H,7,FALSE)</f>
        <v>USA</v>
      </c>
      <c r="H340" s="4" t="str">
        <f>VLOOKUP(A340,'f Excel formulas for calculatio'!A:H,8,FALSE)</f>
        <v>Bronze</v>
      </c>
    </row>
    <row r="341" spans="1:8" x14ac:dyDescent="0.25">
      <c r="A341" s="9" t="s">
        <v>1073</v>
      </c>
      <c r="B341" s="4" t="str">
        <f>VLOOKUP(A341,'f Excel formulas for calculatio'!A:H,2,FALSE)</f>
        <v>Jasmine Snyder</v>
      </c>
      <c r="C341" s="4">
        <f>VLOOKUP(A341,'f Excel formulas for calculatio'!A:H,3,FALSE)</f>
        <v>46</v>
      </c>
      <c r="D341" s="4" t="str">
        <f>VLOOKUP(A341,'f Excel formulas for calculatio'!A:H,4,FALSE)</f>
        <v>Female</v>
      </c>
      <c r="E341" s="4" t="str">
        <f>VLOOKUP(A341,'f Excel formulas for calculatio'!A:H,5,FALSE)</f>
        <v>Hudsonfort</v>
      </c>
      <c r="F341" s="4" t="str">
        <f>VLOOKUP(A341,'f Excel formulas for calculatio'!A:H,6,FALSE)</f>
        <v>Connecticut</v>
      </c>
      <c r="G341" s="4" t="str">
        <f>VLOOKUP(A341,'f Excel formulas for calculatio'!A:H,7,FALSE)</f>
        <v>USA</v>
      </c>
      <c r="H341" s="4" t="str">
        <f>VLOOKUP(A341,'f Excel formulas for calculatio'!A:H,8,FALSE)</f>
        <v>Silver</v>
      </c>
    </row>
    <row r="342" spans="1:8" x14ac:dyDescent="0.25">
      <c r="A342" s="4" t="s">
        <v>1076</v>
      </c>
      <c r="B342" s="4" t="str">
        <f>VLOOKUP(A342,'f Excel formulas for calculatio'!A:H,2,FALSE)</f>
        <v>Mrs. Susan Buckley</v>
      </c>
      <c r="C342" s="4">
        <f>VLOOKUP(A342,'f Excel formulas for calculatio'!A:H,3,FALSE)</f>
        <v>52</v>
      </c>
      <c r="D342" s="4" t="str">
        <f>VLOOKUP(A342,'f Excel formulas for calculatio'!A:H,4,FALSE)</f>
        <v>Female</v>
      </c>
      <c r="E342" s="4" t="str">
        <f>VLOOKUP(A342,'f Excel formulas for calculatio'!A:H,5,FALSE)</f>
        <v>Stevensbury</v>
      </c>
      <c r="F342" s="4" t="str">
        <f>VLOOKUP(A342,'f Excel formulas for calculatio'!A:H,6,FALSE)</f>
        <v>Arizona</v>
      </c>
      <c r="G342" s="4" t="str">
        <f>VLOOKUP(A342,'f Excel formulas for calculatio'!A:H,7,FALSE)</f>
        <v>USA</v>
      </c>
      <c r="H342" s="4" t="str">
        <f>VLOOKUP(A342,'f Excel formulas for calculatio'!A:H,8,FALSE)</f>
        <v>Platinum</v>
      </c>
    </row>
    <row r="343" spans="1:8" x14ac:dyDescent="0.25">
      <c r="A343" s="9" t="s">
        <v>1079</v>
      </c>
      <c r="B343" s="4" t="str">
        <f>VLOOKUP(A343,'f Excel formulas for calculatio'!A:H,2,FALSE)</f>
        <v>Eric Davis</v>
      </c>
      <c r="C343" s="4">
        <f>VLOOKUP(A343,'f Excel formulas for calculatio'!A:H,3,FALSE)</f>
        <v>27</v>
      </c>
      <c r="D343" s="4" t="str">
        <f>VLOOKUP(A343,'f Excel formulas for calculatio'!A:H,4,FALSE)</f>
        <v>Male</v>
      </c>
      <c r="E343" s="4" t="str">
        <f>VLOOKUP(A343,'f Excel formulas for calculatio'!A:H,5,FALSE)</f>
        <v>Johntown</v>
      </c>
      <c r="F343" s="4" t="str">
        <f>VLOOKUP(A343,'f Excel formulas for calculatio'!A:H,6,FALSE)</f>
        <v>Colorado</v>
      </c>
      <c r="G343" s="4" t="str">
        <f>VLOOKUP(A343,'f Excel formulas for calculatio'!A:H,7,FALSE)</f>
        <v>USA</v>
      </c>
      <c r="H343" s="4" t="str">
        <f>VLOOKUP(A343,'f Excel formulas for calculatio'!A:H,8,FALSE)</f>
        <v>Bronze</v>
      </c>
    </row>
    <row r="344" spans="1:8" x14ac:dyDescent="0.25">
      <c r="A344" s="4" t="s">
        <v>1082</v>
      </c>
      <c r="B344" s="4" t="str">
        <f>VLOOKUP(A344,'f Excel formulas for calculatio'!A:H,2,FALSE)</f>
        <v>Angela Williams</v>
      </c>
      <c r="C344" s="4">
        <f>VLOOKUP(A344,'f Excel formulas for calculatio'!A:H,3,FALSE)</f>
        <v>56</v>
      </c>
      <c r="D344" s="4" t="str">
        <f>VLOOKUP(A344,'f Excel formulas for calculatio'!A:H,4,FALSE)</f>
        <v>Female</v>
      </c>
      <c r="E344" s="4" t="str">
        <f>VLOOKUP(A344,'f Excel formulas for calculatio'!A:H,5,FALSE)</f>
        <v>Lake Alyssaburgh</v>
      </c>
      <c r="F344" s="4" t="str">
        <f>VLOOKUP(A344,'f Excel formulas for calculatio'!A:H,6,FALSE)</f>
        <v>Illinois</v>
      </c>
      <c r="G344" s="4" t="str">
        <f>VLOOKUP(A344,'f Excel formulas for calculatio'!A:H,7,FALSE)</f>
        <v>USA</v>
      </c>
      <c r="H344" s="4" t="str">
        <f>VLOOKUP(A344,'f Excel formulas for calculatio'!A:H,8,FALSE)</f>
        <v>Bronze</v>
      </c>
    </row>
    <row r="345" spans="1:8" x14ac:dyDescent="0.25">
      <c r="A345" s="9" t="s">
        <v>1085</v>
      </c>
      <c r="B345" s="4" t="str">
        <f>VLOOKUP(A345,'f Excel formulas for calculatio'!A:H,2,FALSE)</f>
        <v>Michelle Cunningham</v>
      </c>
      <c r="C345" s="4">
        <f>VLOOKUP(A345,'f Excel formulas for calculatio'!A:H,3,FALSE)</f>
        <v>30</v>
      </c>
      <c r="D345" s="4" t="str">
        <f>VLOOKUP(A345,'f Excel formulas for calculatio'!A:H,4,FALSE)</f>
        <v>Female</v>
      </c>
      <c r="E345" s="4" t="str">
        <f>VLOOKUP(A345,'f Excel formulas for calculatio'!A:H,5,FALSE)</f>
        <v>Amandaborough</v>
      </c>
      <c r="F345" s="4" t="str">
        <f>VLOOKUP(A345,'f Excel formulas for calculatio'!A:H,6,FALSE)</f>
        <v>Connecticut</v>
      </c>
      <c r="G345" s="4" t="str">
        <f>VLOOKUP(A345,'f Excel formulas for calculatio'!A:H,7,FALSE)</f>
        <v>USA</v>
      </c>
      <c r="H345" s="4" t="str">
        <f>VLOOKUP(A345,'f Excel formulas for calculatio'!A:H,8,FALSE)</f>
        <v>Bronze</v>
      </c>
    </row>
    <row r="346" spans="1:8" x14ac:dyDescent="0.25">
      <c r="A346" s="4" t="s">
        <v>1088</v>
      </c>
      <c r="B346" s="4" t="str">
        <f>VLOOKUP(A346,'f Excel formulas for calculatio'!A:H,2,FALSE)</f>
        <v>Ryan Moore</v>
      </c>
      <c r="C346" s="4">
        <f>VLOOKUP(A346,'f Excel formulas for calculatio'!A:H,3,FALSE)</f>
        <v>38</v>
      </c>
      <c r="D346" s="4" t="str">
        <f>VLOOKUP(A346,'f Excel formulas for calculatio'!A:H,4,FALSE)</f>
        <v>Male</v>
      </c>
      <c r="E346" s="4" t="str">
        <f>VLOOKUP(A346,'f Excel formulas for calculatio'!A:H,5,FALSE)</f>
        <v>Cartershire</v>
      </c>
      <c r="F346" s="4" t="str">
        <f>VLOOKUP(A346,'f Excel formulas for calculatio'!A:H,6,FALSE)</f>
        <v>Virginia</v>
      </c>
      <c r="G346" s="4" t="str">
        <f>VLOOKUP(A346,'f Excel formulas for calculatio'!A:H,7,FALSE)</f>
        <v>USA</v>
      </c>
      <c r="H346" s="4" t="str">
        <f>VLOOKUP(A346,'f Excel formulas for calculatio'!A:H,8,FALSE)</f>
        <v>Bronze</v>
      </c>
    </row>
    <row r="347" spans="1:8" x14ac:dyDescent="0.25">
      <c r="A347" s="9" t="s">
        <v>1091</v>
      </c>
      <c r="B347" s="4" t="str">
        <f>VLOOKUP(A347,'f Excel formulas for calculatio'!A:H,2,FALSE)</f>
        <v>Evelyn Brown</v>
      </c>
      <c r="C347" s="4">
        <f>VLOOKUP(A347,'f Excel formulas for calculatio'!A:H,3,FALSE)</f>
        <v>39</v>
      </c>
      <c r="D347" s="4" t="str">
        <f>VLOOKUP(A347,'f Excel formulas for calculatio'!A:H,4,FALSE)</f>
        <v>Male</v>
      </c>
      <c r="E347" s="4" t="str">
        <f>VLOOKUP(A347,'f Excel formulas for calculatio'!A:H,5,FALSE)</f>
        <v>West Victoriaborough</v>
      </c>
      <c r="F347" s="4" t="str">
        <f>VLOOKUP(A347,'f Excel formulas for calculatio'!A:H,6,FALSE)</f>
        <v>New Mexico</v>
      </c>
      <c r="G347" s="4" t="str">
        <f>VLOOKUP(A347,'f Excel formulas for calculatio'!A:H,7,FALSE)</f>
        <v>USA</v>
      </c>
      <c r="H347" s="4" t="str">
        <f>VLOOKUP(A347,'f Excel formulas for calculatio'!A:H,8,FALSE)</f>
        <v>Gold</v>
      </c>
    </row>
    <row r="348" spans="1:8" x14ac:dyDescent="0.25">
      <c r="A348" s="4" t="s">
        <v>1094</v>
      </c>
      <c r="B348" s="4" t="str">
        <f>VLOOKUP(A348,'f Excel formulas for calculatio'!A:H,2,FALSE)</f>
        <v>Daniel Nelson</v>
      </c>
      <c r="C348" s="4">
        <f>VLOOKUP(A348,'f Excel formulas for calculatio'!A:H,3,FALSE)</f>
        <v>33</v>
      </c>
      <c r="D348" s="4" t="str">
        <f>VLOOKUP(A348,'f Excel formulas for calculatio'!A:H,4,FALSE)</f>
        <v>Male</v>
      </c>
      <c r="E348" s="4" t="str">
        <f>VLOOKUP(A348,'f Excel formulas for calculatio'!A:H,5,FALSE)</f>
        <v>North Jonathan</v>
      </c>
      <c r="F348" s="4" t="str">
        <f>VLOOKUP(A348,'f Excel formulas for calculatio'!A:H,6,FALSE)</f>
        <v>Oklahoma</v>
      </c>
      <c r="G348" s="4" t="str">
        <f>VLOOKUP(A348,'f Excel formulas for calculatio'!A:H,7,FALSE)</f>
        <v>USA</v>
      </c>
      <c r="H348" s="4" t="str">
        <f>VLOOKUP(A348,'f Excel formulas for calculatio'!A:H,8,FALSE)</f>
        <v>Bronze</v>
      </c>
    </row>
    <row r="349" spans="1:8" x14ac:dyDescent="0.25">
      <c r="A349" s="9" t="s">
        <v>1097</v>
      </c>
      <c r="B349" s="4" t="str">
        <f>VLOOKUP(A349,'f Excel formulas for calculatio'!A:H,2,FALSE)</f>
        <v>John Jordan</v>
      </c>
      <c r="C349" s="4">
        <f>VLOOKUP(A349,'f Excel formulas for calculatio'!A:H,3,FALSE)</f>
        <v>58</v>
      </c>
      <c r="D349" s="4" t="str">
        <f>VLOOKUP(A349,'f Excel formulas for calculatio'!A:H,4,FALSE)</f>
        <v>Female</v>
      </c>
      <c r="E349" s="4" t="str">
        <f>VLOOKUP(A349,'f Excel formulas for calculatio'!A:H,5,FALSE)</f>
        <v>Port Crystalberg</v>
      </c>
      <c r="F349" s="4" t="str">
        <f>VLOOKUP(A349,'f Excel formulas for calculatio'!A:H,6,FALSE)</f>
        <v>Tennessee</v>
      </c>
      <c r="G349" s="4" t="str">
        <f>VLOOKUP(A349,'f Excel formulas for calculatio'!A:H,7,FALSE)</f>
        <v>USA</v>
      </c>
      <c r="H349" s="4" t="str">
        <f>VLOOKUP(A349,'f Excel formulas for calculatio'!A:H,8,FALSE)</f>
        <v>Platinum</v>
      </c>
    </row>
    <row r="350" spans="1:8" x14ac:dyDescent="0.25">
      <c r="A350" s="4" t="s">
        <v>1100</v>
      </c>
      <c r="B350" s="4" t="str">
        <f>VLOOKUP(A350,'f Excel formulas for calculatio'!A:H,2,FALSE)</f>
        <v>Justin Mason DDS</v>
      </c>
      <c r="C350" s="4">
        <f>VLOOKUP(A350,'f Excel formulas for calculatio'!A:H,3,FALSE)</f>
        <v>39</v>
      </c>
      <c r="D350" s="4" t="str">
        <f>VLOOKUP(A350,'f Excel formulas for calculatio'!A:H,4,FALSE)</f>
        <v>Female</v>
      </c>
      <c r="E350" s="4" t="str">
        <f>VLOOKUP(A350,'f Excel formulas for calculatio'!A:H,5,FALSE)</f>
        <v>Peggystad</v>
      </c>
      <c r="F350" s="4" t="str">
        <f>VLOOKUP(A350,'f Excel formulas for calculatio'!A:H,6,FALSE)</f>
        <v>Connecticut</v>
      </c>
      <c r="G350" s="4" t="str">
        <f>VLOOKUP(A350,'f Excel formulas for calculatio'!A:H,7,FALSE)</f>
        <v>USA</v>
      </c>
      <c r="H350" s="4" t="str">
        <f>VLOOKUP(A350,'f Excel formulas for calculatio'!A:H,8,FALSE)</f>
        <v>Gold</v>
      </c>
    </row>
    <row r="351" spans="1:8" x14ac:dyDescent="0.25">
      <c r="A351" s="9" t="s">
        <v>1103</v>
      </c>
      <c r="B351" s="4" t="str">
        <f>VLOOKUP(A351,'f Excel formulas for calculatio'!A:H,2,FALSE)</f>
        <v>Sherry Cabrera</v>
      </c>
      <c r="C351" s="4">
        <f>VLOOKUP(A351,'f Excel formulas for calculatio'!A:H,3,FALSE)</f>
        <v>55</v>
      </c>
      <c r="D351" s="4" t="str">
        <f>VLOOKUP(A351,'f Excel formulas for calculatio'!A:H,4,FALSE)</f>
        <v>Male</v>
      </c>
      <c r="E351" s="4" t="str">
        <f>VLOOKUP(A351,'f Excel formulas for calculatio'!A:H,5,FALSE)</f>
        <v>Shannonview</v>
      </c>
      <c r="F351" s="4" t="str">
        <f>VLOOKUP(A351,'f Excel formulas for calculatio'!A:H,6,FALSE)</f>
        <v>Pennsylvania</v>
      </c>
      <c r="G351" s="4" t="str">
        <f>VLOOKUP(A351,'f Excel formulas for calculatio'!A:H,7,FALSE)</f>
        <v>USA</v>
      </c>
      <c r="H351" s="4" t="str">
        <f>VLOOKUP(A351,'f Excel formulas for calculatio'!A:H,8,FALSE)</f>
        <v>Silver</v>
      </c>
    </row>
    <row r="352" spans="1:8" x14ac:dyDescent="0.25">
      <c r="A352" s="4" t="s">
        <v>1106</v>
      </c>
      <c r="B352" s="4" t="str">
        <f>VLOOKUP(A352,'f Excel formulas for calculatio'!A:H,2,FALSE)</f>
        <v>Heather Valenzuela</v>
      </c>
      <c r="C352" s="4">
        <f>VLOOKUP(A352,'f Excel formulas for calculatio'!A:H,3,FALSE)</f>
        <v>31</v>
      </c>
      <c r="D352" s="4" t="str">
        <f>VLOOKUP(A352,'f Excel formulas for calculatio'!A:H,4,FALSE)</f>
        <v>Male</v>
      </c>
      <c r="E352" s="4" t="str">
        <f>VLOOKUP(A352,'f Excel formulas for calculatio'!A:H,5,FALSE)</f>
        <v>New Angiefurt</v>
      </c>
      <c r="F352" s="4" t="str">
        <f>VLOOKUP(A352,'f Excel formulas for calculatio'!A:H,6,FALSE)</f>
        <v>Alaska</v>
      </c>
      <c r="G352" s="4" t="str">
        <f>VLOOKUP(A352,'f Excel formulas for calculatio'!A:H,7,FALSE)</f>
        <v>USA</v>
      </c>
      <c r="H352" s="4" t="str">
        <f>VLOOKUP(A352,'f Excel formulas for calculatio'!A:H,8,FALSE)</f>
        <v>Bronze</v>
      </c>
    </row>
    <row r="353" spans="1:8" x14ac:dyDescent="0.25">
      <c r="A353" s="9" t="s">
        <v>1109</v>
      </c>
      <c r="B353" s="4" t="str">
        <f>VLOOKUP(A353,'f Excel formulas for calculatio'!A:H,2,FALSE)</f>
        <v>Charles Miller</v>
      </c>
      <c r="C353" s="4">
        <f>VLOOKUP(A353,'f Excel formulas for calculatio'!A:H,3,FALSE)</f>
        <v>26</v>
      </c>
      <c r="D353" s="4" t="str">
        <f>VLOOKUP(A353,'f Excel formulas for calculatio'!A:H,4,FALSE)</f>
        <v>Male</v>
      </c>
      <c r="E353" s="4" t="str">
        <f>VLOOKUP(A353,'f Excel formulas for calculatio'!A:H,5,FALSE)</f>
        <v>Lake Allisonborough</v>
      </c>
      <c r="F353" s="4" t="str">
        <f>VLOOKUP(A353,'f Excel formulas for calculatio'!A:H,6,FALSE)</f>
        <v>Iowa</v>
      </c>
      <c r="G353" s="4" t="str">
        <f>VLOOKUP(A353,'f Excel formulas for calculatio'!A:H,7,FALSE)</f>
        <v>USA</v>
      </c>
      <c r="H353" s="4" t="str">
        <f>VLOOKUP(A353,'f Excel formulas for calculatio'!A:H,8,FALSE)</f>
        <v>Silver</v>
      </c>
    </row>
    <row r="354" spans="1:8" x14ac:dyDescent="0.25">
      <c r="A354" s="4" t="s">
        <v>1112</v>
      </c>
      <c r="B354" s="4" t="str">
        <f>VLOOKUP(A354,'f Excel formulas for calculatio'!A:H,2,FALSE)</f>
        <v>Jeffrey Mccarthy</v>
      </c>
      <c r="C354" s="4">
        <f>VLOOKUP(A354,'f Excel formulas for calculatio'!A:H,3,FALSE)</f>
        <v>25</v>
      </c>
      <c r="D354" s="4" t="str">
        <f>VLOOKUP(A354,'f Excel formulas for calculatio'!A:H,4,FALSE)</f>
        <v>Female</v>
      </c>
      <c r="E354" s="4" t="str">
        <f>VLOOKUP(A354,'f Excel formulas for calculatio'!A:H,5,FALSE)</f>
        <v>North Samuel</v>
      </c>
      <c r="F354" s="4" t="str">
        <f>VLOOKUP(A354,'f Excel formulas for calculatio'!A:H,6,FALSE)</f>
        <v>Nebraska</v>
      </c>
      <c r="G354" s="4" t="str">
        <f>VLOOKUP(A354,'f Excel formulas for calculatio'!A:H,7,FALSE)</f>
        <v>USA</v>
      </c>
      <c r="H354" s="4" t="str">
        <f>VLOOKUP(A354,'f Excel formulas for calculatio'!A:H,8,FALSE)</f>
        <v>Bronze</v>
      </c>
    </row>
    <row r="355" spans="1:8" x14ac:dyDescent="0.25">
      <c r="A355" s="9" t="s">
        <v>1115</v>
      </c>
      <c r="B355" s="4" t="str">
        <f>VLOOKUP(A355,'f Excel formulas for calculatio'!A:H,2,FALSE)</f>
        <v>Michael Greene</v>
      </c>
      <c r="C355" s="4">
        <f>VLOOKUP(A355,'f Excel formulas for calculatio'!A:H,3,FALSE)</f>
        <v>52</v>
      </c>
      <c r="D355" s="4" t="str">
        <f>VLOOKUP(A355,'f Excel formulas for calculatio'!A:H,4,FALSE)</f>
        <v>Female</v>
      </c>
      <c r="E355" s="4" t="str">
        <f>VLOOKUP(A355,'f Excel formulas for calculatio'!A:H,5,FALSE)</f>
        <v>Port Saramouth</v>
      </c>
      <c r="F355" s="4" t="str">
        <f>VLOOKUP(A355,'f Excel formulas for calculatio'!A:H,6,FALSE)</f>
        <v>Wisconsin</v>
      </c>
      <c r="G355" s="4" t="str">
        <f>VLOOKUP(A355,'f Excel formulas for calculatio'!A:H,7,FALSE)</f>
        <v>USA</v>
      </c>
      <c r="H355" s="4" t="str">
        <f>VLOOKUP(A355,'f Excel formulas for calculatio'!A:H,8,FALSE)</f>
        <v>Silver</v>
      </c>
    </row>
    <row r="356" spans="1:8" x14ac:dyDescent="0.25">
      <c r="A356" s="4" t="s">
        <v>1118</v>
      </c>
      <c r="B356" s="4" t="str">
        <f>VLOOKUP(A356,'f Excel formulas for calculatio'!A:H,2,FALSE)</f>
        <v xml:space="preserve">   laura green</v>
      </c>
      <c r="C356" s="4">
        <f>VLOOKUP(A356,'f Excel formulas for calculatio'!A:H,3,FALSE)</f>
        <v>56</v>
      </c>
      <c r="D356" s="4" t="str">
        <f>VLOOKUP(A356,'f Excel formulas for calculatio'!A:H,4,FALSE)</f>
        <v>Female</v>
      </c>
      <c r="E356" s="4" t="str">
        <f>VLOOKUP(A356,'f Excel formulas for calculatio'!A:H,5,FALSE)</f>
        <v>Westbury</v>
      </c>
      <c r="F356" s="4" t="str">
        <f>VLOOKUP(A356,'f Excel formulas for calculatio'!A:H,6,FALSE)</f>
        <v>Oregon</v>
      </c>
      <c r="G356" s="4" t="str">
        <f>VLOOKUP(A356,'f Excel formulas for calculatio'!A:H,7,FALSE)</f>
        <v>USA</v>
      </c>
      <c r="H356" s="4" t="str">
        <f>VLOOKUP(A356,'f Excel formulas for calculatio'!A:H,8,FALSE)</f>
        <v>Platinum</v>
      </c>
    </row>
    <row r="357" spans="1:8" x14ac:dyDescent="0.25">
      <c r="A357" s="9" t="s">
        <v>1121</v>
      </c>
      <c r="B357" s="4" t="str">
        <f>VLOOKUP(A357,'f Excel formulas for calculatio'!A:H,2,FALSE)</f>
        <v>Ryan Torres</v>
      </c>
      <c r="C357" s="4">
        <f>VLOOKUP(A357,'f Excel formulas for calculatio'!A:H,3,FALSE)</f>
        <v>38</v>
      </c>
      <c r="D357" s="4" t="str">
        <f>VLOOKUP(A357,'f Excel formulas for calculatio'!A:H,4,FALSE)</f>
        <v>Male</v>
      </c>
      <c r="E357" s="4" t="str">
        <f>VLOOKUP(A357,'f Excel formulas for calculatio'!A:H,5,FALSE)</f>
        <v>Guerreroport</v>
      </c>
      <c r="F357" s="4" t="str">
        <f>VLOOKUP(A357,'f Excel formulas for calculatio'!A:H,6,FALSE)</f>
        <v>Connecticut</v>
      </c>
      <c r="G357" s="4" t="str">
        <f>VLOOKUP(A357,'f Excel formulas for calculatio'!A:H,7,FALSE)</f>
        <v>USA</v>
      </c>
      <c r="H357" s="4" t="str">
        <f>VLOOKUP(A357,'f Excel formulas for calculatio'!A:H,8,FALSE)</f>
        <v>Silver</v>
      </c>
    </row>
    <row r="358" spans="1:8" x14ac:dyDescent="0.25">
      <c r="A358" s="4" t="s">
        <v>1124</v>
      </c>
      <c r="B358" s="4" t="str">
        <f>VLOOKUP(A358,'f Excel formulas for calculatio'!A:H,2,FALSE)</f>
        <v>Carlos Flores</v>
      </c>
      <c r="C358" s="4">
        <f>VLOOKUP(A358,'f Excel formulas for calculatio'!A:H,3,FALSE)</f>
        <v>20</v>
      </c>
      <c r="D358" s="4" t="str">
        <f>VLOOKUP(A358,'f Excel formulas for calculatio'!A:H,4,FALSE)</f>
        <v>Male</v>
      </c>
      <c r="E358" s="4" t="str">
        <f>VLOOKUP(A358,'f Excel formulas for calculatio'!A:H,5,FALSE)</f>
        <v>North Johnfurt</v>
      </c>
      <c r="F358" s="4" t="str">
        <f>VLOOKUP(A358,'f Excel formulas for calculatio'!A:H,6,FALSE)</f>
        <v>Washington</v>
      </c>
      <c r="G358" s="4" t="str">
        <f>VLOOKUP(A358,'f Excel formulas for calculatio'!A:H,7,FALSE)</f>
        <v>USA</v>
      </c>
      <c r="H358" s="4" t="str">
        <f>VLOOKUP(A358,'f Excel formulas for calculatio'!A:H,8,FALSE)</f>
        <v>Gold</v>
      </c>
    </row>
    <row r="359" spans="1:8" x14ac:dyDescent="0.25">
      <c r="A359" s="9" t="s">
        <v>1127</v>
      </c>
      <c r="B359" s="4" t="str">
        <f>VLOOKUP(A359,'f Excel formulas for calculatio'!A:H,2,FALSE)</f>
        <v>Steve Hunt</v>
      </c>
      <c r="C359" s="4">
        <f>VLOOKUP(A359,'f Excel formulas for calculatio'!A:H,3,FALSE)</f>
        <v>54</v>
      </c>
      <c r="D359" s="4" t="str">
        <f>VLOOKUP(A359,'f Excel formulas for calculatio'!A:H,4,FALSE)</f>
        <v>Male</v>
      </c>
      <c r="E359" s="4" t="str">
        <f>VLOOKUP(A359,'f Excel formulas for calculatio'!A:H,5,FALSE)</f>
        <v>North Richard</v>
      </c>
      <c r="F359" s="4" t="str">
        <f>VLOOKUP(A359,'f Excel formulas for calculatio'!A:H,6,FALSE)</f>
        <v>Virginia</v>
      </c>
      <c r="G359" s="4" t="str">
        <f>VLOOKUP(A359,'f Excel formulas for calculatio'!A:H,7,FALSE)</f>
        <v>USA</v>
      </c>
      <c r="H359" s="4" t="str">
        <f>VLOOKUP(A359,'f Excel formulas for calculatio'!A:H,8,FALSE)</f>
        <v>Bronze</v>
      </c>
    </row>
    <row r="360" spans="1:8" x14ac:dyDescent="0.25">
      <c r="A360" s="4" t="s">
        <v>1130</v>
      </c>
      <c r="B360" s="4" t="str">
        <f>VLOOKUP(A360,'f Excel formulas for calculatio'!A:H,2,FALSE)</f>
        <v>Manuel Castillo</v>
      </c>
      <c r="C360" s="4">
        <f>VLOOKUP(A360,'f Excel formulas for calculatio'!A:H,3,FALSE)</f>
        <v>41</v>
      </c>
      <c r="D360" s="4" t="str">
        <f>VLOOKUP(A360,'f Excel formulas for calculatio'!A:H,4,FALSE)</f>
        <v>Male</v>
      </c>
      <c r="E360" s="4" t="str">
        <f>VLOOKUP(A360,'f Excel formulas for calculatio'!A:H,5,FALSE)</f>
        <v>Nealview</v>
      </c>
      <c r="F360" s="4" t="str">
        <f>VLOOKUP(A360,'f Excel formulas for calculatio'!A:H,6,FALSE)</f>
        <v>Tennessee</v>
      </c>
      <c r="G360" s="4" t="str">
        <f>VLOOKUP(A360,'f Excel formulas for calculatio'!A:H,7,FALSE)</f>
        <v>USA</v>
      </c>
      <c r="H360" s="4" t="str">
        <f>VLOOKUP(A360,'f Excel formulas for calculatio'!A:H,8,FALSE)</f>
        <v>Gold</v>
      </c>
    </row>
    <row r="361" spans="1:8" x14ac:dyDescent="0.25">
      <c r="A361" s="9" t="s">
        <v>1133</v>
      </c>
      <c r="B361" s="4" t="str">
        <f>VLOOKUP(A361,'f Excel formulas for calculatio'!A:H,2,FALSE)</f>
        <v>Ashley Anderson</v>
      </c>
      <c r="C361" s="4">
        <f>VLOOKUP(A361,'f Excel formulas for calculatio'!A:H,3,FALSE)</f>
        <v>60</v>
      </c>
      <c r="D361" s="4" t="str">
        <f>VLOOKUP(A361,'f Excel formulas for calculatio'!A:H,4,FALSE)</f>
        <v>Female</v>
      </c>
      <c r="E361" s="4" t="str">
        <f>VLOOKUP(A361,'f Excel formulas for calculatio'!A:H,5,FALSE)</f>
        <v>West Johnmouth</v>
      </c>
      <c r="F361" s="4" t="str">
        <f>VLOOKUP(A361,'f Excel formulas for calculatio'!A:H,6,FALSE)</f>
        <v>Mississippi</v>
      </c>
      <c r="G361" s="4" t="str">
        <f>VLOOKUP(A361,'f Excel formulas for calculatio'!A:H,7,FALSE)</f>
        <v>USA</v>
      </c>
      <c r="H361" s="4" t="str">
        <f>VLOOKUP(A361,'f Excel formulas for calculatio'!A:H,8,FALSE)</f>
        <v>Gold</v>
      </c>
    </row>
    <row r="362" spans="1:8" x14ac:dyDescent="0.25">
      <c r="A362" s="4" t="s">
        <v>1136</v>
      </c>
      <c r="B362" s="4" t="str">
        <f>VLOOKUP(A362,'f Excel formulas for calculatio'!A:H,2,FALSE)</f>
        <v>Melanie Lam</v>
      </c>
      <c r="C362" s="4">
        <f>VLOOKUP(A362,'f Excel formulas for calculatio'!A:H,3,FALSE)</f>
        <v>32</v>
      </c>
      <c r="D362" s="4" t="str">
        <f>VLOOKUP(A362,'f Excel formulas for calculatio'!A:H,4,FALSE)</f>
        <v>Male</v>
      </c>
      <c r="E362" s="4" t="str">
        <f>VLOOKUP(A362,'f Excel formulas for calculatio'!A:H,5,FALSE)</f>
        <v>East Michaelton</v>
      </c>
      <c r="F362" s="4" t="str">
        <f>VLOOKUP(A362,'f Excel formulas for calculatio'!A:H,6,FALSE)</f>
        <v>Kansas</v>
      </c>
      <c r="G362" s="4" t="str">
        <f>VLOOKUP(A362,'f Excel formulas for calculatio'!A:H,7,FALSE)</f>
        <v>USA</v>
      </c>
      <c r="H362" s="4" t="str">
        <f>VLOOKUP(A362,'f Excel formulas for calculatio'!A:H,8,FALSE)</f>
        <v>Silver</v>
      </c>
    </row>
    <row r="363" spans="1:8" x14ac:dyDescent="0.25">
      <c r="A363" s="9" t="s">
        <v>1139</v>
      </c>
      <c r="B363" s="4" t="str">
        <f>VLOOKUP(A363,'f Excel formulas for calculatio'!A:H,2,FALSE)</f>
        <v>Denise Tate</v>
      </c>
      <c r="C363" s="4">
        <f>VLOOKUP(A363,'f Excel formulas for calculatio'!A:H,3,FALSE)</f>
        <v>34</v>
      </c>
      <c r="D363" s="4" t="str">
        <f>VLOOKUP(A363,'f Excel formulas for calculatio'!A:H,4,FALSE)</f>
        <v>Male</v>
      </c>
      <c r="E363" s="4" t="str">
        <f>VLOOKUP(A363,'f Excel formulas for calculatio'!A:H,5,FALSE)</f>
        <v>Andersonside</v>
      </c>
      <c r="F363" s="4" t="str">
        <f>VLOOKUP(A363,'f Excel formulas for calculatio'!A:H,6,FALSE)</f>
        <v>Arkansas</v>
      </c>
      <c r="G363" s="4" t="str">
        <f>VLOOKUP(A363,'f Excel formulas for calculatio'!A:H,7,FALSE)</f>
        <v>USA</v>
      </c>
      <c r="H363" s="4" t="str">
        <f>VLOOKUP(A363,'f Excel formulas for calculatio'!A:H,8,FALSE)</f>
        <v>Platinum</v>
      </c>
    </row>
    <row r="364" spans="1:8" x14ac:dyDescent="0.25">
      <c r="A364" s="4" t="s">
        <v>1142</v>
      </c>
      <c r="B364" s="4" t="str">
        <f>VLOOKUP(A364,'f Excel formulas for calculatio'!A:H,2,FALSE)</f>
        <v>Natalie Johnson</v>
      </c>
      <c r="C364" s="4">
        <f>VLOOKUP(A364,'f Excel formulas for calculatio'!A:H,3,FALSE)</f>
        <v>64</v>
      </c>
      <c r="D364" s="4" t="str">
        <f>VLOOKUP(A364,'f Excel formulas for calculatio'!A:H,4,FALSE)</f>
        <v>Male</v>
      </c>
      <c r="E364" s="4" t="str">
        <f>VLOOKUP(A364,'f Excel formulas for calculatio'!A:H,5,FALSE)</f>
        <v>New Jessechester</v>
      </c>
      <c r="F364" s="4" t="str">
        <f>VLOOKUP(A364,'f Excel formulas for calculatio'!A:H,6,FALSE)</f>
        <v>Indiana</v>
      </c>
      <c r="G364" s="4" t="str">
        <f>VLOOKUP(A364,'f Excel formulas for calculatio'!A:H,7,FALSE)</f>
        <v>USA</v>
      </c>
      <c r="H364" s="4" t="str">
        <f>VLOOKUP(A364,'f Excel formulas for calculatio'!A:H,8,FALSE)</f>
        <v>Platinum</v>
      </c>
    </row>
    <row r="365" spans="1:8" x14ac:dyDescent="0.25">
      <c r="A365" s="9" t="s">
        <v>1145</v>
      </c>
      <c r="B365" s="4" t="str">
        <f>VLOOKUP(A365,'f Excel formulas for calculatio'!A:H,2,FALSE)</f>
        <v>Joshua Smith DVM</v>
      </c>
      <c r="C365" s="4">
        <f>VLOOKUP(A365,'f Excel formulas for calculatio'!A:H,3,FALSE)</f>
        <v>60</v>
      </c>
      <c r="D365" s="4" t="str">
        <f>VLOOKUP(A365,'f Excel formulas for calculatio'!A:H,4,FALSE)</f>
        <v>Male</v>
      </c>
      <c r="E365" s="4" t="str">
        <f>VLOOKUP(A365,'f Excel formulas for calculatio'!A:H,5,FALSE)</f>
        <v>Melvinton</v>
      </c>
      <c r="F365" s="4" t="str">
        <f>VLOOKUP(A365,'f Excel formulas for calculatio'!A:H,6,FALSE)</f>
        <v>Alaska</v>
      </c>
      <c r="G365" s="4" t="str">
        <f>VLOOKUP(A365,'f Excel formulas for calculatio'!A:H,7,FALSE)</f>
        <v>USA</v>
      </c>
      <c r="H365" s="4" t="str">
        <f>VLOOKUP(A365,'f Excel formulas for calculatio'!A:H,8,FALSE)</f>
        <v>Gold</v>
      </c>
    </row>
    <row r="366" spans="1:8" x14ac:dyDescent="0.25">
      <c r="A366" s="4" t="s">
        <v>1148</v>
      </c>
      <c r="B366" s="4" t="str">
        <f>VLOOKUP(A366,'f Excel formulas for calculatio'!A:H,2,FALSE)</f>
        <v>Elizabeth Smith</v>
      </c>
      <c r="C366" s="4">
        <f>VLOOKUP(A366,'f Excel formulas for calculatio'!A:H,3,FALSE)</f>
        <v>23</v>
      </c>
      <c r="D366" s="4" t="str">
        <f>VLOOKUP(A366,'f Excel formulas for calculatio'!A:H,4,FALSE)</f>
        <v>Male</v>
      </c>
      <c r="E366" s="4" t="str">
        <f>VLOOKUP(A366,'f Excel formulas for calculatio'!A:H,5,FALSE)</f>
        <v>Murphytown</v>
      </c>
      <c r="F366" s="4" t="str">
        <f>VLOOKUP(A366,'f Excel formulas for calculatio'!A:H,6,FALSE)</f>
        <v>Ohio</v>
      </c>
      <c r="G366" s="4" t="str">
        <f>VLOOKUP(A366,'f Excel formulas for calculatio'!A:H,7,FALSE)</f>
        <v>USA</v>
      </c>
      <c r="H366" s="4" t="str">
        <f>VLOOKUP(A366,'f Excel formulas for calculatio'!A:H,8,FALSE)</f>
        <v>Bronze</v>
      </c>
    </row>
    <row r="367" spans="1:8" x14ac:dyDescent="0.25">
      <c r="A367" s="9" t="s">
        <v>1151</v>
      </c>
      <c r="B367" s="4" t="str">
        <f>VLOOKUP(A367,'f Excel formulas for calculatio'!A:H,2,FALSE)</f>
        <v>Chloe Aguilar</v>
      </c>
      <c r="C367" s="4">
        <f>VLOOKUP(A367,'f Excel formulas for calculatio'!A:H,3,FALSE)</f>
        <v>58</v>
      </c>
      <c r="D367" s="4" t="str">
        <f>VLOOKUP(A367,'f Excel formulas for calculatio'!A:H,4,FALSE)</f>
        <v>Male</v>
      </c>
      <c r="E367" s="4" t="str">
        <f>VLOOKUP(A367,'f Excel formulas for calculatio'!A:H,5,FALSE)</f>
        <v>Lake Johnside</v>
      </c>
      <c r="F367" s="4" t="str">
        <f>VLOOKUP(A367,'f Excel formulas for calculatio'!A:H,6,FALSE)</f>
        <v>Arizona</v>
      </c>
      <c r="G367" s="4" t="str">
        <f>VLOOKUP(A367,'f Excel formulas for calculatio'!A:H,7,FALSE)</f>
        <v>USA</v>
      </c>
      <c r="H367" s="4" t="str">
        <f>VLOOKUP(A367,'f Excel formulas for calculatio'!A:H,8,FALSE)</f>
        <v>Bronze</v>
      </c>
    </row>
    <row r="368" spans="1:8" x14ac:dyDescent="0.25">
      <c r="A368" s="4" t="s">
        <v>1154</v>
      </c>
      <c r="B368" s="4" t="str">
        <f>VLOOKUP(A368,'f Excel formulas for calculatio'!A:H,2,FALSE)</f>
        <v>Brandon Mcbride</v>
      </c>
      <c r="C368" s="4">
        <f>VLOOKUP(A368,'f Excel formulas for calculatio'!A:H,3,FALSE)</f>
        <v>63</v>
      </c>
      <c r="D368" s="4" t="str">
        <f>VLOOKUP(A368,'f Excel formulas for calculatio'!A:H,4,FALSE)</f>
        <v>Female</v>
      </c>
      <c r="E368" s="4" t="str">
        <f>VLOOKUP(A368,'f Excel formulas for calculatio'!A:H,5,FALSE)</f>
        <v>Kellyside</v>
      </c>
      <c r="F368" s="4" t="str">
        <f>VLOOKUP(A368,'f Excel formulas for calculatio'!A:H,6,FALSE)</f>
        <v>Alaska</v>
      </c>
      <c r="G368" s="4" t="str">
        <f>VLOOKUP(A368,'f Excel formulas for calculatio'!A:H,7,FALSE)</f>
        <v>USA</v>
      </c>
      <c r="H368" s="4" t="str">
        <f>VLOOKUP(A368,'f Excel formulas for calculatio'!A:H,8,FALSE)</f>
        <v>Platinum</v>
      </c>
    </row>
    <row r="369" spans="1:8" x14ac:dyDescent="0.25">
      <c r="A369" s="9" t="s">
        <v>1157</v>
      </c>
      <c r="B369" s="4" t="str">
        <f>VLOOKUP(A369,'f Excel formulas for calculatio'!A:H,2,FALSE)</f>
        <v>Mallory Allen</v>
      </c>
      <c r="C369" s="4">
        <f>VLOOKUP(A369,'f Excel formulas for calculatio'!A:H,3,FALSE)</f>
        <v>40</v>
      </c>
      <c r="D369" s="4" t="str">
        <f>VLOOKUP(A369,'f Excel formulas for calculatio'!A:H,4,FALSE)</f>
        <v>Female</v>
      </c>
      <c r="E369" s="4" t="str">
        <f>VLOOKUP(A369,'f Excel formulas for calculatio'!A:H,5,FALSE)</f>
        <v>North Theresa</v>
      </c>
      <c r="F369" s="4" t="str">
        <f>VLOOKUP(A369,'f Excel formulas for calculatio'!A:H,6,FALSE)</f>
        <v>Alabama</v>
      </c>
      <c r="G369" s="4" t="str">
        <f>VLOOKUP(A369,'f Excel formulas for calculatio'!A:H,7,FALSE)</f>
        <v>USA</v>
      </c>
      <c r="H369" s="4" t="str">
        <f>VLOOKUP(A369,'f Excel formulas for calculatio'!A:H,8,FALSE)</f>
        <v>Platinum</v>
      </c>
    </row>
    <row r="370" spans="1:8" x14ac:dyDescent="0.25">
      <c r="A370" s="4" t="s">
        <v>1160</v>
      </c>
      <c r="B370" s="4" t="str">
        <f>VLOOKUP(A370,'f Excel formulas for calculatio'!A:H,2,FALSE)</f>
        <v>Melinda Johnson</v>
      </c>
      <c r="C370" s="4">
        <f>VLOOKUP(A370,'f Excel formulas for calculatio'!A:H,3,FALSE)</f>
        <v>51</v>
      </c>
      <c r="D370" s="4" t="str">
        <f>VLOOKUP(A370,'f Excel formulas for calculatio'!A:H,4,FALSE)</f>
        <v>Male</v>
      </c>
      <c r="E370" s="4" t="str">
        <f>VLOOKUP(A370,'f Excel formulas for calculatio'!A:H,5,FALSE)</f>
        <v>Kaufmanfurt</v>
      </c>
      <c r="F370" s="4" t="str">
        <f>VLOOKUP(A370,'f Excel formulas for calculatio'!A:H,6,FALSE)</f>
        <v>Ohio</v>
      </c>
      <c r="G370" s="4" t="str">
        <f>VLOOKUP(A370,'f Excel formulas for calculatio'!A:H,7,FALSE)</f>
        <v>USA</v>
      </c>
      <c r="H370" s="4" t="str">
        <f>VLOOKUP(A370,'f Excel formulas for calculatio'!A:H,8,FALSE)</f>
        <v>Bronze</v>
      </c>
    </row>
    <row r="371" spans="1:8" x14ac:dyDescent="0.25">
      <c r="A371" s="9" t="s">
        <v>1163</v>
      </c>
      <c r="B371" s="4" t="str">
        <f>VLOOKUP(A371,'f Excel formulas for calculatio'!A:H,2,FALSE)</f>
        <v>Miranda King</v>
      </c>
      <c r="C371" s="4">
        <f>VLOOKUP(A371,'f Excel formulas for calculatio'!A:H,3,FALSE)</f>
        <v>34</v>
      </c>
      <c r="D371" s="4" t="str">
        <f>VLOOKUP(A371,'f Excel formulas for calculatio'!A:H,4,FALSE)</f>
        <v>Female</v>
      </c>
      <c r="E371" s="4" t="str">
        <f>VLOOKUP(A371,'f Excel formulas for calculatio'!A:H,5,FALSE)</f>
        <v>West Mathew</v>
      </c>
      <c r="F371" s="4" t="str">
        <f>VLOOKUP(A371,'f Excel formulas for calculatio'!A:H,6,FALSE)</f>
        <v>New York</v>
      </c>
      <c r="G371" s="4" t="str">
        <f>VLOOKUP(A371,'f Excel formulas for calculatio'!A:H,7,FALSE)</f>
        <v>USA</v>
      </c>
      <c r="H371" s="4" t="str">
        <f>VLOOKUP(A371,'f Excel formulas for calculatio'!A:H,8,FALSE)</f>
        <v>Platinum</v>
      </c>
    </row>
    <row r="372" spans="1:8" x14ac:dyDescent="0.25">
      <c r="A372" s="4" t="s">
        <v>1166</v>
      </c>
      <c r="B372" s="4" t="str">
        <f>VLOOKUP(A372,'f Excel formulas for calculatio'!A:H,2,FALSE)</f>
        <v>Gregory Allen</v>
      </c>
      <c r="C372" s="4">
        <f>VLOOKUP(A372,'f Excel formulas for calculatio'!A:H,3,FALSE)</f>
        <v>20</v>
      </c>
      <c r="D372" s="4" t="str">
        <f>VLOOKUP(A372,'f Excel formulas for calculatio'!A:H,4,FALSE)</f>
        <v>Female</v>
      </c>
      <c r="E372" s="4" t="str">
        <f>VLOOKUP(A372,'f Excel formulas for calculatio'!A:H,5,FALSE)</f>
        <v>West Bruce</v>
      </c>
      <c r="F372" s="4" t="str">
        <f>VLOOKUP(A372,'f Excel formulas for calculatio'!A:H,6,FALSE)</f>
        <v>Vermont</v>
      </c>
      <c r="G372" s="4" t="str">
        <f>VLOOKUP(A372,'f Excel formulas for calculatio'!A:H,7,FALSE)</f>
        <v>USA</v>
      </c>
      <c r="H372" s="4" t="str">
        <f>VLOOKUP(A372,'f Excel formulas for calculatio'!A:H,8,FALSE)</f>
        <v>Platinum</v>
      </c>
    </row>
    <row r="373" spans="1:8" x14ac:dyDescent="0.25">
      <c r="A373" s="9" t="s">
        <v>1169</v>
      </c>
      <c r="B373" s="4" t="str">
        <f>VLOOKUP(A373,'f Excel formulas for calculatio'!A:H,2,FALSE)</f>
        <v>James Holloway Jr.</v>
      </c>
      <c r="C373" s="4">
        <f>VLOOKUP(A373,'f Excel formulas for calculatio'!A:H,3,FALSE)</f>
        <v>45</v>
      </c>
      <c r="D373" s="4" t="str">
        <f>VLOOKUP(A373,'f Excel formulas for calculatio'!A:H,4,FALSE)</f>
        <v>Male</v>
      </c>
      <c r="E373" s="4" t="str">
        <f>VLOOKUP(A373,'f Excel formulas for calculatio'!A:H,5,FALSE)</f>
        <v>Millston</v>
      </c>
      <c r="F373" s="4" t="str">
        <f>VLOOKUP(A373,'f Excel formulas for calculatio'!A:H,6,FALSE)</f>
        <v>Indiana</v>
      </c>
      <c r="G373" s="4" t="str">
        <f>VLOOKUP(A373,'f Excel formulas for calculatio'!A:H,7,FALSE)</f>
        <v>USA</v>
      </c>
      <c r="H373" s="4" t="str">
        <f>VLOOKUP(A373,'f Excel formulas for calculatio'!A:H,8,FALSE)</f>
        <v>Silver</v>
      </c>
    </row>
    <row r="374" spans="1:8" x14ac:dyDescent="0.25">
      <c r="A374" s="4" t="s">
        <v>1172</v>
      </c>
      <c r="B374" s="4" t="str">
        <f>VLOOKUP(A374,'f Excel formulas for calculatio'!A:H,2,FALSE)</f>
        <v>Michael Garner</v>
      </c>
      <c r="C374" s="4">
        <f>VLOOKUP(A374,'f Excel formulas for calculatio'!A:H,3,FALSE)</f>
        <v>21</v>
      </c>
      <c r="D374" s="4" t="str">
        <f>VLOOKUP(A374,'f Excel formulas for calculatio'!A:H,4,FALSE)</f>
        <v>Female</v>
      </c>
      <c r="E374" s="4" t="str">
        <f>VLOOKUP(A374,'f Excel formulas for calculatio'!A:H,5,FALSE)</f>
        <v>Port Crystal</v>
      </c>
      <c r="F374" s="4" t="str">
        <f>VLOOKUP(A374,'f Excel formulas for calculatio'!A:H,6,FALSE)</f>
        <v>New Hampshire</v>
      </c>
      <c r="G374" s="4" t="str">
        <f>VLOOKUP(A374,'f Excel formulas for calculatio'!A:H,7,FALSE)</f>
        <v>USA</v>
      </c>
      <c r="H374" s="4" t="str">
        <f>VLOOKUP(A374,'f Excel formulas for calculatio'!A:H,8,FALSE)</f>
        <v>Platinum</v>
      </c>
    </row>
    <row r="375" spans="1:8" x14ac:dyDescent="0.25">
      <c r="A375" s="9" t="s">
        <v>1175</v>
      </c>
      <c r="B375" s="4" t="str">
        <f>VLOOKUP(A375,'f Excel formulas for calculatio'!A:H,2,FALSE)</f>
        <v>Jacqueline Anthony</v>
      </c>
      <c r="C375" s="4">
        <f>VLOOKUP(A375,'f Excel formulas for calculatio'!A:H,3,FALSE)</f>
        <v>28</v>
      </c>
      <c r="D375" s="4" t="str">
        <f>VLOOKUP(A375,'f Excel formulas for calculatio'!A:H,4,FALSE)</f>
        <v>Male</v>
      </c>
      <c r="E375" s="4" t="str">
        <f>VLOOKUP(A375,'f Excel formulas for calculatio'!A:H,5,FALSE)</f>
        <v>Vincentside</v>
      </c>
      <c r="F375" s="4" t="str">
        <f>VLOOKUP(A375,'f Excel formulas for calculatio'!A:H,6,FALSE)</f>
        <v>Ohio</v>
      </c>
      <c r="G375" s="4" t="str">
        <f>VLOOKUP(A375,'f Excel formulas for calculatio'!A:H,7,FALSE)</f>
        <v>USA</v>
      </c>
      <c r="H375" s="4" t="str">
        <f>VLOOKUP(A375,'f Excel formulas for calculatio'!A:H,8,FALSE)</f>
        <v>Bronze</v>
      </c>
    </row>
    <row r="376" spans="1:8" x14ac:dyDescent="0.25">
      <c r="A376" s="4" t="s">
        <v>1178</v>
      </c>
      <c r="B376" s="4" t="str">
        <f>VLOOKUP(A376,'f Excel formulas for calculatio'!A:H,2,FALSE)</f>
        <v>James Orozco</v>
      </c>
      <c r="C376" s="4">
        <f>VLOOKUP(A376,'f Excel formulas for calculatio'!A:H,3,FALSE)</f>
        <v>37</v>
      </c>
      <c r="D376" s="4" t="str">
        <f>VLOOKUP(A376,'f Excel formulas for calculatio'!A:H,4,FALSE)</f>
        <v>Female</v>
      </c>
      <c r="E376" s="4" t="str">
        <f>VLOOKUP(A376,'f Excel formulas for calculatio'!A:H,5,FALSE)</f>
        <v>Simpsonfort</v>
      </c>
      <c r="F376" s="4" t="str">
        <f>VLOOKUP(A376,'f Excel formulas for calculatio'!A:H,6,FALSE)</f>
        <v>Maine</v>
      </c>
      <c r="G376" s="4" t="str">
        <f>VLOOKUP(A376,'f Excel formulas for calculatio'!A:H,7,FALSE)</f>
        <v>USA</v>
      </c>
      <c r="H376" s="4" t="str">
        <f>VLOOKUP(A376,'f Excel formulas for calculatio'!A:H,8,FALSE)</f>
        <v>Gold</v>
      </c>
    </row>
    <row r="377" spans="1:8" x14ac:dyDescent="0.25">
      <c r="A377" s="9" t="s">
        <v>1181</v>
      </c>
      <c r="B377" s="4" t="str">
        <f>VLOOKUP(A377,'f Excel formulas for calculatio'!A:H,2,FALSE)</f>
        <v>Emma Wilson</v>
      </c>
      <c r="C377" s="4">
        <f>VLOOKUP(A377,'f Excel formulas for calculatio'!A:H,3,FALSE)</f>
        <v>60</v>
      </c>
      <c r="D377" s="4" t="str">
        <f>VLOOKUP(A377,'f Excel formulas for calculatio'!A:H,4,FALSE)</f>
        <v>Male</v>
      </c>
      <c r="E377" s="4" t="str">
        <f>VLOOKUP(A377,'f Excel formulas for calculatio'!A:H,5,FALSE)</f>
        <v>Andersonburgh</v>
      </c>
      <c r="F377" s="4" t="str">
        <f>VLOOKUP(A377,'f Excel formulas for calculatio'!A:H,6,FALSE)</f>
        <v>Hawaii</v>
      </c>
      <c r="G377" s="4" t="str">
        <f>VLOOKUP(A377,'f Excel formulas for calculatio'!A:H,7,FALSE)</f>
        <v>USA</v>
      </c>
      <c r="H377" s="4" t="str">
        <f>VLOOKUP(A377,'f Excel formulas for calculatio'!A:H,8,FALSE)</f>
        <v>Platinum</v>
      </c>
    </row>
    <row r="378" spans="1:8" x14ac:dyDescent="0.25">
      <c r="A378" s="4" t="s">
        <v>1184</v>
      </c>
      <c r="B378" s="4" t="str">
        <f>VLOOKUP(A378,'f Excel formulas for calculatio'!A:H,2,FALSE)</f>
        <v>Joshua Bell</v>
      </c>
      <c r="C378" s="4">
        <f>VLOOKUP(A378,'f Excel formulas for calculatio'!A:H,3,FALSE)</f>
        <v>26</v>
      </c>
      <c r="D378" s="4" t="str">
        <f>VLOOKUP(A378,'f Excel formulas for calculatio'!A:H,4,FALSE)</f>
        <v>Male</v>
      </c>
      <c r="E378" s="4" t="str">
        <f>VLOOKUP(A378,'f Excel formulas for calculatio'!A:H,5,FALSE)</f>
        <v>Port Richardshire</v>
      </c>
      <c r="F378" s="4" t="str">
        <f>VLOOKUP(A378,'f Excel formulas for calculatio'!A:H,6,FALSE)</f>
        <v>Minnesota</v>
      </c>
      <c r="G378" s="4" t="str">
        <f>VLOOKUP(A378,'f Excel formulas for calculatio'!A:H,7,FALSE)</f>
        <v>USA</v>
      </c>
      <c r="H378" s="4" t="str">
        <f>VLOOKUP(A378,'f Excel formulas for calculatio'!A:H,8,FALSE)</f>
        <v>Platinum</v>
      </c>
    </row>
    <row r="379" spans="1:8" x14ac:dyDescent="0.25">
      <c r="A379" s="9" t="s">
        <v>1187</v>
      </c>
      <c r="B379" s="4" t="str">
        <f>VLOOKUP(A379,'f Excel formulas for calculatio'!A:H,2,FALSE)</f>
        <v>Michele Burke</v>
      </c>
      <c r="C379" s="4">
        <f>VLOOKUP(A379,'f Excel formulas for calculatio'!A:H,3,FALSE)</f>
        <v>30</v>
      </c>
      <c r="D379" s="4" t="str">
        <f>VLOOKUP(A379,'f Excel formulas for calculatio'!A:H,4,FALSE)</f>
        <v>Male</v>
      </c>
      <c r="E379" s="4" t="str">
        <f>VLOOKUP(A379,'f Excel formulas for calculatio'!A:H,5,FALSE)</f>
        <v>Chambersberg</v>
      </c>
      <c r="F379" s="4" t="str">
        <f>VLOOKUP(A379,'f Excel formulas for calculatio'!A:H,6,FALSE)</f>
        <v>Connecticut</v>
      </c>
      <c r="G379" s="4" t="str">
        <f>VLOOKUP(A379,'f Excel formulas for calculatio'!A:H,7,FALSE)</f>
        <v>USA</v>
      </c>
      <c r="H379" s="4" t="str">
        <f>VLOOKUP(A379,'f Excel formulas for calculatio'!A:H,8,FALSE)</f>
        <v>Bronze</v>
      </c>
    </row>
    <row r="380" spans="1:8" x14ac:dyDescent="0.25">
      <c r="A380" s="4" t="s">
        <v>1190</v>
      </c>
      <c r="B380" s="4" t="str">
        <f>VLOOKUP(A380,'f Excel formulas for calculatio'!A:H,2,FALSE)</f>
        <v>Charles Conley</v>
      </c>
      <c r="C380" s="4">
        <f>VLOOKUP(A380,'f Excel formulas for calculatio'!A:H,3,FALSE)</f>
        <v>39</v>
      </c>
      <c r="D380" s="4" t="str">
        <f>VLOOKUP(A380,'f Excel formulas for calculatio'!A:H,4,FALSE)</f>
        <v>Female</v>
      </c>
      <c r="E380" s="4" t="str">
        <f>VLOOKUP(A380,'f Excel formulas for calculatio'!A:H,5,FALSE)</f>
        <v>Nathanshire</v>
      </c>
      <c r="F380" s="4" t="str">
        <f>VLOOKUP(A380,'f Excel formulas for calculatio'!A:H,6,FALSE)</f>
        <v>Maine</v>
      </c>
      <c r="G380" s="4" t="str">
        <f>VLOOKUP(A380,'f Excel formulas for calculatio'!A:H,7,FALSE)</f>
        <v>USA</v>
      </c>
      <c r="H380" s="4" t="str">
        <f>VLOOKUP(A380,'f Excel formulas for calculatio'!A:H,8,FALSE)</f>
        <v>Gold</v>
      </c>
    </row>
    <row r="381" spans="1:8" x14ac:dyDescent="0.25">
      <c r="A381" s="9" t="s">
        <v>1193</v>
      </c>
      <c r="B381" s="4" t="str">
        <f>VLOOKUP(A381,'f Excel formulas for calculatio'!A:H,2,FALSE)</f>
        <v>Frank Stewart</v>
      </c>
      <c r="C381" s="4">
        <f>VLOOKUP(A381,'f Excel formulas for calculatio'!A:H,3,FALSE)</f>
        <v>44</v>
      </c>
      <c r="D381" s="4" t="str">
        <f>VLOOKUP(A381,'f Excel formulas for calculatio'!A:H,4,FALSE)</f>
        <v>Female</v>
      </c>
      <c r="E381" s="4" t="str">
        <f>VLOOKUP(A381,'f Excel formulas for calculatio'!A:H,5,FALSE)</f>
        <v>Fischerborough</v>
      </c>
      <c r="F381" s="4" t="str">
        <f>VLOOKUP(A381,'f Excel formulas for calculatio'!A:H,6,FALSE)</f>
        <v>Delaware</v>
      </c>
      <c r="G381" s="4" t="str">
        <f>VLOOKUP(A381,'f Excel formulas for calculatio'!A:H,7,FALSE)</f>
        <v>USA</v>
      </c>
      <c r="H381" s="4" t="str">
        <f>VLOOKUP(A381,'f Excel formulas for calculatio'!A:H,8,FALSE)</f>
        <v>Bronze</v>
      </c>
    </row>
    <row r="382" spans="1:8" x14ac:dyDescent="0.25">
      <c r="A382" s="4" t="s">
        <v>1196</v>
      </c>
      <c r="B382" s="4" t="str">
        <f>VLOOKUP(A382,'f Excel formulas for calculatio'!A:H,2,FALSE)</f>
        <v>Tanya Lopez</v>
      </c>
      <c r="C382" s="4">
        <f>VLOOKUP(A382,'f Excel formulas for calculatio'!A:H,3,FALSE)</f>
        <v>34</v>
      </c>
      <c r="D382" s="4" t="str">
        <f>VLOOKUP(A382,'f Excel formulas for calculatio'!A:H,4,FALSE)</f>
        <v>Female</v>
      </c>
      <c r="E382" s="4" t="str">
        <f>VLOOKUP(A382,'f Excel formulas for calculatio'!A:H,5,FALSE)</f>
        <v>West Jeffreyburgh</v>
      </c>
      <c r="F382" s="4" t="str">
        <f>VLOOKUP(A382,'f Excel formulas for calculatio'!A:H,6,FALSE)</f>
        <v>Iowa</v>
      </c>
      <c r="G382" s="4" t="str">
        <f>VLOOKUP(A382,'f Excel formulas for calculatio'!A:H,7,FALSE)</f>
        <v>USA</v>
      </c>
      <c r="H382" s="4" t="str">
        <f>VLOOKUP(A382,'f Excel formulas for calculatio'!A:H,8,FALSE)</f>
        <v>Gold</v>
      </c>
    </row>
    <row r="383" spans="1:8" x14ac:dyDescent="0.25">
      <c r="A383" s="9" t="s">
        <v>1199</v>
      </c>
      <c r="B383" s="4" t="str">
        <f>VLOOKUP(A383,'f Excel formulas for calculatio'!A:H,2,FALSE)</f>
        <v>Shelley Ponce</v>
      </c>
      <c r="C383" s="4">
        <f>VLOOKUP(A383,'f Excel formulas for calculatio'!A:H,3,FALSE)</f>
        <v>23</v>
      </c>
      <c r="D383" s="4" t="str">
        <f>VLOOKUP(A383,'f Excel formulas for calculatio'!A:H,4,FALSE)</f>
        <v>Male</v>
      </c>
      <c r="E383" s="4" t="str">
        <f>VLOOKUP(A383,'f Excel formulas for calculatio'!A:H,5,FALSE)</f>
        <v>South Cassandrachester</v>
      </c>
      <c r="F383" s="4" t="str">
        <f>VLOOKUP(A383,'f Excel formulas for calculatio'!A:H,6,FALSE)</f>
        <v>Rhode Island</v>
      </c>
      <c r="G383" s="4" t="str">
        <f>VLOOKUP(A383,'f Excel formulas for calculatio'!A:H,7,FALSE)</f>
        <v>USA</v>
      </c>
      <c r="H383" s="4" t="str">
        <f>VLOOKUP(A383,'f Excel formulas for calculatio'!A:H,8,FALSE)</f>
        <v>Gold</v>
      </c>
    </row>
    <row r="384" spans="1:8" x14ac:dyDescent="0.25">
      <c r="A384" s="4" t="s">
        <v>1202</v>
      </c>
      <c r="B384" s="4" t="str">
        <f>VLOOKUP(A384,'f Excel formulas for calculatio'!A:H,2,FALSE)</f>
        <v>Erika Padilla</v>
      </c>
      <c r="C384" s="4">
        <f>VLOOKUP(A384,'f Excel formulas for calculatio'!A:H,3,FALSE)</f>
        <v>50</v>
      </c>
      <c r="D384" s="4" t="str">
        <f>VLOOKUP(A384,'f Excel formulas for calculatio'!A:H,4,FALSE)</f>
        <v>Male</v>
      </c>
      <c r="E384" s="4" t="str">
        <f>VLOOKUP(A384,'f Excel formulas for calculatio'!A:H,5,FALSE)</f>
        <v>Andrewsland</v>
      </c>
      <c r="F384" s="4" t="str">
        <f>VLOOKUP(A384,'f Excel formulas for calculatio'!A:H,6,FALSE)</f>
        <v>Alabama</v>
      </c>
      <c r="G384" s="4" t="str">
        <f>VLOOKUP(A384,'f Excel formulas for calculatio'!A:H,7,FALSE)</f>
        <v>USA</v>
      </c>
      <c r="H384" s="4" t="str">
        <f>VLOOKUP(A384,'f Excel formulas for calculatio'!A:H,8,FALSE)</f>
        <v>Silver</v>
      </c>
    </row>
    <row r="385" spans="1:8" x14ac:dyDescent="0.25">
      <c r="A385" s="9" t="s">
        <v>1205</v>
      </c>
      <c r="B385" s="4" t="str">
        <f>VLOOKUP(A385,'f Excel formulas for calculatio'!A:H,2,FALSE)</f>
        <v>Martha Brown</v>
      </c>
      <c r="C385" s="4">
        <f>VLOOKUP(A385,'f Excel formulas for calculatio'!A:H,3,FALSE)</f>
        <v>20</v>
      </c>
      <c r="D385" s="4" t="str">
        <f>VLOOKUP(A385,'f Excel formulas for calculatio'!A:H,4,FALSE)</f>
        <v>Female</v>
      </c>
      <c r="E385" s="4" t="str">
        <f>VLOOKUP(A385,'f Excel formulas for calculatio'!A:H,5,FALSE)</f>
        <v>Novakstad</v>
      </c>
      <c r="F385" s="4" t="str">
        <f>VLOOKUP(A385,'f Excel formulas for calculatio'!A:H,6,FALSE)</f>
        <v>California</v>
      </c>
      <c r="G385" s="4" t="str">
        <f>VLOOKUP(A385,'f Excel formulas for calculatio'!A:H,7,FALSE)</f>
        <v>USA</v>
      </c>
      <c r="H385" s="4" t="str">
        <f>VLOOKUP(A385,'f Excel formulas for calculatio'!A:H,8,FALSE)</f>
        <v>Gold</v>
      </c>
    </row>
    <row r="386" spans="1:8" x14ac:dyDescent="0.25">
      <c r="A386" s="4" t="s">
        <v>1208</v>
      </c>
      <c r="B386" s="4" t="str">
        <f>VLOOKUP(A386,'f Excel formulas for calculatio'!A:H,2,FALSE)</f>
        <v>Kristine Higgins</v>
      </c>
      <c r="C386" s="4">
        <f>VLOOKUP(A386,'f Excel formulas for calculatio'!A:H,3,FALSE)</f>
        <v>27</v>
      </c>
      <c r="D386" s="4" t="str">
        <f>VLOOKUP(A386,'f Excel formulas for calculatio'!A:H,4,FALSE)</f>
        <v>Female</v>
      </c>
      <c r="E386" s="4" t="str">
        <f>VLOOKUP(A386,'f Excel formulas for calculatio'!A:H,5,FALSE)</f>
        <v>Jennifertown</v>
      </c>
      <c r="F386" s="4" t="str">
        <f>VLOOKUP(A386,'f Excel formulas for calculatio'!A:H,6,FALSE)</f>
        <v>South Carolina</v>
      </c>
      <c r="G386" s="4" t="str">
        <f>VLOOKUP(A386,'f Excel formulas for calculatio'!A:H,7,FALSE)</f>
        <v>USA</v>
      </c>
      <c r="H386" s="4" t="str">
        <f>VLOOKUP(A386,'f Excel formulas for calculatio'!A:H,8,FALSE)</f>
        <v>Silver</v>
      </c>
    </row>
    <row r="387" spans="1:8" x14ac:dyDescent="0.25">
      <c r="A387" s="9" t="s">
        <v>1211</v>
      </c>
      <c r="B387" s="4" t="str">
        <f>VLOOKUP(A387,'f Excel formulas for calculatio'!A:H,2,FALSE)</f>
        <v>Andrew Mason</v>
      </c>
      <c r="C387" s="4">
        <f>VLOOKUP(A387,'f Excel formulas for calculatio'!A:H,3,FALSE)</f>
        <v>52</v>
      </c>
      <c r="D387" s="4" t="str">
        <f>VLOOKUP(A387,'f Excel formulas for calculatio'!A:H,4,FALSE)</f>
        <v>Female</v>
      </c>
      <c r="E387" s="4" t="str">
        <f>VLOOKUP(A387,'f Excel formulas for calculatio'!A:H,5,FALSE)</f>
        <v>North Michael</v>
      </c>
      <c r="F387" s="4" t="str">
        <f>VLOOKUP(A387,'f Excel formulas for calculatio'!A:H,6,FALSE)</f>
        <v>Iowa</v>
      </c>
      <c r="G387" s="4" t="str">
        <f>VLOOKUP(A387,'f Excel formulas for calculatio'!A:H,7,FALSE)</f>
        <v>USA</v>
      </c>
      <c r="H387" s="4" t="str">
        <f>VLOOKUP(A387,'f Excel formulas for calculatio'!A:H,8,FALSE)</f>
        <v>Bronze</v>
      </c>
    </row>
    <row r="388" spans="1:8" x14ac:dyDescent="0.25">
      <c r="A388" s="4" t="s">
        <v>1214</v>
      </c>
      <c r="B388" s="4" t="str">
        <f>VLOOKUP(A388,'f Excel formulas for calculatio'!A:H,2,FALSE)</f>
        <v>Tammy Brennan</v>
      </c>
      <c r="C388" s="4">
        <f>VLOOKUP(A388,'f Excel formulas for calculatio'!A:H,3,FALSE)</f>
        <v>60</v>
      </c>
      <c r="D388" s="4" t="str">
        <f>VLOOKUP(A388,'f Excel formulas for calculatio'!A:H,4,FALSE)</f>
        <v>Male</v>
      </c>
      <c r="E388" s="4" t="str">
        <f>VLOOKUP(A388,'f Excel formulas for calculatio'!A:H,5,FALSE)</f>
        <v>Lake Brandontown</v>
      </c>
      <c r="F388" s="4" t="str">
        <f>VLOOKUP(A388,'f Excel formulas for calculatio'!A:H,6,FALSE)</f>
        <v>South Carolina</v>
      </c>
      <c r="G388" s="4" t="str">
        <f>VLOOKUP(A388,'f Excel formulas for calculatio'!A:H,7,FALSE)</f>
        <v>USA</v>
      </c>
      <c r="H388" s="4" t="str">
        <f>VLOOKUP(A388,'f Excel formulas for calculatio'!A:H,8,FALSE)</f>
        <v>Gold</v>
      </c>
    </row>
    <row r="389" spans="1:8" x14ac:dyDescent="0.25">
      <c r="A389" s="9" t="s">
        <v>1217</v>
      </c>
      <c r="B389" s="4" t="str">
        <f>VLOOKUP(A389,'f Excel formulas for calculatio'!A:H,2,FALSE)</f>
        <v>Melanie Mitchell</v>
      </c>
      <c r="C389" s="4">
        <f>VLOOKUP(A389,'f Excel formulas for calculatio'!A:H,3,FALSE)</f>
        <v>18</v>
      </c>
      <c r="D389" s="4" t="str">
        <f>VLOOKUP(A389,'f Excel formulas for calculatio'!A:H,4,FALSE)</f>
        <v>Female</v>
      </c>
      <c r="E389" s="4" t="str">
        <f>VLOOKUP(A389,'f Excel formulas for calculatio'!A:H,5,FALSE)</f>
        <v>West Laura</v>
      </c>
      <c r="F389" s="4" t="str">
        <f>VLOOKUP(A389,'f Excel formulas for calculatio'!A:H,6,FALSE)</f>
        <v>Maryland</v>
      </c>
      <c r="G389" s="4" t="str">
        <f>VLOOKUP(A389,'f Excel formulas for calculatio'!A:H,7,FALSE)</f>
        <v>USA</v>
      </c>
      <c r="H389" s="4" t="str">
        <f>VLOOKUP(A389,'f Excel formulas for calculatio'!A:H,8,FALSE)</f>
        <v>Bronze</v>
      </c>
    </row>
    <row r="390" spans="1:8" x14ac:dyDescent="0.25">
      <c r="A390" s="4" t="s">
        <v>1220</v>
      </c>
      <c r="B390" s="4" t="str">
        <f>VLOOKUP(A390,'f Excel formulas for calculatio'!A:H,2,FALSE)</f>
        <v>Timothy Gardner</v>
      </c>
      <c r="C390" s="4">
        <f>VLOOKUP(A390,'f Excel formulas for calculatio'!A:H,3,FALSE)</f>
        <v>28</v>
      </c>
      <c r="D390" s="4" t="str">
        <f>VLOOKUP(A390,'f Excel formulas for calculatio'!A:H,4,FALSE)</f>
        <v>Female</v>
      </c>
      <c r="E390" s="4" t="str">
        <f>VLOOKUP(A390,'f Excel formulas for calculatio'!A:H,5,FALSE)</f>
        <v>New Dawn</v>
      </c>
      <c r="F390" s="4" t="str">
        <f>VLOOKUP(A390,'f Excel formulas for calculatio'!A:H,6,FALSE)</f>
        <v>New Jersey</v>
      </c>
      <c r="G390" s="4" t="str">
        <f>VLOOKUP(A390,'f Excel formulas for calculatio'!A:H,7,FALSE)</f>
        <v>USA</v>
      </c>
      <c r="H390" s="4" t="str">
        <f>VLOOKUP(A390,'f Excel formulas for calculatio'!A:H,8,FALSE)</f>
        <v>Silver</v>
      </c>
    </row>
    <row r="391" spans="1:8" x14ac:dyDescent="0.25">
      <c r="A391" s="9" t="s">
        <v>1223</v>
      </c>
      <c r="B391" s="4" t="str">
        <f>VLOOKUP(A391,'f Excel formulas for calculatio'!A:H,2,FALSE)</f>
        <v>Timothy Valenzuela</v>
      </c>
      <c r="C391" s="4">
        <f>VLOOKUP(A391,'f Excel formulas for calculatio'!A:H,3,FALSE)</f>
        <v>53</v>
      </c>
      <c r="D391" s="4" t="str">
        <f>VLOOKUP(A391,'f Excel formulas for calculatio'!A:H,4,FALSE)</f>
        <v>Male</v>
      </c>
      <c r="E391" s="4" t="str">
        <f>VLOOKUP(A391,'f Excel formulas for calculatio'!A:H,5,FALSE)</f>
        <v>Stevensshire</v>
      </c>
      <c r="F391" s="4" t="str">
        <f>VLOOKUP(A391,'f Excel formulas for calculatio'!A:H,6,FALSE)</f>
        <v>Missouri</v>
      </c>
      <c r="G391" s="4" t="str">
        <f>VLOOKUP(A391,'f Excel formulas for calculatio'!A:H,7,FALSE)</f>
        <v>USA</v>
      </c>
      <c r="H391" s="4" t="str">
        <f>VLOOKUP(A391,'f Excel formulas for calculatio'!A:H,8,FALSE)</f>
        <v>Platinum</v>
      </c>
    </row>
    <row r="392" spans="1:8" x14ac:dyDescent="0.25">
      <c r="A392" s="4" t="s">
        <v>1226</v>
      </c>
      <c r="B392" s="4" t="str">
        <f>VLOOKUP(A392,'f Excel formulas for calculatio'!A:H,2,FALSE)</f>
        <v>Cynthia Lopez</v>
      </c>
      <c r="C392" s="4">
        <f>VLOOKUP(A392,'f Excel formulas for calculatio'!A:H,3,FALSE)</f>
        <v>50</v>
      </c>
      <c r="D392" s="4" t="str">
        <f>VLOOKUP(A392,'f Excel formulas for calculatio'!A:H,4,FALSE)</f>
        <v>Male</v>
      </c>
      <c r="E392" s="4" t="str">
        <f>VLOOKUP(A392,'f Excel formulas for calculatio'!A:H,5,FALSE)</f>
        <v>Joseland</v>
      </c>
      <c r="F392" s="4" t="str">
        <f>VLOOKUP(A392,'f Excel formulas for calculatio'!A:H,6,FALSE)</f>
        <v>Nebraska</v>
      </c>
      <c r="G392" s="4" t="str">
        <f>VLOOKUP(A392,'f Excel formulas for calculatio'!A:H,7,FALSE)</f>
        <v>USA</v>
      </c>
      <c r="H392" s="4" t="str">
        <f>VLOOKUP(A392,'f Excel formulas for calculatio'!A:H,8,FALSE)</f>
        <v>Platinum</v>
      </c>
    </row>
    <row r="393" spans="1:8" x14ac:dyDescent="0.25">
      <c r="A393" s="9" t="s">
        <v>1229</v>
      </c>
      <c r="B393" s="4" t="str">
        <f>VLOOKUP(A393,'f Excel formulas for calculatio'!A:H,2,FALSE)</f>
        <v>Daniel Bell</v>
      </c>
      <c r="C393" s="4">
        <f>VLOOKUP(A393,'f Excel formulas for calculatio'!A:H,3,FALSE)</f>
        <v>56</v>
      </c>
      <c r="D393" s="4" t="str">
        <f>VLOOKUP(A393,'f Excel formulas for calculatio'!A:H,4,FALSE)</f>
        <v>Male</v>
      </c>
      <c r="E393" s="4" t="str">
        <f>VLOOKUP(A393,'f Excel formulas for calculatio'!A:H,5,FALSE)</f>
        <v>Deniseberg</v>
      </c>
      <c r="F393" s="4" t="str">
        <f>VLOOKUP(A393,'f Excel formulas for calculatio'!A:H,6,FALSE)</f>
        <v>Arkansas</v>
      </c>
      <c r="G393" s="4" t="str">
        <f>VLOOKUP(A393,'f Excel formulas for calculatio'!A:H,7,FALSE)</f>
        <v>USA</v>
      </c>
      <c r="H393" s="4" t="str">
        <f>VLOOKUP(A393,'f Excel formulas for calculatio'!A:H,8,FALSE)</f>
        <v>Silver</v>
      </c>
    </row>
    <row r="394" spans="1:8" x14ac:dyDescent="0.25">
      <c r="A394" s="4" t="s">
        <v>1232</v>
      </c>
      <c r="B394" s="4" t="str">
        <f>VLOOKUP(A394,'f Excel formulas for calculatio'!A:H,2,FALSE)</f>
        <v>Heidi Tyler</v>
      </c>
      <c r="C394" s="4">
        <f>VLOOKUP(A394,'f Excel formulas for calculatio'!A:H,3,FALSE)</f>
        <v>40</v>
      </c>
      <c r="D394" s="4" t="str">
        <f>VLOOKUP(A394,'f Excel formulas for calculatio'!A:H,4,FALSE)</f>
        <v>Female</v>
      </c>
      <c r="E394" s="4" t="str">
        <f>VLOOKUP(A394,'f Excel formulas for calculatio'!A:H,5,FALSE)</f>
        <v>Dawnstad</v>
      </c>
      <c r="F394" s="4" t="str">
        <f>VLOOKUP(A394,'f Excel formulas for calculatio'!A:H,6,FALSE)</f>
        <v>Oregon</v>
      </c>
      <c r="G394" s="4" t="str">
        <f>VLOOKUP(A394,'f Excel formulas for calculatio'!A:H,7,FALSE)</f>
        <v>USA</v>
      </c>
      <c r="H394" s="4" t="str">
        <f>VLOOKUP(A394,'f Excel formulas for calculatio'!A:H,8,FALSE)</f>
        <v>Bronze</v>
      </c>
    </row>
    <row r="395" spans="1:8" x14ac:dyDescent="0.25">
      <c r="A395" s="9" t="s">
        <v>1235</v>
      </c>
      <c r="B395" s="4" t="str">
        <f>VLOOKUP(A395,'f Excel formulas for calculatio'!A:H,2,FALSE)</f>
        <v>Jacqueline Payne</v>
      </c>
      <c r="C395" s="4">
        <f>VLOOKUP(A395,'f Excel formulas for calculatio'!A:H,3,FALSE)</f>
        <v>46</v>
      </c>
      <c r="D395" s="4" t="str">
        <f>VLOOKUP(A395,'f Excel formulas for calculatio'!A:H,4,FALSE)</f>
        <v>Male</v>
      </c>
      <c r="E395" s="4" t="str">
        <f>VLOOKUP(A395,'f Excel formulas for calculatio'!A:H,5,FALSE)</f>
        <v>Gutierrezstad</v>
      </c>
      <c r="F395" s="4" t="str">
        <f>VLOOKUP(A395,'f Excel formulas for calculatio'!A:H,6,FALSE)</f>
        <v>Missouri</v>
      </c>
      <c r="G395" s="4" t="str">
        <f>VLOOKUP(A395,'f Excel formulas for calculatio'!A:H,7,FALSE)</f>
        <v>USA</v>
      </c>
      <c r="H395" s="4" t="str">
        <f>VLOOKUP(A395,'f Excel formulas for calculatio'!A:H,8,FALSE)</f>
        <v>Gold</v>
      </c>
    </row>
    <row r="396" spans="1:8" x14ac:dyDescent="0.25">
      <c r="A396" s="4" t="s">
        <v>1238</v>
      </c>
      <c r="B396" s="4" t="str">
        <f>VLOOKUP(A396,'f Excel formulas for calculatio'!A:H,2,FALSE)</f>
        <v>Michael Mcneil</v>
      </c>
      <c r="C396" s="4">
        <f>VLOOKUP(A396,'f Excel formulas for calculatio'!A:H,3,FALSE)</f>
        <v>46</v>
      </c>
      <c r="D396" s="4" t="str">
        <f>VLOOKUP(A396,'f Excel formulas for calculatio'!A:H,4,FALSE)</f>
        <v>Male</v>
      </c>
      <c r="E396" s="4" t="str">
        <f>VLOOKUP(A396,'f Excel formulas for calculatio'!A:H,5,FALSE)</f>
        <v>Stewartchester</v>
      </c>
      <c r="F396" s="4" t="str">
        <f>VLOOKUP(A396,'f Excel formulas for calculatio'!A:H,6,FALSE)</f>
        <v>Utah</v>
      </c>
      <c r="G396" s="4" t="str">
        <f>VLOOKUP(A396,'f Excel formulas for calculatio'!A:H,7,FALSE)</f>
        <v>USA</v>
      </c>
      <c r="H396" s="4" t="str">
        <f>VLOOKUP(A396,'f Excel formulas for calculatio'!A:H,8,FALSE)</f>
        <v>Bronze</v>
      </c>
    </row>
    <row r="397" spans="1:8" x14ac:dyDescent="0.25">
      <c r="A397" s="9" t="s">
        <v>1241</v>
      </c>
      <c r="B397" s="4" t="str">
        <f>VLOOKUP(A397,'f Excel formulas for calculatio'!A:H,2,FALSE)</f>
        <v>Alejandro Evans</v>
      </c>
      <c r="C397" s="4">
        <f>VLOOKUP(A397,'f Excel formulas for calculatio'!A:H,3,FALSE)</f>
        <v>43</v>
      </c>
      <c r="D397" s="4" t="str">
        <f>VLOOKUP(A397,'f Excel formulas for calculatio'!A:H,4,FALSE)</f>
        <v>Female</v>
      </c>
      <c r="E397" s="4" t="str">
        <f>VLOOKUP(A397,'f Excel formulas for calculatio'!A:H,5,FALSE)</f>
        <v>Cannonberg</v>
      </c>
      <c r="F397" s="4" t="str">
        <f>VLOOKUP(A397,'f Excel formulas for calculatio'!A:H,6,FALSE)</f>
        <v>Connecticut</v>
      </c>
      <c r="G397" s="4" t="str">
        <f>VLOOKUP(A397,'f Excel formulas for calculatio'!A:H,7,FALSE)</f>
        <v>USA</v>
      </c>
      <c r="H397" s="4" t="str">
        <f>VLOOKUP(A397,'f Excel formulas for calculatio'!A:H,8,FALSE)</f>
        <v>Bronze</v>
      </c>
    </row>
    <row r="398" spans="1:8" x14ac:dyDescent="0.25">
      <c r="A398" s="4" t="s">
        <v>1244</v>
      </c>
      <c r="B398" s="4" t="str">
        <f>VLOOKUP(A398,'f Excel formulas for calculatio'!A:H,2,FALSE)</f>
        <v>Brandon Mcguire</v>
      </c>
      <c r="C398" s="4">
        <f>VLOOKUP(A398,'f Excel formulas for calculatio'!A:H,3,FALSE)</f>
        <v>50</v>
      </c>
      <c r="D398" s="4" t="str">
        <f>VLOOKUP(A398,'f Excel formulas for calculatio'!A:H,4,FALSE)</f>
        <v>Male</v>
      </c>
      <c r="E398" s="4" t="str">
        <f>VLOOKUP(A398,'f Excel formulas for calculatio'!A:H,5,FALSE)</f>
        <v>Lake Morganland</v>
      </c>
      <c r="F398" s="4" t="str">
        <f>VLOOKUP(A398,'f Excel formulas for calculatio'!A:H,6,FALSE)</f>
        <v>Kansas</v>
      </c>
      <c r="G398" s="4" t="str">
        <f>VLOOKUP(A398,'f Excel formulas for calculatio'!A:H,7,FALSE)</f>
        <v>USA</v>
      </c>
      <c r="H398" s="4" t="str">
        <f>VLOOKUP(A398,'f Excel formulas for calculatio'!A:H,8,FALSE)</f>
        <v>Gold</v>
      </c>
    </row>
    <row r="399" spans="1:8" x14ac:dyDescent="0.25">
      <c r="A399" s="9" t="s">
        <v>1247</v>
      </c>
      <c r="B399" s="4" t="str">
        <f>VLOOKUP(A399,'f Excel formulas for calculatio'!A:H,2,FALSE)</f>
        <v>Alexander Byrd</v>
      </c>
      <c r="C399" s="4">
        <f>VLOOKUP(A399,'f Excel formulas for calculatio'!A:H,3,FALSE)</f>
        <v>25</v>
      </c>
      <c r="D399" s="4" t="str">
        <f>VLOOKUP(A399,'f Excel formulas for calculatio'!A:H,4,FALSE)</f>
        <v>Female</v>
      </c>
      <c r="E399" s="4" t="str">
        <f>VLOOKUP(A399,'f Excel formulas for calculatio'!A:H,5,FALSE)</f>
        <v>Parkerview</v>
      </c>
      <c r="F399" s="4" t="str">
        <f>VLOOKUP(A399,'f Excel formulas for calculatio'!A:H,6,FALSE)</f>
        <v>New York</v>
      </c>
      <c r="G399" s="4" t="str">
        <f>VLOOKUP(A399,'f Excel formulas for calculatio'!A:H,7,FALSE)</f>
        <v>USA</v>
      </c>
      <c r="H399" s="4" t="str">
        <f>VLOOKUP(A399,'f Excel formulas for calculatio'!A:H,8,FALSE)</f>
        <v>Silver</v>
      </c>
    </row>
    <row r="400" spans="1:8" x14ac:dyDescent="0.25">
      <c r="A400" s="4" t="s">
        <v>1250</v>
      </c>
      <c r="B400" s="4" t="str">
        <f>VLOOKUP(A400,'f Excel formulas for calculatio'!A:H,2,FALSE)</f>
        <v>Charles Norman PhD</v>
      </c>
      <c r="C400" s="4">
        <f>VLOOKUP(A400,'f Excel formulas for calculatio'!A:H,3,FALSE)</f>
        <v>62</v>
      </c>
      <c r="D400" s="4" t="str">
        <f>VLOOKUP(A400,'f Excel formulas for calculatio'!A:H,4,FALSE)</f>
        <v>Female</v>
      </c>
      <c r="E400" s="4" t="str">
        <f>VLOOKUP(A400,'f Excel formulas for calculatio'!A:H,5,FALSE)</f>
        <v>East Jennifer</v>
      </c>
      <c r="F400" s="4" t="str">
        <f>VLOOKUP(A400,'f Excel formulas for calculatio'!A:H,6,FALSE)</f>
        <v>Kansas</v>
      </c>
      <c r="G400" s="4" t="str">
        <f>VLOOKUP(A400,'f Excel formulas for calculatio'!A:H,7,FALSE)</f>
        <v>USA</v>
      </c>
      <c r="H400" s="4" t="str">
        <f>VLOOKUP(A400,'f Excel formulas for calculatio'!A:H,8,FALSE)</f>
        <v>Platinum</v>
      </c>
    </row>
    <row r="401" spans="1:8" x14ac:dyDescent="0.25">
      <c r="A401" s="9" t="s">
        <v>1252</v>
      </c>
      <c r="B401" s="4" t="str">
        <f>VLOOKUP(A401,'f Excel formulas for calculatio'!A:H,2,FALSE)</f>
        <v>Jennifer Johnson</v>
      </c>
      <c r="C401" s="4">
        <f>VLOOKUP(A401,'f Excel formulas for calculatio'!A:H,3,FALSE)</f>
        <v>54</v>
      </c>
      <c r="D401" s="4" t="str">
        <f>VLOOKUP(A401,'f Excel formulas for calculatio'!A:H,4,FALSE)</f>
        <v>Male</v>
      </c>
      <c r="E401" s="4" t="str">
        <f>VLOOKUP(A401,'f Excel formulas for calculatio'!A:H,5,FALSE)</f>
        <v>Cheyenneborough</v>
      </c>
      <c r="F401" s="4" t="str">
        <f>VLOOKUP(A401,'f Excel formulas for calculatio'!A:H,6,FALSE)</f>
        <v>New Hampshire</v>
      </c>
      <c r="G401" s="4" t="str">
        <f>VLOOKUP(A401,'f Excel formulas for calculatio'!A:H,7,FALSE)</f>
        <v>USA</v>
      </c>
      <c r="H401" s="4" t="str">
        <f>VLOOKUP(A401,'f Excel formulas for calculatio'!A:H,8,FALSE)</f>
        <v>Bronze</v>
      </c>
    </row>
    <row r="402" spans="1:8" x14ac:dyDescent="0.25">
      <c r="A402" s="4" t="s">
        <v>1255</v>
      </c>
      <c r="B402" s="4" t="str">
        <f>VLOOKUP(A402,'f Excel formulas for calculatio'!A:H,2,FALSE)</f>
        <v>John Donaldson</v>
      </c>
      <c r="C402" s="4">
        <f>VLOOKUP(A402,'f Excel formulas for calculatio'!A:H,3,FALSE)</f>
        <v>27</v>
      </c>
      <c r="D402" s="4" t="str">
        <f>VLOOKUP(A402,'f Excel formulas for calculatio'!A:H,4,FALSE)</f>
        <v>Male</v>
      </c>
      <c r="E402" s="4" t="str">
        <f>VLOOKUP(A402,'f Excel formulas for calculatio'!A:H,5,FALSE)</f>
        <v>New Edward</v>
      </c>
      <c r="F402" s="4" t="str">
        <f>VLOOKUP(A402,'f Excel formulas for calculatio'!A:H,6,FALSE)</f>
        <v>Maine</v>
      </c>
      <c r="G402" s="4" t="str">
        <f>VLOOKUP(A402,'f Excel formulas for calculatio'!A:H,7,FALSE)</f>
        <v>USA</v>
      </c>
      <c r="H402" s="4" t="str">
        <f>VLOOKUP(A402,'f Excel formulas for calculatio'!A:H,8,FALSE)</f>
        <v>Bronze</v>
      </c>
    </row>
    <row r="403" spans="1:8" x14ac:dyDescent="0.25">
      <c r="A403" s="9" t="s">
        <v>1258</v>
      </c>
      <c r="B403" s="4" t="str">
        <f>VLOOKUP(A403,'f Excel formulas for calculatio'!A:H,2,FALSE)</f>
        <v>Mark Rogers</v>
      </c>
      <c r="C403" s="4">
        <f>VLOOKUP(A403,'f Excel formulas for calculatio'!A:H,3,FALSE)</f>
        <v>57</v>
      </c>
      <c r="D403" s="4" t="str">
        <f>VLOOKUP(A403,'f Excel formulas for calculatio'!A:H,4,FALSE)</f>
        <v>Female</v>
      </c>
      <c r="E403" s="4" t="str">
        <f>VLOOKUP(A403,'f Excel formulas for calculatio'!A:H,5,FALSE)</f>
        <v>Bookertown</v>
      </c>
      <c r="F403" s="4" t="str">
        <f>VLOOKUP(A403,'f Excel formulas for calculatio'!A:H,6,FALSE)</f>
        <v>Oklahoma</v>
      </c>
      <c r="G403" s="4" t="str">
        <f>VLOOKUP(A403,'f Excel formulas for calculatio'!A:H,7,FALSE)</f>
        <v>USA</v>
      </c>
      <c r="H403" s="4" t="str">
        <f>VLOOKUP(A403,'f Excel formulas for calculatio'!A:H,8,FALSE)</f>
        <v>Platinum</v>
      </c>
    </row>
    <row r="404" spans="1:8" x14ac:dyDescent="0.25">
      <c r="A404" s="4" t="s">
        <v>1261</v>
      </c>
      <c r="B404" s="4" t="str">
        <f>VLOOKUP(A404,'f Excel formulas for calculatio'!A:H,2,FALSE)</f>
        <v>Terry Moses</v>
      </c>
      <c r="C404" s="4">
        <f>VLOOKUP(A404,'f Excel formulas for calculatio'!A:H,3,FALSE)</f>
        <v>51</v>
      </c>
      <c r="D404" s="4" t="str">
        <f>VLOOKUP(A404,'f Excel formulas for calculatio'!A:H,4,FALSE)</f>
        <v>Female</v>
      </c>
      <c r="E404" s="4" t="str">
        <f>VLOOKUP(A404,'f Excel formulas for calculatio'!A:H,5,FALSE)</f>
        <v>Leahmouth</v>
      </c>
      <c r="F404" s="4" t="str">
        <f>VLOOKUP(A404,'f Excel formulas for calculatio'!A:H,6,FALSE)</f>
        <v>Nevada</v>
      </c>
      <c r="G404" s="4" t="str">
        <f>VLOOKUP(A404,'f Excel formulas for calculatio'!A:H,7,FALSE)</f>
        <v>USA</v>
      </c>
      <c r="H404" s="4" t="str">
        <f>VLOOKUP(A404,'f Excel formulas for calculatio'!A:H,8,FALSE)</f>
        <v>Platinum</v>
      </c>
    </row>
    <row r="405" spans="1:8" x14ac:dyDescent="0.25">
      <c r="A405" s="9" t="s">
        <v>1264</v>
      </c>
      <c r="B405" s="4" t="str">
        <f>VLOOKUP(A405,'f Excel formulas for calculatio'!A:H,2,FALSE)</f>
        <v>Cassandra Perez</v>
      </c>
      <c r="C405" s="4">
        <f>VLOOKUP(A405,'f Excel formulas for calculatio'!A:H,3,FALSE)</f>
        <v>31</v>
      </c>
      <c r="D405" s="4" t="str">
        <f>VLOOKUP(A405,'f Excel formulas for calculatio'!A:H,4,FALSE)</f>
        <v>Male</v>
      </c>
      <c r="E405" s="4" t="str">
        <f>VLOOKUP(A405,'f Excel formulas for calculatio'!A:H,5,FALSE)</f>
        <v>Brandonville</v>
      </c>
      <c r="F405" s="4" t="str">
        <f>VLOOKUP(A405,'f Excel formulas for calculatio'!A:H,6,FALSE)</f>
        <v>Mississippi</v>
      </c>
      <c r="G405" s="4" t="str">
        <f>VLOOKUP(A405,'f Excel formulas for calculatio'!A:H,7,FALSE)</f>
        <v>USA</v>
      </c>
      <c r="H405" s="4" t="str">
        <f>VLOOKUP(A405,'f Excel formulas for calculatio'!A:H,8,FALSE)</f>
        <v>Bronze</v>
      </c>
    </row>
    <row r="406" spans="1:8" x14ac:dyDescent="0.25">
      <c r="A406" s="4" t="s">
        <v>1266</v>
      </c>
      <c r="B406" s="4" t="str">
        <f>VLOOKUP(A406,'f Excel formulas for calculatio'!A:H,2,FALSE)</f>
        <v>Justin Ingram</v>
      </c>
      <c r="C406" s="4">
        <f>VLOOKUP(A406,'f Excel formulas for calculatio'!A:H,3,FALSE)</f>
        <v>34</v>
      </c>
      <c r="D406" s="4" t="str">
        <f>VLOOKUP(A406,'f Excel formulas for calculatio'!A:H,4,FALSE)</f>
        <v>Male</v>
      </c>
      <c r="E406" s="4" t="str">
        <f>VLOOKUP(A406,'f Excel formulas for calculatio'!A:H,5,FALSE)</f>
        <v>Lake Lisaland</v>
      </c>
      <c r="F406" s="4" t="str">
        <f>VLOOKUP(A406,'f Excel formulas for calculatio'!A:H,6,FALSE)</f>
        <v>Louisiana</v>
      </c>
      <c r="G406" s="4" t="str">
        <f>VLOOKUP(A406,'f Excel formulas for calculatio'!A:H,7,FALSE)</f>
        <v>USA</v>
      </c>
      <c r="H406" s="4" t="str">
        <f>VLOOKUP(A406,'f Excel formulas for calculatio'!A:H,8,FALSE)</f>
        <v>Bronze</v>
      </c>
    </row>
    <row r="407" spans="1:8" x14ac:dyDescent="0.25">
      <c r="A407" s="9" t="s">
        <v>1269</v>
      </c>
      <c r="B407" s="4" t="str">
        <f>VLOOKUP(A407,'f Excel formulas for calculatio'!A:H,2,FALSE)</f>
        <v>David Ross</v>
      </c>
      <c r="C407" s="4">
        <f>VLOOKUP(A407,'f Excel formulas for calculatio'!A:H,3,FALSE)</f>
        <v>22</v>
      </c>
      <c r="D407" s="4" t="str">
        <f>VLOOKUP(A407,'f Excel formulas for calculatio'!A:H,4,FALSE)</f>
        <v>Female</v>
      </c>
      <c r="E407" s="4" t="str">
        <f>VLOOKUP(A407,'f Excel formulas for calculatio'!A:H,5,FALSE)</f>
        <v>South Angela</v>
      </c>
      <c r="F407" s="4" t="str">
        <f>VLOOKUP(A407,'f Excel formulas for calculatio'!A:H,6,FALSE)</f>
        <v>Arkansas</v>
      </c>
      <c r="G407" s="4" t="str">
        <f>VLOOKUP(A407,'f Excel formulas for calculatio'!A:H,7,FALSE)</f>
        <v>USA</v>
      </c>
      <c r="H407" s="4" t="str">
        <f>VLOOKUP(A407,'f Excel formulas for calculatio'!A:H,8,FALSE)</f>
        <v>Silver</v>
      </c>
    </row>
    <row r="408" spans="1:8" x14ac:dyDescent="0.25">
      <c r="A408" s="4" t="s">
        <v>1272</v>
      </c>
      <c r="B408" s="4" t="str">
        <f>VLOOKUP(A408,'f Excel formulas for calculatio'!A:H,2,FALSE)</f>
        <v>Eric Wolfe</v>
      </c>
      <c r="C408" s="4">
        <f>VLOOKUP(A408,'f Excel formulas for calculatio'!A:H,3,FALSE)</f>
        <v>18</v>
      </c>
      <c r="D408" s="4" t="str">
        <f>VLOOKUP(A408,'f Excel formulas for calculatio'!A:H,4,FALSE)</f>
        <v>Female</v>
      </c>
      <c r="E408" s="4" t="str">
        <f>VLOOKUP(A408,'f Excel formulas for calculatio'!A:H,5,FALSE)</f>
        <v>Garciaview</v>
      </c>
      <c r="F408" s="4" t="str">
        <f>VLOOKUP(A408,'f Excel formulas for calculatio'!A:H,6,FALSE)</f>
        <v>Louisiana</v>
      </c>
      <c r="G408" s="4" t="str">
        <f>VLOOKUP(A408,'f Excel formulas for calculatio'!A:H,7,FALSE)</f>
        <v>USA</v>
      </c>
      <c r="H408" s="4" t="str">
        <f>VLOOKUP(A408,'f Excel formulas for calculatio'!A:H,8,FALSE)</f>
        <v>Gold</v>
      </c>
    </row>
    <row r="409" spans="1:8" x14ac:dyDescent="0.25">
      <c r="A409" s="9" t="s">
        <v>1275</v>
      </c>
      <c r="B409" s="4" t="str">
        <f>VLOOKUP(A409,'f Excel formulas for calculatio'!A:H,2,FALSE)</f>
        <v>David Lozano</v>
      </c>
      <c r="C409" s="4">
        <f>VLOOKUP(A409,'f Excel formulas for calculatio'!A:H,3,FALSE)</f>
        <v>23</v>
      </c>
      <c r="D409" s="4" t="str">
        <f>VLOOKUP(A409,'f Excel formulas for calculatio'!A:H,4,FALSE)</f>
        <v>Female</v>
      </c>
      <c r="E409" s="4" t="str">
        <f>VLOOKUP(A409,'f Excel formulas for calculatio'!A:H,5,FALSE)</f>
        <v>North Michaelfurt</v>
      </c>
      <c r="F409" s="4" t="str">
        <f>VLOOKUP(A409,'f Excel formulas for calculatio'!A:H,6,FALSE)</f>
        <v>Wisconsin</v>
      </c>
      <c r="G409" s="4" t="str">
        <f>VLOOKUP(A409,'f Excel formulas for calculatio'!A:H,7,FALSE)</f>
        <v>USA</v>
      </c>
      <c r="H409" s="4" t="str">
        <f>VLOOKUP(A409,'f Excel formulas for calculatio'!A:H,8,FALSE)</f>
        <v>Gold</v>
      </c>
    </row>
    <row r="410" spans="1:8" x14ac:dyDescent="0.25">
      <c r="A410" s="4" t="s">
        <v>1278</v>
      </c>
      <c r="B410" s="4" t="str">
        <f>VLOOKUP(A410,'f Excel formulas for calculatio'!A:H,2,FALSE)</f>
        <v>Joseph Mendoza</v>
      </c>
      <c r="C410" s="4">
        <f>VLOOKUP(A410,'f Excel formulas for calculatio'!A:H,3,FALSE)</f>
        <v>33</v>
      </c>
      <c r="D410" s="4" t="str">
        <f>VLOOKUP(A410,'f Excel formulas for calculatio'!A:H,4,FALSE)</f>
        <v>Male</v>
      </c>
      <c r="E410" s="4" t="str">
        <f>VLOOKUP(A410,'f Excel formulas for calculatio'!A:H,5,FALSE)</f>
        <v>Ashleymouth</v>
      </c>
      <c r="F410" s="4" t="str">
        <f>VLOOKUP(A410,'f Excel formulas for calculatio'!A:H,6,FALSE)</f>
        <v>Maryland</v>
      </c>
      <c r="G410" s="4" t="str">
        <f>VLOOKUP(A410,'f Excel formulas for calculatio'!A:H,7,FALSE)</f>
        <v>USA</v>
      </c>
      <c r="H410" s="4" t="str">
        <f>VLOOKUP(A410,'f Excel formulas for calculatio'!A:H,8,FALSE)</f>
        <v>Gold</v>
      </c>
    </row>
    <row r="411" spans="1:8" x14ac:dyDescent="0.25">
      <c r="A411" s="9" t="s">
        <v>1281</v>
      </c>
      <c r="B411" s="4" t="str">
        <f>VLOOKUP(A411,'f Excel formulas for calculatio'!A:H,2,FALSE)</f>
        <v>Isabel Foster</v>
      </c>
      <c r="C411" s="4">
        <f>VLOOKUP(A411,'f Excel formulas for calculatio'!A:H,3,FALSE)</f>
        <v>36</v>
      </c>
      <c r="D411" s="4" t="str">
        <f>VLOOKUP(A411,'f Excel formulas for calculatio'!A:H,4,FALSE)</f>
        <v>Male</v>
      </c>
      <c r="E411" s="4" t="str">
        <f>VLOOKUP(A411,'f Excel formulas for calculatio'!A:H,5,FALSE)</f>
        <v>Port Joshuaville</v>
      </c>
      <c r="F411" s="4" t="str">
        <f>VLOOKUP(A411,'f Excel formulas for calculatio'!A:H,6,FALSE)</f>
        <v>New Jersey</v>
      </c>
      <c r="G411" s="4" t="str">
        <f>VLOOKUP(A411,'f Excel formulas for calculatio'!A:H,7,FALSE)</f>
        <v>USA</v>
      </c>
      <c r="H411" s="4" t="str">
        <f>VLOOKUP(A411,'f Excel formulas for calculatio'!A:H,8,FALSE)</f>
        <v>Gold</v>
      </c>
    </row>
    <row r="412" spans="1:8" x14ac:dyDescent="0.25">
      <c r="A412" s="4" t="s">
        <v>1284</v>
      </c>
      <c r="B412" s="4" t="str">
        <f>VLOOKUP(A412,'f Excel formulas for calculatio'!A:H,2,FALSE)</f>
        <v>Sarah Smith</v>
      </c>
      <c r="C412" s="4">
        <f>VLOOKUP(A412,'f Excel formulas for calculatio'!A:H,3,FALSE)</f>
        <v>55</v>
      </c>
      <c r="D412" s="4" t="str">
        <f>VLOOKUP(A412,'f Excel formulas for calculatio'!A:H,4,FALSE)</f>
        <v>Male</v>
      </c>
      <c r="E412" s="4" t="str">
        <f>VLOOKUP(A412,'f Excel formulas for calculatio'!A:H,5,FALSE)</f>
        <v>Kathleenport</v>
      </c>
      <c r="F412" s="4" t="str">
        <f>VLOOKUP(A412,'f Excel formulas for calculatio'!A:H,6,FALSE)</f>
        <v>Wyoming</v>
      </c>
      <c r="G412" s="4" t="str">
        <f>VLOOKUP(A412,'f Excel formulas for calculatio'!A:H,7,FALSE)</f>
        <v>USA</v>
      </c>
      <c r="H412" s="4" t="str">
        <f>VLOOKUP(A412,'f Excel formulas for calculatio'!A:H,8,FALSE)</f>
        <v>Gold</v>
      </c>
    </row>
    <row r="413" spans="1:8" x14ac:dyDescent="0.25">
      <c r="A413" s="9" t="s">
        <v>1287</v>
      </c>
      <c r="B413" s="4" t="str">
        <f>VLOOKUP(A413,'f Excel formulas for calculatio'!A:H,2,FALSE)</f>
        <v>Jackie Thompson</v>
      </c>
      <c r="C413" s="4">
        <f>VLOOKUP(A413,'f Excel formulas for calculatio'!A:H,3,FALSE)</f>
        <v>48</v>
      </c>
      <c r="D413" s="4" t="str">
        <f>VLOOKUP(A413,'f Excel formulas for calculatio'!A:H,4,FALSE)</f>
        <v>Female</v>
      </c>
      <c r="E413" s="4" t="str">
        <f>VLOOKUP(A413,'f Excel formulas for calculatio'!A:H,5,FALSE)</f>
        <v>South Edwin</v>
      </c>
      <c r="F413" s="4" t="str">
        <f>VLOOKUP(A413,'f Excel formulas for calculatio'!A:H,6,FALSE)</f>
        <v>New Jersey</v>
      </c>
      <c r="G413" s="4" t="str">
        <f>VLOOKUP(A413,'f Excel formulas for calculatio'!A:H,7,FALSE)</f>
        <v>USA</v>
      </c>
      <c r="H413" s="4" t="str">
        <f>VLOOKUP(A413,'f Excel formulas for calculatio'!A:H,8,FALSE)</f>
        <v>Bronze</v>
      </c>
    </row>
    <row r="414" spans="1:8" x14ac:dyDescent="0.25">
      <c r="A414" s="4" t="s">
        <v>1290</v>
      </c>
      <c r="B414" s="4" t="str">
        <f>VLOOKUP(A414,'f Excel formulas for calculatio'!A:H,2,FALSE)</f>
        <v>Katrina Perez</v>
      </c>
      <c r="C414" s="4">
        <f>VLOOKUP(A414,'f Excel formulas for calculatio'!A:H,3,FALSE)</f>
        <v>63</v>
      </c>
      <c r="D414" s="4" t="str">
        <f>VLOOKUP(A414,'f Excel formulas for calculatio'!A:H,4,FALSE)</f>
        <v>Male</v>
      </c>
      <c r="E414" s="4" t="str">
        <f>VLOOKUP(A414,'f Excel formulas for calculatio'!A:H,5,FALSE)</f>
        <v>West Rebecca</v>
      </c>
      <c r="F414" s="4" t="str">
        <f>VLOOKUP(A414,'f Excel formulas for calculatio'!A:H,6,FALSE)</f>
        <v>Ohio</v>
      </c>
      <c r="G414" s="4" t="str">
        <f>VLOOKUP(A414,'f Excel formulas for calculatio'!A:H,7,FALSE)</f>
        <v>USA</v>
      </c>
      <c r="H414" s="4" t="str">
        <f>VLOOKUP(A414,'f Excel formulas for calculatio'!A:H,8,FALSE)</f>
        <v>Silver</v>
      </c>
    </row>
    <row r="415" spans="1:8" x14ac:dyDescent="0.25">
      <c r="A415" s="9" t="s">
        <v>1293</v>
      </c>
      <c r="B415" s="4" t="str">
        <f>VLOOKUP(A415,'f Excel formulas for calculatio'!A:H,2,FALSE)</f>
        <v>Shane Brown</v>
      </c>
      <c r="C415" s="4">
        <f>VLOOKUP(A415,'f Excel formulas for calculatio'!A:H,3,FALSE)</f>
        <v>23</v>
      </c>
      <c r="D415" s="4" t="str">
        <f>VLOOKUP(A415,'f Excel formulas for calculatio'!A:H,4,FALSE)</f>
        <v>Female</v>
      </c>
      <c r="E415" s="4" t="str">
        <f>VLOOKUP(A415,'f Excel formulas for calculatio'!A:H,5,FALSE)</f>
        <v>East Andrea</v>
      </c>
      <c r="F415" s="4" t="str">
        <f>VLOOKUP(A415,'f Excel formulas for calculatio'!A:H,6,FALSE)</f>
        <v>Michigan</v>
      </c>
      <c r="G415" s="4" t="str">
        <f>VLOOKUP(A415,'f Excel formulas for calculatio'!A:H,7,FALSE)</f>
        <v>USA</v>
      </c>
      <c r="H415" s="4" t="str">
        <f>VLOOKUP(A415,'f Excel formulas for calculatio'!A:H,8,FALSE)</f>
        <v>Gold</v>
      </c>
    </row>
    <row r="416" spans="1:8" x14ac:dyDescent="0.25">
      <c r="A416" s="4" t="s">
        <v>1295</v>
      </c>
      <c r="B416" s="4" t="str">
        <f>VLOOKUP(A416,'f Excel formulas for calculatio'!A:H,2,FALSE)</f>
        <v>Megan Ryan</v>
      </c>
      <c r="C416" s="4">
        <f>VLOOKUP(A416,'f Excel formulas for calculatio'!A:H,3,FALSE)</f>
        <v>59</v>
      </c>
      <c r="D416" s="4" t="str">
        <f>VLOOKUP(A416,'f Excel formulas for calculatio'!A:H,4,FALSE)</f>
        <v>Female</v>
      </c>
      <c r="E416" s="4" t="str">
        <f>VLOOKUP(A416,'f Excel formulas for calculatio'!A:H,5,FALSE)</f>
        <v>Andrewsfurt</v>
      </c>
      <c r="F416" s="4" t="str">
        <f>VLOOKUP(A416,'f Excel formulas for calculatio'!A:H,6,FALSE)</f>
        <v>Idaho</v>
      </c>
      <c r="G416" s="4" t="str">
        <f>VLOOKUP(A416,'f Excel formulas for calculatio'!A:H,7,FALSE)</f>
        <v>USA</v>
      </c>
      <c r="H416" s="4" t="str">
        <f>VLOOKUP(A416,'f Excel formulas for calculatio'!A:H,8,FALSE)</f>
        <v>Bronze</v>
      </c>
    </row>
    <row r="417" spans="1:8" x14ac:dyDescent="0.25">
      <c r="A417" s="9" t="s">
        <v>1298</v>
      </c>
      <c r="B417" s="4" t="str">
        <f>VLOOKUP(A417,'f Excel formulas for calculatio'!A:H,2,FALSE)</f>
        <v>Melissa Valentine</v>
      </c>
      <c r="C417" s="4">
        <f>VLOOKUP(A417,'f Excel formulas for calculatio'!A:H,3,FALSE)</f>
        <v>35</v>
      </c>
      <c r="D417" s="4" t="str">
        <f>VLOOKUP(A417,'f Excel formulas for calculatio'!A:H,4,FALSE)</f>
        <v>Female</v>
      </c>
      <c r="E417" s="4" t="str">
        <f>VLOOKUP(A417,'f Excel formulas for calculatio'!A:H,5,FALSE)</f>
        <v>East Patriciafort</v>
      </c>
      <c r="F417" s="4" t="str">
        <f>VLOOKUP(A417,'f Excel formulas for calculatio'!A:H,6,FALSE)</f>
        <v>Missouri</v>
      </c>
      <c r="G417" s="4" t="str">
        <f>VLOOKUP(A417,'f Excel formulas for calculatio'!A:H,7,FALSE)</f>
        <v>USA</v>
      </c>
      <c r="H417" s="4" t="str">
        <f>VLOOKUP(A417,'f Excel formulas for calculatio'!A:H,8,FALSE)</f>
        <v>Gold</v>
      </c>
    </row>
    <row r="418" spans="1:8" x14ac:dyDescent="0.25">
      <c r="A418" s="4" t="s">
        <v>1301</v>
      </c>
      <c r="B418" s="4" t="str">
        <f>VLOOKUP(A418,'f Excel formulas for calculatio'!A:H,2,FALSE)</f>
        <v>Tyler Cook</v>
      </c>
      <c r="C418" s="4">
        <f>VLOOKUP(A418,'f Excel formulas for calculatio'!A:H,3,FALSE)</f>
        <v>26</v>
      </c>
      <c r="D418" s="4" t="str">
        <f>VLOOKUP(A418,'f Excel formulas for calculatio'!A:H,4,FALSE)</f>
        <v>Female</v>
      </c>
      <c r="E418" s="4" t="str">
        <f>VLOOKUP(A418,'f Excel formulas for calculatio'!A:H,5,FALSE)</f>
        <v>Kramerview</v>
      </c>
      <c r="F418" s="4" t="str">
        <f>VLOOKUP(A418,'f Excel formulas for calculatio'!A:H,6,FALSE)</f>
        <v>Alaska</v>
      </c>
      <c r="G418" s="4" t="str">
        <f>VLOOKUP(A418,'f Excel formulas for calculatio'!A:H,7,FALSE)</f>
        <v>USA</v>
      </c>
      <c r="H418" s="4" t="str">
        <f>VLOOKUP(A418,'f Excel formulas for calculatio'!A:H,8,FALSE)</f>
        <v>Silver</v>
      </c>
    </row>
    <row r="419" spans="1:8" x14ac:dyDescent="0.25">
      <c r="A419" s="9" t="s">
        <v>1304</v>
      </c>
      <c r="B419" s="4" t="str">
        <f>VLOOKUP(A419,'f Excel formulas for calculatio'!A:H,2,FALSE)</f>
        <v>Jennifer Myers</v>
      </c>
      <c r="C419" s="4">
        <f>VLOOKUP(A419,'f Excel formulas for calculatio'!A:H,3,FALSE)</f>
        <v>46</v>
      </c>
      <c r="D419" s="4" t="str">
        <f>VLOOKUP(A419,'f Excel formulas for calculatio'!A:H,4,FALSE)</f>
        <v>Male</v>
      </c>
      <c r="E419" s="4" t="str">
        <f>VLOOKUP(A419,'f Excel formulas for calculatio'!A:H,5,FALSE)</f>
        <v>Marthaborough</v>
      </c>
      <c r="F419" s="4" t="str">
        <f>VLOOKUP(A419,'f Excel formulas for calculatio'!A:H,6,FALSE)</f>
        <v>Wisconsin</v>
      </c>
      <c r="G419" s="4" t="str">
        <f>VLOOKUP(A419,'f Excel formulas for calculatio'!A:H,7,FALSE)</f>
        <v>USA</v>
      </c>
      <c r="H419" s="4" t="str">
        <f>VLOOKUP(A419,'f Excel formulas for calculatio'!A:H,8,FALSE)</f>
        <v>Platinum</v>
      </c>
    </row>
    <row r="420" spans="1:8" x14ac:dyDescent="0.25">
      <c r="A420" s="4" t="s">
        <v>1307</v>
      </c>
      <c r="B420" s="4" t="str">
        <f>VLOOKUP(A420,'f Excel formulas for calculatio'!A:H,2,FALSE)</f>
        <v>Karen King</v>
      </c>
      <c r="C420" s="4">
        <f>VLOOKUP(A420,'f Excel formulas for calculatio'!A:H,3,FALSE)</f>
        <v>64</v>
      </c>
      <c r="D420" s="4" t="str">
        <f>VLOOKUP(A420,'f Excel formulas for calculatio'!A:H,4,FALSE)</f>
        <v>Female</v>
      </c>
      <c r="E420" s="4" t="str">
        <f>VLOOKUP(A420,'f Excel formulas for calculatio'!A:H,5,FALSE)</f>
        <v>Kimburgh</v>
      </c>
      <c r="F420" s="4" t="str">
        <f>VLOOKUP(A420,'f Excel formulas for calculatio'!A:H,6,FALSE)</f>
        <v>North Carolina</v>
      </c>
      <c r="G420" s="4" t="str">
        <f>VLOOKUP(A420,'f Excel formulas for calculatio'!A:H,7,FALSE)</f>
        <v>USA</v>
      </c>
      <c r="H420" s="4" t="str">
        <f>VLOOKUP(A420,'f Excel formulas for calculatio'!A:H,8,FALSE)</f>
        <v>Bronze</v>
      </c>
    </row>
    <row r="421" spans="1:8" x14ac:dyDescent="0.25">
      <c r="A421" s="9" t="s">
        <v>1310</v>
      </c>
      <c r="B421" s="4" t="str">
        <f>VLOOKUP(A421,'f Excel formulas for calculatio'!A:H,2,FALSE)</f>
        <v>Luke Parks</v>
      </c>
      <c r="C421" s="4">
        <f>VLOOKUP(A421,'f Excel formulas for calculatio'!A:H,3,FALSE)</f>
        <v>60</v>
      </c>
      <c r="D421" s="4" t="str">
        <f>VLOOKUP(A421,'f Excel formulas for calculatio'!A:H,4,FALSE)</f>
        <v>Female</v>
      </c>
      <c r="E421" s="4" t="str">
        <f>VLOOKUP(A421,'f Excel formulas for calculatio'!A:H,5,FALSE)</f>
        <v>West Mario</v>
      </c>
      <c r="F421" s="4" t="str">
        <f>VLOOKUP(A421,'f Excel formulas for calculatio'!A:H,6,FALSE)</f>
        <v>New Hampshire</v>
      </c>
      <c r="G421" s="4" t="str">
        <f>VLOOKUP(A421,'f Excel formulas for calculatio'!A:H,7,FALSE)</f>
        <v>USA</v>
      </c>
      <c r="H421" s="4" t="str">
        <f>VLOOKUP(A421,'f Excel formulas for calculatio'!A:H,8,FALSE)</f>
        <v>Silver</v>
      </c>
    </row>
    <row r="422" spans="1:8" x14ac:dyDescent="0.25">
      <c r="A422" s="4" t="s">
        <v>1313</v>
      </c>
      <c r="B422" s="4" t="str">
        <f>VLOOKUP(A422,'f Excel formulas for calculatio'!A:H,2,FALSE)</f>
        <v>Monica Miller</v>
      </c>
      <c r="C422" s="4">
        <f>VLOOKUP(A422,'f Excel formulas for calculatio'!A:H,3,FALSE)</f>
        <v>33</v>
      </c>
      <c r="D422" s="4" t="str">
        <f>VLOOKUP(A422,'f Excel formulas for calculatio'!A:H,4,FALSE)</f>
        <v>Male</v>
      </c>
      <c r="E422" s="4" t="str">
        <f>VLOOKUP(A422,'f Excel formulas for calculatio'!A:H,5,FALSE)</f>
        <v>Lake David</v>
      </c>
      <c r="F422" s="4" t="str">
        <f>VLOOKUP(A422,'f Excel formulas for calculatio'!A:H,6,FALSE)</f>
        <v>Mississippi</v>
      </c>
      <c r="G422" s="4" t="str">
        <f>VLOOKUP(A422,'f Excel formulas for calculatio'!A:H,7,FALSE)</f>
        <v>USA</v>
      </c>
      <c r="H422" s="4" t="str">
        <f>VLOOKUP(A422,'f Excel formulas for calculatio'!A:H,8,FALSE)</f>
        <v>Gold</v>
      </c>
    </row>
    <row r="423" spans="1:8" x14ac:dyDescent="0.25">
      <c r="A423" s="9" t="s">
        <v>1316</v>
      </c>
      <c r="B423" s="4" t="str">
        <f>VLOOKUP(A423,'f Excel formulas for calculatio'!A:H,2,FALSE)</f>
        <v>Dr. Tamara White MD</v>
      </c>
      <c r="C423" s="4">
        <f>VLOOKUP(A423,'f Excel formulas for calculatio'!A:H,3,FALSE)</f>
        <v>60</v>
      </c>
      <c r="D423" s="4" t="str">
        <f>VLOOKUP(A423,'f Excel formulas for calculatio'!A:H,4,FALSE)</f>
        <v>Male</v>
      </c>
      <c r="E423" s="4" t="str">
        <f>VLOOKUP(A423,'f Excel formulas for calculatio'!A:H,5,FALSE)</f>
        <v>New Benjamin</v>
      </c>
      <c r="F423" s="4" t="str">
        <f>VLOOKUP(A423,'f Excel formulas for calculatio'!A:H,6,FALSE)</f>
        <v>North Carolina</v>
      </c>
      <c r="G423" s="4" t="str">
        <f>VLOOKUP(A423,'f Excel formulas for calculatio'!A:H,7,FALSE)</f>
        <v>USA</v>
      </c>
      <c r="H423" s="4" t="str">
        <f>VLOOKUP(A423,'f Excel formulas for calculatio'!A:H,8,FALSE)</f>
        <v>Bronze</v>
      </c>
    </row>
    <row r="424" spans="1:8" x14ac:dyDescent="0.25">
      <c r="A424" s="4" t="s">
        <v>1319</v>
      </c>
      <c r="B424" s="4" t="str">
        <f>VLOOKUP(A424,'f Excel formulas for calculatio'!A:H,2,FALSE)</f>
        <v>Holly Robinson</v>
      </c>
      <c r="C424" s="4">
        <f>VLOOKUP(A424,'f Excel formulas for calculatio'!A:H,3,FALSE)</f>
        <v>45</v>
      </c>
      <c r="D424" s="4" t="str">
        <f>VLOOKUP(A424,'f Excel formulas for calculatio'!A:H,4,FALSE)</f>
        <v>Female</v>
      </c>
      <c r="E424" s="4" t="str">
        <f>VLOOKUP(A424,'f Excel formulas for calculatio'!A:H,5,FALSE)</f>
        <v>East Amy</v>
      </c>
      <c r="F424" s="4" t="str">
        <f>VLOOKUP(A424,'f Excel formulas for calculatio'!A:H,6,FALSE)</f>
        <v>Washington</v>
      </c>
      <c r="G424" s="4" t="str">
        <f>VLOOKUP(A424,'f Excel formulas for calculatio'!A:H,7,FALSE)</f>
        <v>USA</v>
      </c>
      <c r="H424" s="4" t="str">
        <f>VLOOKUP(A424,'f Excel formulas for calculatio'!A:H,8,FALSE)</f>
        <v>Platinum</v>
      </c>
    </row>
    <row r="425" spans="1:8" x14ac:dyDescent="0.25">
      <c r="A425" s="9" t="s">
        <v>1322</v>
      </c>
      <c r="B425" s="4" t="str">
        <f>VLOOKUP(A425,'f Excel formulas for calculatio'!A:H,2,FALSE)</f>
        <v>Brittany Edwards DDS</v>
      </c>
      <c r="C425" s="4">
        <f>VLOOKUP(A425,'f Excel formulas for calculatio'!A:H,3,FALSE)</f>
        <v>42</v>
      </c>
      <c r="D425" s="4" t="str">
        <f>VLOOKUP(A425,'f Excel formulas for calculatio'!A:H,4,FALSE)</f>
        <v>Female</v>
      </c>
      <c r="E425" s="4" t="str">
        <f>VLOOKUP(A425,'f Excel formulas for calculatio'!A:H,5,FALSE)</f>
        <v>Aliciahaven</v>
      </c>
      <c r="F425" s="4" t="str">
        <f>VLOOKUP(A425,'f Excel formulas for calculatio'!A:H,6,FALSE)</f>
        <v>Kansas</v>
      </c>
      <c r="G425" s="4" t="str">
        <f>VLOOKUP(A425,'f Excel formulas for calculatio'!A:H,7,FALSE)</f>
        <v>USA</v>
      </c>
      <c r="H425" s="4" t="str">
        <f>VLOOKUP(A425,'f Excel formulas for calculatio'!A:H,8,FALSE)</f>
        <v>Platinum</v>
      </c>
    </row>
    <row r="426" spans="1:8" x14ac:dyDescent="0.25">
      <c r="A426" s="4" t="s">
        <v>1325</v>
      </c>
      <c r="B426" s="4" t="str">
        <f>VLOOKUP(A426,'f Excel formulas for calculatio'!A:H,2,FALSE)</f>
        <v>Rebecca Baker</v>
      </c>
      <c r="C426" s="4">
        <f>VLOOKUP(A426,'f Excel formulas for calculatio'!A:H,3,FALSE)</f>
        <v>35</v>
      </c>
      <c r="D426" s="4" t="str">
        <f>VLOOKUP(A426,'f Excel formulas for calculatio'!A:H,4,FALSE)</f>
        <v>Male</v>
      </c>
      <c r="E426" s="4" t="str">
        <f>VLOOKUP(A426,'f Excel formulas for calculatio'!A:H,5,FALSE)</f>
        <v>New Katherine</v>
      </c>
      <c r="F426" s="4" t="str">
        <f>VLOOKUP(A426,'f Excel formulas for calculatio'!A:H,6,FALSE)</f>
        <v>Kansas</v>
      </c>
      <c r="G426" s="4" t="str">
        <f>VLOOKUP(A426,'f Excel formulas for calculatio'!A:H,7,FALSE)</f>
        <v>USA</v>
      </c>
      <c r="H426" s="4" t="str">
        <f>VLOOKUP(A426,'f Excel formulas for calculatio'!A:H,8,FALSE)</f>
        <v>Silver</v>
      </c>
    </row>
    <row r="427" spans="1:8" x14ac:dyDescent="0.25">
      <c r="A427" s="9" t="s">
        <v>1328</v>
      </c>
      <c r="B427" s="4" t="str">
        <f>VLOOKUP(A427,'f Excel formulas for calculatio'!A:H,2,FALSE)</f>
        <v>Edwin Barnes</v>
      </c>
      <c r="C427" s="4">
        <f>VLOOKUP(A427,'f Excel formulas for calculatio'!A:H,3,FALSE)</f>
        <v>53</v>
      </c>
      <c r="D427" s="4" t="str">
        <f>VLOOKUP(A427,'f Excel formulas for calculatio'!A:H,4,FALSE)</f>
        <v>Male</v>
      </c>
      <c r="E427" s="4" t="str">
        <f>VLOOKUP(A427,'f Excel formulas for calculatio'!A:H,5,FALSE)</f>
        <v>Lake Alexandra</v>
      </c>
      <c r="F427" s="4" t="str">
        <f>VLOOKUP(A427,'f Excel formulas for calculatio'!A:H,6,FALSE)</f>
        <v>North Carolina</v>
      </c>
      <c r="G427" s="4" t="str">
        <f>VLOOKUP(A427,'f Excel formulas for calculatio'!A:H,7,FALSE)</f>
        <v>USA</v>
      </c>
      <c r="H427" s="4" t="str">
        <f>VLOOKUP(A427,'f Excel formulas for calculatio'!A:H,8,FALSE)</f>
        <v>Bronze</v>
      </c>
    </row>
    <row r="428" spans="1:8" x14ac:dyDescent="0.25">
      <c r="A428" s="4" t="s">
        <v>1331</v>
      </c>
      <c r="B428" s="4" t="str">
        <f>VLOOKUP(A428,'f Excel formulas for calculatio'!A:H,2,FALSE)</f>
        <v>Bryce Hawkins</v>
      </c>
      <c r="C428" s="4">
        <f>VLOOKUP(A428,'f Excel formulas for calculatio'!A:H,3,FALSE)</f>
        <v>40</v>
      </c>
      <c r="D428" s="4" t="str">
        <f>VLOOKUP(A428,'f Excel formulas for calculatio'!A:H,4,FALSE)</f>
        <v>Male</v>
      </c>
      <c r="E428" s="4" t="str">
        <f>VLOOKUP(A428,'f Excel formulas for calculatio'!A:H,5,FALSE)</f>
        <v>Lake Monique</v>
      </c>
      <c r="F428" s="4" t="str">
        <f>VLOOKUP(A428,'f Excel formulas for calculatio'!A:H,6,FALSE)</f>
        <v>Utah</v>
      </c>
      <c r="G428" s="4" t="str">
        <f>VLOOKUP(A428,'f Excel formulas for calculatio'!A:H,7,FALSE)</f>
        <v>USA</v>
      </c>
      <c r="H428" s="4" t="str">
        <f>VLOOKUP(A428,'f Excel formulas for calculatio'!A:H,8,FALSE)</f>
        <v>Bronze</v>
      </c>
    </row>
    <row r="429" spans="1:8" x14ac:dyDescent="0.25">
      <c r="A429" s="9" t="s">
        <v>1334</v>
      </c>
      <c r="B429" s="4" t="str">
        <f>VLOOKUP(A429,'f Excel formulas for calculatio'!A:H,2,FALSE)</f>
        <v>Jeanette Nichols</v>
      </c>
      <c r="C429" s="4">
        <f>VLOOKUP(A429,'f Excel formulas for calculatio'!A:H,3,FALSE)</f>
        <v>28</v>
      </c>
      <c r="D429" s="4" t="str">
        <f>VLOOKUP(A429,'f Excel formulas for calculatio'!A:H,4,FALSE)</f>
        <v>Male</v>
      </c>
      <c r="E429" s="4" t="str">
        <f>VLOOKUP(A429,'f Excel formulas for calculatio'!A:H,5,FALSE)</f>
        <v>Aguilarland</v>
      </c>
      <c r="F429" s="4" t="str">
        <f>VLOOKUP(A429,'f Excel formulas for calculatio'!A:H,6,FALSE)</f>
        <v>North Carolina</v>
      </c>
      <c r="G429" s="4" t="str">
        <f>VLOOKUP(A429,'f Excel formulas for calculatio'!A:H,7,FALSE)</f>
        <v>USA</v>
      </c>
      <c r="H429" s="4" t="str">
        <f>VLOOKUP(A429,'f Excel formulas for calculatio'!A:H,8,FALSE)</f>
        <v>Platinum</v>
      </c>
    </row>
    <row r="430" spans="1:8" x14ac:dyDescent="0.25">
      <c r="A430" s="4" t="s">
        <v>1337</v>
      </c>
      <c r="B430" s="4" t="str">
        <f>VLOOKUP(A430,'f Excel formulas for calculatio'!A:H,2,FALSE)</f>
        <v>Jose Stewart</v>
      </c>
      <c r="C430" s="4">
        <f>VLOOKUP(A430,'f Excel formulas for calculatio'!A:H,3,FALSE)</f>
        <v>18</v>
      </c>
      <c r="D430" s="4" t="str">
        <f>VLOOKUP(A430,'f Excel formulas for calculatio'!A:H,4,FALSE)</f>
        <v>Female</v>
      </c>
      <c r="E430" s="4" t="str">
        <f>VLOOKUP(A430,'f Excel formulas for calculatio'!A:H,5,FALSE)</f>
        <v>South Robert</v>
      </c>
      <c r="F430" s="4" t="str">
        <f>VLOOKUP(A430,'f Excel formulas for calculatio'!A:H,6,FALSE)</f>
        <v>Maine</v>
      </c>
      <c r="G430" s="4" t="str">
        <f>VLOOKUP(A430,'f Excel formulas for calculatio'!A:H,7,FALSE)</f>
        <v>USA</v>
      </c>
      <c r="H430" s="4" t="str">
        <f>VLOOKUP(A430,'f Excel formulas for calculatio'!A:H,8,FALSE)</f>
        <v>Gold</v>
      </c>
    </row>
    <row r="431" spans="1:8" x14ac:dyDescent="0.25">
      <c r="A431" s="9" t="s">
        <v>1340</v>
      </c>
      <c r="B431" s="4" t="str">
        <f>VLOOKUP(A431,'f Excel formulas for calculatio'!A:H,2,FALSE)</f>
        <v>Samuel Mullins</v>
      </c>
      <c r="C431" s="4">
        <f>VLOOKUP(A431,'f Excel formulas for calculatio'!A:H,3,FALSE)</f>
        <v>27</v>
      </c>
      <c r="D431" s="4" t="str">
        <f>VLOOKUP(A431,'f Excel formulas for calculatio'!A:H,4,FALSE)</f>
        <v>Female</v>
      </c>
      <c r="E431" s="4" t="str">
        <f>VLOOKUP(A431,'f Excel formulas for calculatio'!A:H,5,FALSE)</f>
        <v>Hartmouth</v>
      </c>
      <c r="F431" s="4" t="str">
        <f>VLOOKUP(A431,'f Excel formulas for calculatio'!A:H,6,FALSE)</f>
        <v>Louisiana</v>
      </c>
      <c r="G431" s="4" t="str">
        <f>VLOOKUP(A431,'f Excel formulas for calculatio'!A:H,7,FALSE)</f>
        <v>USA</v>
      </c>
      <c r="H431" s="4" t="str">
        <f>VLOOKUP(A431,'f Excel formulas for calculatio'!A:H,8,FALSE)</f>
        <v>Bronze</v>
      </c>
    </row>
    <row r="432" spans="1:8" x14ac:dyDescent="0.25">
      <c r="A432" s="4" t="s">
        <v>1343</v>
      </c>
      <c r="B432" s="4" t="str">
        <f>VLOOKUP(A432,'f Excel formulas for calculatio'!A:H,2,FALSE)</f>
        <v>Sean Vang</v>
      </c>
      <c r="C432" s="4">
        <f>VLOOKUP(A432,'f Excel formulas for calculatio'!A:H,3,FALSE)</f>
        <v>43</v>
      </c>
      <c r="D432" s="4" t="str">
        <f>VLOOKUP(A432,'f Excel formulas for calculatio'!A:H,4,FALSE)</f>
        <v>Male</v>
      </c>
      <c r="E432" s="4" t="str">
        <f>VLOOKUP(A432,'f Excel formulas for calculatio'!A:H,5,FALSE)</f>
        <v>Davidchester</v>
      </c>
      <c r="F432" s="4" t="str">
        <f>VLOOKUP(A432,'f Excel formulas for calculatio'!A:H,6,FALSE)</f>
        <v>Idaho</v>
      </c>
      <c r="G432" s="4" t="str">
        <f>VLOOKUP(A432,'f Excel formulas for calculatio'!A:H,7,FALSE)</f>
        <v>USA</v>
      </c>
      <c r="H432" s="4" t="str">
        <f>VLOOKUP(A432,'f Excel formulas for calculatio'!A:H,8,FALSE)</f>
        <v>Platinum</v>
      </c>
    </row>
    <row r="433" spans="1:8" x14ac:dyDescent="0.25">
      <c r="A433" s="9" t="s">
        <v>1346</v>
      </c>
      <c r="B433" s="4" t="str">
        <f>VLOOKUP(A433,'f Excel formulas for calculatio'!A:H,2,FALSE)</f>
        <v>Kimberly Roberts</v>
      </c>
      <c r="C433" s="4">
        <f>VLOOKUP(A433,'f Excel formulas for calculatio'!A:H,3,FALSE)</f>
        <v>36</v>
      </c>
      <c r="D433" s="4" t="str">
        <f>VLOOKUP(A433,'f Excel formulas for calculatio'!A:H,4,FALSE)</f>
        <v>Female</v>
      </c>
      <c r="E433" s="4" t="str">
        <f>VLOOKUP(A433,'f Excel formulas for calculatio'!A:H,5,FALSE)</f>
        <v>Josephchester</v>
      </c>
      <c r="F433" s="4" t="str">
        <f>VLOOKUP(A433,'f Excel formulas for calculatio'!A:H,6,FALSE)</f>
        <v>New Jersey</v>
      </c>
      <c r="G433" s="4" t="str">
        <f>VLOOKUP(A433,'f Excel formulas for calculatio'!A:H,7,FALSE)</f>
        <v>USA</v>
      </c>
      <c r="H433" s="4" t="str">
        <f>VLOOKUP(A433,'f Excel formulas for calculatio'!A:H,8,FALSE)</f>
        <v>Gold</v>
      </c>
    </row>
    <row r="434" spans="1:8" x14ac:dyDescent="0.25">
      <c r="A434" s="4" t="s">
        <v>1349</v>
      </c>
      <c r="B434" s="4" t="str">
        <f>VLOOKUP(A434,'f Excel formulas for calculatio'!A:H,2,FALSE)</f>
        <v>John Smith</v>
      </c>
      <c r="C434" s="4">
        <f>VLOOKUP(A434,'f Excel formulas for calculatio'!A:H,3,FALSE)</f>
        <v>27</v>
      </c>
      <c r="D434" s="4" t="str">
        <f>VLOOKUP(A434,'f Excel formulas for calculatio'!A:H,4,FALSE)</f>
        <v>Male</v>
      </c>
      <c r="E434" s="4" t="str">
        <f>VLOOKUP(A434,'f Excel formulas for calculatio'!A:H,5,FALSE)</f>
        <v>South Andrewport</v>
      </c>
      <c r="F434" s="4" t="str">
        <f>VLOOKUP(A434,'f Excel formulas for calculatio'!A:H,6,FALSE)</f>
        <v>California</v>
      </c>
      <c r="G434" s="4" t="str">
        <f>VLOOKUP(A434,'f Excel formulas for calculatio'!A:H,7,FALSE)</f>
        <v>USA</v>
      </c>
      <c r="H434" s="4" t="str">
        <f>VLOOKUP(A434,'f Excel formulas for calculatio'!A:H,8,FALSE)</f>
        <v>Platinum</v>
      </c>
    </row>
    <row r="435" spans="1:8" x14ac:dyDescent="0.25">
      <c r="A435" s="9" t="s">
        <v>1352</v>
      </c>
      <c r="B435" s="4" t="str">
        <f>VLOOKUP(A435,'f Excel formulas for calculatio'!A:H,2,FALSE)</f>
        <v>Summer Weiss</v>
      </c>
      <c r="C435" s="4">
        <f>VLOOKUP(A435,'f Excel formulas for calculatio'!A:H,3,FALSE)</f>
        <v>37</v>
      </c>
      <c r="D435" s="4" t="str">
        <f>VLOOKUP(A435,'f Excel formulas for calculatio'!A:H,4,FALSE)</f>
        <v>Male</v>
      </c>
      <c r="E435" s="4" t="str">
        <f>VLOOKUP(A435,'f Excel formulas for calculatio'!A:H,5,FALSE)</f>
        <v>Phyllisport</v>
      </c>
      <c r="F435" s="4" t="str">
        <f>VLOOKUP(A435,'f Excel formulas for calculatio'!A:H,6,FALSE)</f>
        <v>New Jersey</v>
      </c>
      <c r="G435" s="4" t="str">
        <f>VLOOKUP(A435,'f Excel formulas for calculatio'!A:H,7,FALSE)</f>
        <v>USA</v>
      </c>
      <c r="H435" s="4" t="str">
        <f>VLOOKUP(A435,'f Excel formulas for calculatio'!A:H,8,FALSE)</f>
        <v>Bronze</v>
      </c>
    </row>
    <row r="436" spans="1:8" x14ac:dyDescent="0.25">
      <c r="A436" s="4" t="s">
        <v>1355</v>
      </c>
      <c r="B436" s="4" t="str">
        <f>VLOOKUP(A436,'f Excel formulas for calculatio'!A:H,2,FALSE)</f>
        <v>Thomas Moore</v>
      </c>
      <c r="C436" s="4">
        <f>VLOOKUP(A436,'f Excel formulas for calculatio'!A:H,3,FALSE)</f>
        <v>51</v>
      </c>
      <c r="D436" s="4" t="str">
        <f>VLOOKUP(A436,'f Excel formulas for calculatio'!A:H,4,FALSE)</f>
        <v>Female</v>
      </c>
      <c r="E436" s="4" t="str">
        <f>VLOOKUP(A436,'f Excel formulas for calculatio'!A:H,5,FALSE)</f>
        <v>Williamsberg</v>
      </c>
      <c r="F436" s="4" t="str">
        <f>VLOOKUP(A436,'f Excel formulas for calculatio'!A:H,6,FALSE)</f>
        <v>New York</v>
      </c>
      <c r="G436" s="4" t="str">
        <f>VLOOKUP(A436,'f Excel formulas for calculatio'!A:H,7,FALSE)</f>
        <v>USA</v>
      </c>
      <c r="H436" s="4" t="str">
        <f>VLOOKUP(A436,'f Excel formulas for calculatio'!A:H,8,FALSE)</f>
        <v>Silver</v>
      </c>
    </row>
    <row r="437" spans="1:8" x14ac:dyDescent="0.25">
      <c r="A437" s="9" t="s">
        <v>1358</v>
      </c>
      <c r="B437" s="4" t="str">
        <f>VLOOKUP(A437,'f Excel formulas for calculatio'!A:H,2,FALSE)</f>
        <v>Monique Castro</v>
      </c>
      <c r="C437" s="4">
        <f>VLOOKUP(A437,'f Excel formulas for calculatio'!A:H,3,FALSE)</f>
        <v>48</v>
      </c>
      <c r="D437" s="4" t="str">
        <f>VLOOKUP(A437,'f Excel formulas for calculatio'!A:H,4,FALSE)</f>
        <v>Female</v>
      </c>
      <c r="E437" s="4" t="str">
        <f>VLOOKUP(A437,'f Excel formulas for calculatio'!A:H,5,FALSE)</f>
        <v>New Sarah</v>
      </c>
      <c r="F437" s="4" t="str">
        <f>VLOOKUP(A437,'f Excel formulas for calculatio'!A:H,6,FALSE)</f>
        <v>Indiana</v>
      </c>
      <c r="G437" s="4" t="str">
        <f>VLOOKUP(A437,'f Excel formulas for calculatio'!A:H,7,FALSE)</f>
        <v>USA</v>
      </c>
      <c r="H437" s="4" t="str">
        <f>VLOOKUP(A437,'f Excel formulas for calculatio'!A:H,8,FALSE)</f>
        <v>Gold</v>
      </c>
    </row>
    <row r="438" spans="1:8" x14ac:dyDescent="0.25">
      <c r="A438" s="4" t="s">
        <v>1361</v>
      </c>
      <c r="B438" s="4" t="str">
        <f>VLOOKUP(A438,'f Excel formulas for calculatio'!A:H,2,FALSE)</f>
        <v>Lindsay Beasley</v>
      </c>
      <c r="C438" s="4">
        <f>VLOOKUP(A438,'f Excel formulas for calculatio'!A:H,3,FALSE)</f>
        <v>37</v>
      </c>
      <c r="D438" s="4" t="str">
        <f>VLOOKUP(A438,'f Excel formulas for calculatio'!A:H,4,FALSE)</f>
        <v>Female</v>
      </c>
      <c r="E438" s="4" t="str">
        <f>VLOOKUP(A438,'f Excel formulas for calculatio'!A:H,5,FALSE)</f>
        <v>Wesleyhaven</v>
      </c>
      <c r="F438" s="4" t="str">
        <f>VLOOKUP(A438,'f Excel formulas for calculatio'!A:H,6,FALSE)</f>
        <v>Idaho</v>
      </c>
      <c r="G438" s="4" t="str">
        <f>VLOOKUP(A438,'f Excel formulas for calculatio'!A:H,7,FALSE)</f>
        <v>USA</v>
      </c>
      <c r="H438" s="4" t="str">
        <f>VLOOKUP(A438,'f Excel formulas for calculatio'!A:H,8,FALSE)</f>
        <v>Silver</v>
      </c>
    </row>
    <row r="439" spans="1:8" x14ac:dyDescent="0.25">
      <c r="A439" s="9" t="s">
        <v>1364</v>
      </c>
      <c r="B439" s="4" t="str">
        <f>VLOOKUP(A439,'f Excel formulas for calculatio'!A:H,2,FALSE)</f>
        <v>Sharon Simpson</v>
      </c>
      <c r="C439" s="4">
        <f>VLOOKUP(A439,'f Excel formulas for calculatio'!A:H,3,FALSE)</f>
        <v>61</v>
      </c>
      <c r="D439" s="4" t="str">
        <f>VLOOKUP(A439,'f Excel formulas for calculatio'!A:H,4,FALSE)</f>
        <v>Male</v>
      </c>
      <c r="E439" s="4" t="str">
        <f>VLOOKUP(A439,'f Excel formulas for calculatio'!A:H,5,FALSE)</f>
        <v>South Michellebury</v>
      </c>
      <c r="F439" s="4" t="str">
        <f>VLOOKUP(A439,'f Excel formulas for calculatio'!A:H,6,FALSE)</f>
        <v>South Dakota</v>
      </c>
      <c r="G439" s="4" t="str">
        <f>VLOOKUP(A439,'f Excel formulas for calculatio'!A:H,7,FALSE)</f>
        <v>USA</v>
      </c>
      <c r="H439" s="4" t="str">
        <f>VLOOKUP(A439,'f Excel formulas for calculatio'!A:H,8,FALSE)</f>
        <v>Gold</v>
      </c>
    </row>
    <row r="440" spans="1:8" x14ac:dyDescent="0.25">
      <c r="A440" s="4" t="s">
        <v>1367</v>
      </c>
      <c r="B440" s="4" t="str">
        <f>VLOOKUP(A440,'f Excel formulas for calculatio'!A:H,2,FALSE)</f>
        <v>Melinda Rivera</v>
      </c>
      <c r="C440" s="4">
        <f>VLOOKUP(A440,'f Excel formulas for calculatio'!A:H,3,FALSE)</f>
        <v>47</v>
      </c>
      <c r="D440" s="4" t="str">
        <f>VLOOKUP(A440,'f Excel formulas for calculatio'!A:H,4,FALSE)</f>
        <v>Female</v>
      </c>
      <c r="E440" s="4" t="str">
        <f>VLOOKUP(A440,'f Excel formulas for calculatio'!A:H,5,FALSE)</f>
        <v>East Davidmouth</v>
      </c>
      <c r="F440" s="4" t="str">
        <f>VLOOKUP(A440,'f Excel formulas for calculatio'!A:H,6,FALSE)</f>
        <v>New Hampshire</v>
      </c>
      <c r="G440" s="4" t="str">
        <f>VLOOKUP(A440,'f Excel formulas for calculatio'!A:H,7,FALSE)</f>
        <v>USA</v>
      </c>
      <c r="H440" s="4" t="str">
        <f>VLOOKUP(A440,'f Excel formulas for calculatio'!A:H,8,FALSE)</f>
        <v>Platinum</v>
      </c>
    </row>
    <row r="441" spans="1:8" x14ac:dyDescent="0.25">
      <c r="A441" s="9" t="s">
        <v>1369</v>
      </c>
      <c r="B441" s="4" t="str">
        <f>VLOOKUP(A441,'f Excel formulas for calculatio'!A:H,2,FALSE)</f>
        <v>Monica Flynn</v>
      </c>
      <c r="C441" s="4">
        <f>VLOOKUP(A441,'f Excel formulas for calculatio'!A:H,3,FALSE)</f>
        <v>59</v>
      </c>
      <c r="D441" s="4" t="str">
        <f>VLOOKUP(A441,'f Excel formulas for calculatio'!A:H,4,FALSE)</f>
        <v>Female</v>
      </c>
      <c r="E441" s="4" t="str">
        <f>VLOOKUP(A441,'f Excel formulas for calculatio'!A:H,5,FALSE)</f>
        <v>Amberburgh</v>
      </c>
      <c r="F441" s="4" t="str">
        <f>VLOOKUP(A441,'f Excel formulas for calculatio'!A:H,6,FALSE)</f>
        <v>Tennessee</v>
      </c>
      <c r="G441" s="4" t="str">
        <f>VLOOKUP(A441,'f Excel formulas for calculatio'!A:H,7,FALSE)</f>
        <v>USA</v>
      </c>
      <c r="H441" s="4" t="str">
        <f>VLOOKUP(A441,'f Excel formulas for calculatio'!A:H,8,FALSE)</f>
        <v>Platinum</v>
      </c>
    </row>
    <row r="442" spans="1:8" x14ac:dyDescent="0.25">
      <c r="A442" s="4" t="s">
        <v>1372</v>
      </c>
      <c r="B442" s="4" t="str">
        <f>VLOOKUP(A442,'f Excel formulas for calculatio'!A:H,2,FALSE)</f>
        <v>John Compton</v>
      </c>
      <c r="C442" s="4">
        <f>VLOOKUP(A442,'f Excel formulas for calculatio'!A:H,3,FALSE)</f>
        <v>53</v>
      </c>
      <c r="D442" s="4" t="str">
        <f>VLOOKUP(A442,'f Excel formulas for calculatio'!A:H,4,FALSE)</f>
        <v>Male</v>
      </c>
      <c r="E442" s="4" t="str">
        <f>VLOOKUP(A442,'f Excel formulas for calculatio'!A:H,5,FALSE)</f>
        <v>North Daniel</v>
      </c>
      <c r="F442" s="4" t="str">
        <f>VLOOKUP(A442,'f Excel formulas for calculatio'!A:H,6,FALSE)</f>
        <v>Michigan</v>
      </c>
      <c r="G442" s="4" t="str">
        <f>VLOOKUP(A442,'f Excel formulas for calculatio'!A:H,7,FALSE)</f>
        <v>USA</v>
      </c>
      <c r="H442" s="4" t="str">
        <f>VLOOKUP(A442,'f Excel formulas for calculatio'!A:H,8,FALSE)</f>
        <v>Silver</v>
      </c>
    </row>
    <row r="443" spans="1:8" x14ac:dyDescent="0.25">
      <c r="A443" s="9" t="s">
        <v>1374</v>
      </c>
      <c r="B443" s="4" t="str">
        <f>VLOOKUP(A443,'f Excel formulas for calculatio'!A:H,2,FALSE)</f>
        <v>Tammy Trevino</v>
      </c>
      <c r="C443" s="4">
        <f>VLOOKUP(A443,'f Excel formulas for calculatio'!A:H,3,FALSE)</f>
        <v>60</v>
      </c>
      <c r="D443" s="4" t="str">
        <f>VLOOKUP(A443,'f Excel formulas for calculatio'!A:H,4,FALSE)</f>
        <v>Male</v>
      </c>
      <c r="E443" s="4" t="str">
        <f>VLOOKUP(A443,'f Excel formulas for calculatio'!A:H,5,FALSE)</f>
        <v>Justinberg</v>
      </c>
      <c r="F443" s="4" t="str">
        <f>VLOOKUP(A443,'f Excel formulas for calculatio'!A:H,6,FALSE)</f>
        <v>North Dakota</v>
      </c>
      <c r="G443" s="4" t="str">
        <f>VLOOKUP(A443,'f Excel formulas for calculatio'!A:H,7,FALSE)</f>
        <v>USA</v>
      </c>
      <c r="H443" s="4" t="str">
        <f>VLOOKUP(A443,'f Excel formulas for calculatio'!A:H,8,FALSE)</f>
        <v>Silver</v>
      </c>
    </row>
    <row r="444" spans="1:8" x14ac:dyDescent="0.25">
      <c r="A444" s="4" t="s">
        <v>1377</v>
      </c>
      <c r="B444" s="4" t="str">
        <f>VLOOKUP(A444,'f Excel formulas for calculatio'!A:H,2,FALSE)</f>
        <v>Dalton Walters</v>
      </c>
      <c r="C444" s="4">
        <f>VLOOKUP(A444,'f Excel formulas for calculatio'!A:H,3,FALSE)</f>
        <v>31</v>
      </c>
      <c r="D444" s="4" t="str">
        <f>VLOOKUP(A444,'f Excel formulas for calculatio'!A:H,4,FALSE)</f>
        <v>Male</v>
      </c>
      <c r="E444" s="4" t="str">
        <f>VLOOKUP(A444,'f Excel formulas for calculatio'!A:H,5,FALSE)</f>
        <v>Jonesstad</v>
      </c>
      <c r="F444" s="4" t="str">
        <f>VLOOKUP(A444,'f Excel formulas for calculatio'!A:H,6,FALSE)</f>
        <v>Wisconsin</v>
      </c>
      <c r="G444" s="4" t="str">
        <f>VLOOKUP(A444,'f Excel formulas for calculatio'!A:H,7,FALSE)</f>
        <v>USA</v>
      </c>
      <c r="H444" s="4" t="str">
        <f>VLOOKUP(A444,'f Excel formulas for calculatio'!A:H,8,FALSE)</f>
        <v>Silver</v>
      </c>
    </row>
    <row r="445" spans="1:8" x14ac:dyDescent="0.25">
      <c r="A445" s="9" t="s">
        <v>1380</v>
      </c>
      <c r="B445" s="4" t="str">
        <f>VLOOKUP(A445,'f Excel formulas for calculatio'!A:H,2,FALSE)</f>
        <v>Kelli Smith</v>
      </c>
      <c r="C445" s="4">
        <f>VLOOKUP(A445,'f Excel formulas for calculatio'!A:H,3,FALSE)</f>
        <v>42</v>
      </c>
      <c r="D445" s="4" t="str">
        <f>VLOOKUP(A445,'f Excel formulas for calculatio'!A:H,4,FALSE)</f>
        <v>Female</v>
      </c>
      <c r="E445" s="4" t="str">
        <f>VLOOKUP(A445,'f Excel formulas for calculatio'!A:H,5,FALSE)</f>
        <v>North Maryfort</v>
      </c>
      <c r="F445" s="4" t="str">
        <f>VLOOKUP(A445,'f Excel formulas for calculatio'!A:H,6,FALSE)</f>
        <v>Oregon</v>
      </c>
      <c r="G445" s="4" t="str">
        <f>VLOOKUP(A445,'f Excel formulas for calculatio'!A:H,7,FALSE)</f>
        <v>USA</v>
      </c>
      <c r="H445" s="4" t="str">
        <f>VLOOKUP(A445,'f Excel formulas for calculatio'!A:H,8,FALSE)</f>
        <v>Bronze</v>
      </c>
    </row>
    <row r="446" spans="1:8" x14ac:dyDescent="0.25">
      <c r="A446" s="4" t="s">
        <v>1383</v>
      </c>
      <c r="B446" s="4" t="str">
        <f>VLOOKUP(A446,'f Excel formulas for calculatio'!A:H,2,FALSE)</f>
        <v>Adam Castro</v>
      </c>
      <c r="C446" s="4">
        <f>VLOOKUP(A446,'f Excel formulas for calculatio'!A:H,3,FALSE)</f>
        <v>51</v>
      </c>
      <c r="D446" s="4" t="str">
        <f>VLOOKUP(A446,'f Excel formulas for calculatio'!A:H,4,FALSE)</f>
        <v>Male</v>
      </c>
      <c r="E446" s="4" t="str">
        <f>VLOOKUP(A446,'f Excel formulas for calculatio'!A:H,5,FALSE)</f>
        <v>New Donnabury</v>
      </c>
      <c r="F446" s="4" t="str">
        <f>VLOOKUP(A446,'f Excel formulas for calculatio'!A:H,6,FALSE)</f>
        <v>Texas</v>
      </c>
      <c r="G446" s="4" t="str">
        <f>VLOOKUP(A446,'f Excel formulas for calculatio'!A:H,7,FALSE)</f>
        <v>USA</v>
      </c>
      <c r="H446" s="4" t="str">
        <f>VLOOKUP(A446,'f Excel formulas for calculatio'!A:H,8,FALSE)</f>
        <v>Silver</v>
      </c>
    </row>
    <row r="447" spans="1:8" x14ac:dyDescent="0.25">
      <c r="A447" s="9" t="s">
        <v>1386</v>
      </c>
      <c r="B447" s="4" t="str">
        <f>VLOOKUP(A447,'f Excel formulas for calculatio'!A:H,2,FALSE)</f>
        <v>Cheryl Carr</v>
      </c>
      <c r="C447" s="4">
        <f>VLOOKUP(A447,'f Excel formulas for calculatio'!A:H,3,FALSE)</f>
        <v>19</v>
      </c>
      <c r="D447" s="4" t="str">
        <f>VLOOKUP(A447,'f Excel formulas for calculatio'!A:H,4,FALSE)</f>
        <v>Male</v>
      </c>
      <c r="E447" s="4" t="str">
        <f>VLOOKUP(A447,'f Excel formulas for calculatio'!A:H,5,FALSE)</f>
        <v>Jessicaland</v>
      </c>
      <c r="F447" s="4" t="str">
        <f>VLOOKUP(A447,'f Excel formulas for calculatio'!A:H,6,FALSE)</f>
        <v>Wyoming</v>
      </c>
      <c r="G447" s="4" t="str">
        <f>VLOOKUP(A447,'f Excel formulas for calculatio'!A:H,7,FALSE)</f>
        <v>USA</v>
      </c>
      <c r="H447" s="4" t="str">
        <f>VLOOKUP(A447,'f Excel formulas for calculatio'!A:H,8,FALSE)</f>
        <v>Gold</v>
      </c>
    </row>
    <row r="448" spans="1:8" x14ac:dyDescent="0.25">
      <c r="A448" s="4" t="s">
        <v>1389</v>
      </c>
      <c r="B448" s="4" t="str">
        <f>VLOOKUP(A448,'f Excel formulas for calculatio'!A:H,2,FALSE)</f>
        <v>Gene Lee</v>
      </c>
      <c r="C448" s="4">
        <f>VLOOKUP(A448,'f Excel formulas for calculatio'!A:H,3,FALSE)</f>
        <v>41</v>
      </c>
      <c r="D448" s="4" t="str">
        <f>VLOOKUP(A448,'f Excel formulas for calculatio'!A:H,4,FALSE)</f>
        <v>Female</v>
      </c>
      <c r="E448" s="4" t="str">
        <f>VLOOKUP(A448,'f Excel formulas for calculatio'!A:H,5,FALSE)</f>
        <v>Mcfarlandmouth</v>
      </c>
      <c r="F448" s="4" t="str">
        <f>VLOOKUP(A448,'f Excel formulas for calculatio'!A:H,6,FALSE)</f>
        <v>Virginia</v>
      </c>
      <c r="G448" s="4" t="str">
        <f>VLOOKUP(A448,'f Excel formulas for calculatio'!A:H,7,FALSE)</f>
        <v>USA</v>
      </c>
      <c r="H448" s="4" t="str">
        <f>VLOOKUP(A448,'f Excel formulas for calculatio'!A:H,8,FALSE)</f>
        <v>Platinum</v>
      </c>
    </row>
    <row r="449" spans="1:8" x14ac:dyDescent="0.25">
      <c r="A449" s="9" t="s">
        <v>1392</v>
      </c>
      <c r="B449" s="4" t="str">
        <f>VLOOKUP(A449,'f Excel formulas for calculatio'!A:H,2,FALSE)</f>
        <v>Shannon Turner</v>
      </c>
      <c r="C449" s="4">
        <f>VLOOKUP(A449,'f Excel formulas for calculatio'!A:H,3,FALSE)</f>
        <v>35</v>
      </c>
      <c r="D449" s="4" t="str">
        <f>VLOOKUP(A449,'f Excel formulas for calculatio'!A:H,4,FALSE)</f>
        <v>Male</v>
      </c>
      <c r="E449" s="4" t="str">
        <f>VLOOKUP(A449,'f Excel formulas for calculatio'!A:H,5,FALSE)</f>
        <v>West Jorge</v>
      </c>
      <c r="F449" s="4" t="str">
        <f>VLOOKUP(A449,'f Excel formulas for calculatio'!A:H,6,FALSE)</f>
        <v>Oklahoma</v>
      </c>
      <c r="G449" s="4" t="str">
        <f>VLOOKUP(A449,'f Excel formulas for calculatio'!A:H,7,FALSE)</f>
        <v>USA</v>
      </c>
      <c r="H449" s="4" t="str">
        <f>VLOOKUP(A449,'f Excel formulas for calculatio'!A:H,8,FALSE)</f>
        <v>Silver</v>
      </c>
    </row>
    <row r="450" spans="1:8" x14ac:dyDescent="0.25">
      <c r="A450" s="4" t="s">
        <v>1395</v>
      </c>
      <c r="B450" s="4" t="str">
        <f>VLOOKUP(A450,'f Excel formulas for calculatio'!A:H,2,FALSE)</f>
        <v>Monica Wright</v>
      </c>
      <c r="C450" s="4">
        <f>VLOOKUP(A450,'f Excel formulas for calculatio'!A:H,3,FALSE)</f>
        <v>45</v>
      </c>
      <c r="D450" s="4" t="str">
        <f>VLOOKUP(A450,'f Excel formulas for calculatio'!A:H,4,FALSE)</f>
        <v>Male</v>
      </c>
      <c r="E450" s="4" t="str">
        <f>VLOOKUP(A450,'f Excel formulas for calculatio'!A:H,5,FALSE)</f>
        <v>Paulside</v>
      </c>
      <c r="F450" s="4" t="str">
        <f>VLOOKUP(A450,'f Excel formulas for calculatio'!A:H,6,FALSE)</f>
        <v>North Carolina</v>
      </c>
      <c r="G450" s="4" t="str">
        <f>VLOOKUP(A450,'f Excel formulas for calculatio'!A:H,7,FALSE)</f>
        <v>USA</v>
      </c>
      <c r="H450" s="4" t="str">
        <f>VLOOKUP(A450,'f Excel formulas for calculatio'!A:H,8,FALSE)</f>
        <v>Gold</v>
      </c>
    </row>
    <row r="451" spans="1:8" x14ac:dyDescent="0.25">
      <c r="A451" s="9" t="s">
        <v>1398</v>
      </c>
      <c r="B451" s="4" t="str">
        <f>VLOOKUP(A451,'f Excel formulas for calculatio'!A:H,2,FALSE)</f>
        <v>Eric Holmes</v>
      </c>
      <c r="C451" s="4">
        <f>VLOOKUP(A451,'f Excel formulas for calculatio'!A:H,3,FALSE)</f>
        <v>64</v>
      </c>
      <c r="D451" s="4" t="str">
        <f>VLOOKUP(A451,'f Excel formulas for calculatio'!A:H,4,FALSE)</f>
        <v>Female</v>
      </c>
      <c r="E451" s="4" t="str">
        <f>VLOOKUP(A451,'f Excel formulas for calculatio'!A:H,5,FALSE)</f>
        <v>Smithville</v>
      </c>
      <c r="F451" s="4" t="str">
        <f>VLOOKUP(A451,'f Excel formulas for calculatio'!A:H,6,FALSE)</f>
        <v>Wyoming</v>
      </c>
      <c r="G451" s="4" t="str">
        <f>VLOOKUP(A451,'f Excel formulas for calculatio'!A:H,7,FALSE)</f>
        <v>USA</v>
      </c>
      <c r="H451" s="4" t="str">
        <f>VLOOKUP(A451,'f Excel formulas for calculatio'!A:H,8,FALSE)</f>
        <v>Bronze</v>
      </c>
    </row>
    <row r="452" spans="1:8" x14ac:dyDescent="0.25">
      <c r="A452" s="4" t="s">
        <v>1401</v>
      </c>
      <c r="B452" s="4" t="str">
        <f>VLOOKUP(A452,'f Excel formulas for calculatio'!A:H,2,FALSE)</f>
        <v>William Cortez</v>
      </c>
      <c r="C452" s="4">
        <f>VLOOKUP(A452,'f Excel formulas for calculatio'!A:H,3,FALSE)</f>
        <v>29</v>
      </c>
      <c r="D452" s="4" t="str">
        <f>VLOOKUP(A452,'f Excel formulas for calculatio'!A:H,4,FALSE)</f>
        <v>Male</v>
      </c>
      <c r="E452" s="4" t="str">
        <f>VLOOKUP(A452,'f Excel formulas for calculatio'!A:H,5,FALSE)</f>
        <v>Port Hannahport</v>
      </c>
      <c r="F452" s="4" t="str">
        <f>VLOOKUP(A452,'f Excel formulas for calculatio'!A:H,6,FALSE)</f>
        <v>Ohio</v>
      </c>
      <c r="G452" s="4" t="str">
        <f>VLOOKUP(A452,'f Excel formulas for calculatio'!A:H,7,FALSE)</f>
        <v>USA</v>
      </c>
      <c r="H452" s="4" t="str">
        <f>VLOOKUP(A452,'f Excel formulas for calculatio'!A:H,8,FALSE)</f>
        <v>Bronze</v>
      </c>
    </row>
    <row r="453" spans="1:8" x14ac:dyDescent="0.25">
      <c r="A453" s="9" t="s">
        <v>1404</v>
      </c>
      <c r="B453" s="4" t="str">
        <f>VLOOKUP(A453,'f Excel formulas for calculatio'!A:H,2,FALSE)</f>
        <v>Shane Mills</v>
      </c>
      <c r="C453" s="4">
        <f>VLOOKUP(A453,'f Excel formulas for calculatio'!A:H,3,FALSE)</f>
        <v>59</v>
      </c>
      <c r="D453" s="4" t="str">
        <f>VLOOKUP(A453,'f Excel formulas for calculatio'!A:H,4,FALSE)</f>
        <v>Male</v>
      </c>
      <c r="E453" s="4" t="str">
        <f>VLOOKUP(A453,'f Excel formulas for calculatio'!A:H,5,FALSE)</f>
        <v>Lake Meganstad</v>
      </c>
      <c r="F453" s="4" t="str">
        <f>VLOOKUP(A453,'f Excel formulas for calculatio'!A:H,6,FALSE)</f>
        <v>Nebraska</v>
      </c>
      <c r="G453" s="4" t="str">
        <f>VLOOKUP(A453,'f Excel formulas for calculatio'!A:H,7,FALSE)</f>
        <v>USA</v>
      </c>
      <c r="H453" s="4" t="str">
        <f>VLOOKUP(A453,'f Excel formulas for calculatio'!A:H,8,FALSE)</f>
        <v>Bronze</v>
      </c>
    </row>
    <row r="454" spans="1:8" x14ac:dyDescent="0.25">
      <c r="A454" s="4" t="s">
        <v>1407</v>
      </c>
      <c r="B454" s="4" t="str">
        <f>VLOOKUP(A454,'f Excel formulas for calculatio'!A:H,2,FALSE)</f>
        <v>Ashley Roberts</v>
      </c>
      <c r="C454" s="4">
        <f>VLOOKUP(A454,'f Excel formulas for calculatio'!A:H,3,FALSE)</f>
        <v>46</v>
      </c>
      <c r="D454" s="4" t="str">
        <f>VLOOKUP(A454,'f Excel formulas for calculatio'!A:H,4,FALSE)</f>
        <v>Male</v>
      </c>
      <c r="E454" s="4" t="str">
        <f>VLOOKUP(A454,'f Excel formulas for calculatio'!A:H,5,FALSE)</f>
        <v>Josephmouth</v>
      </c>
      <c r="F454" s="4" t="str">
        <f>VLOOKUP(A454,'f Excel formulas for calculatio'!A:H,6,FALSE)</f>
        <v>New Mexico</v>
      </c>
      <c r="G454" s="4" t="str">
        <f>VLOOKUP(A454,'f Excel formulas for calculatio'!A:H,7,FALSE)</f>
        <v>USA</v>
      </c>
      <c r="H454" s="4" t="str">
        <f>VLOOKUP(A454,'f Excel formulas for calculatio'!A:H,8,FALSE)</f>
        <v>Gold</v>
      </c>
    </row>
    <row r="455" spans="1:8" x14ac:dyDescent="0.25">
      <c r="A455" s="9" t="s">
        <v>1409</v>
      </c>
      <c r="B455" s="4" t="str">
        <f>VLOOKUP(A455,'f Excel formulas for calculatio'!A:H,2,FALSE)</f>
        <v>Jeffery Wolf</v>
      </c>
      <c r="C455" s="4">
        <f>VLOOKUP(A455,'f Excel formulas for calculatio'!A:H,3,FALSE)</f>
        <v>60</v>
      </c>
      <c r="D455" s="4" t="str">
        <f>VLOOKUP(A455,'f Excel formulas for calculatio'!A:H,4,FALSE)</f>
        <v>Female</v>
      </c>
      <c r="E455" s="4" t="str">
        <f>VLOOKUP(A455,'f Excel formulas for calculatio'!A:H,5,FALSE)</f>
        <v>New Laura</v>
      </c>
      <c r="F455" s="4" t="str">
        <f>VLOOKUP(A455,'f Excel formulas for calculatio'!A:H,6,FALSE)</f>
        <v>Mississippi</v>
      </c>
      <c r="G455" s="4" t="str">
        <f>VLOOKUP(A455,'f Excel formulas for calculatio'!A:H,7,FALSE)</f>
        <v>USA</v>
      </c>
      <c r="H455" s="4" t="str">
        <f>VLOOKUP(A455,'f Excel formulas for calculatio'!A:H,8,FALSE)</f>
        <v>Bronze</v>
      </c>
    </row>
    <row r="456" spans="1:8" x14ac:dyDescent="0.25">
      <c r="A456" s="4" t="s">
        <v>1412</v>
      </c>
      <c r="B456" s="4" t="str">
        <f>VLOOKUP(A456,'f Excel formulas for calculatio'!A:H,2,FALSE)</f>
        <v>April Phillips</v>
      </c>
      <c r="C456" s="4">
        <f>VLOOKUP(A456,'f Excel formulas for calculatio'!A:H,3,FALSE)</f>
        <v>62</v>
      </c>
      <c r="D456" s="4" t="str">
        <f>VLOOKUP(A456,'f Excel formulas for calculatio'!A:H,4,FALSE)</f>
        <v>Female</v>
      </c>
      <c r="E456" s="4" t="str">
        <f>VLOOKUP(A456,'f Excel formulas for calculatio'!A:H,5,FALSE)</f>
        <v>Lake Carolyn</v>
      </c>
      <c r="F456" s="4" t="str">
        <f>VLOOKUP(A456,'f Excel formulas for calculatio'!A:H,6,FALSE)</f>
        <v>Hawaii</v>
      </c>
      <c r="G456" s="4" t="str">
        <f>VLOOKUP(A456,'f Excel formulas for calculatio'!A:H,7,FALSE)</f>
        <v>USA</v>
      </c>
      <c r="H456" s="4" t="str">
        <f>VLOOKUP(A456,'f Excel formulas for calculatio'!A:H,8,FALSE)</f>
        <v>Platinum</v>
      </c>
    </row>
    <row r="457" spans="1:8" x14ac:dyDescent="0.25">
      <c r="A457" s="9" t="s">
        <v>1415</v>
      </c>
      <c r="B457" s="4" t="str">
        <f>VLOOKUP(A457,'f Excel formulas for calculatio'!A:H,2,FALSE)</f>
        <v>John Berg</v>
      </c>
      <c r="C457" s="4">
        <f>VLOOKUP(A457,'f Excel formulas for calculatio'!A:H,3,FALSE)</f>
        <v>60</v>
      </c>
      <c r="D457" s="4" t="str">
        <f>VLOOKUP(A457,'f Excel formulas for calculatio'!A:H,4,FALSE)</f>
        <v>Male</v>
      </c>
      <c r="E457" s="4" t="str">
        <f>VLOOKUP(A457,'f Excel formulas for calculatio'!A:H,5,FALSE)</f>
        <v>Johnsonville</v>
      </c>
      <c r="F457" s="4" t="str">
        <f>VLOOKUP(A457,'f Excel formulas for calculatio'!A:H,6,FALSE)</f>
        <v>Oklahoma</v>
      </c>
      <c r="G457" s="4" t="str">
        <f>VLOOKUP(A457,'f Excel formulas for calculatio'!A:H,7,FALSE)</f>
        <v>USA</v>
      </c>
      <c r="H457" s="4" t="str">
        <f>VLOOKUP(A457,'f Excel formulas for calculatio'!A:H,8,FALSE)</f>
        <v>Gold</v>
      </c>
    </row>
    <row r="458" spans="1:8" x14ac:dyDescent="0.25">
      <c r="A458" s="4" t="s">
        <v>1417</v>
      </c>
      <c r="B458" s="4" t="str">
        <f>VLOOKUP(A458,'f Excel formulas for calculatio'!A:H,2,FALSE)</f>
        <v>Tyler Weber</v>
      </c>
      <c r="C458" s="4">
        <f>VLOOKUP(A458,'f Excel formulas for calculatio'!A:H,3,FALSE)</f>
        <v>54</v>
      </c>
      <c r="D458" s="4" t="str">
        <f>VLOOKUP(A458,'f Excel formulas for calculatio'!A:H,4,FALSE)</f>
        <v>Male</v>
      </c>
      <c r="E458" s="4" t="str">
        <f>VLOOKUP(A458,'f Excel formulas for calculatio'!A:H,5,FALSE)</f>
        <v>East Yvette</v>
      </c>
      <c r="F458" s="4" t="str">
        <f>VLOOKUP(A458,'f Excel formulas for calculatio'!A:H,6,FALSE)</f>
        <v>Illinois</v>
      </c>
      <c r="G458" s="4" t="str">
        <f>VLOOKUP(A458,'f Excel formulas for calculatio'!A:H,7,FALSE)</f>
        <v>USA</v>
      </c>
      <c r="H458" s="4" t="str">
        <f>VLOOKUP(A458,'f Excel formulas for calculatio'!A:H,8,FALSE)</f>
        <v>Gold</v>
      </c>
    </row>
    <row r="459" spans="1:8" x14ac:dyDescent="0.25">
      <c r="A459" s="9" t="s">
        <v>1420</v>
      </c>
      <c r="B459" s="4" t="str">
        <f>VLOOKUP(A459,'f Excel formulas for calculatio'!A:H,2,FALSE)</f>
        <v>Julie Powell</v>
      </c>
      <c r="C459" s="4">
        <f>VLOOKUP(A459,'f Excel formulas for calculatio'!A:H,3,FALSE)</f>
        <v>59</v>
      </c>
      <c r="D459" s="4" t="str">
        <f>VLOOKUP(A459,'f Excel formulas for calculatio'!A:H,4,FALSE)</f>
        <v>Female</v>
      </c>
      <c r="E459" s="4" t="str">
        <f>VLOOKUP(A459,'f Excel formulas for calculatio'!A:H,5,FALSE)</f>
        <v>South Barbara</v>
      </c>
      <c r="F459" s="4" t="str">
        <f>VLOOKUP(A459,'f Excel formulas for calculatio'!A:H,6,FALSE)</f>
        <v>Arkansas</v>
      </c>
      <c r="G459" s="4" t="str">
        <f>VLOOKUP(A459,'f Excel formulas for calculatio'!A:H,7,FALSE)</f>
        <v>USA</v>
      </c>
      <c r="H459" s="4" t="str">
        <f>VLOOKUP(A459,'f Excel formulas for calculatio'!A:H,8,FALSE)</f>
        <v>Gold</v>
      </c>
    </row>
    <row r="460" spans="1:8" x14ac:dyDescent="0.25">
      <c r="A460" s="4" t="s">
        <v>1423</v>
      </c>
      <c r="B460" s="4" t="str">
        <f>VLOOKUP(A460,'f Excel formulas for calculatio'!A:H,2,FALSE)</f>
        <v>Christina Robertson</v>
      </c>
      <c r="C460" s="4">
        <f>VLOOKUP(A460,'f Excel formulas for calculatio'!A:H,3,FALSE)</f>
        <v>59</v>
      </c>
      <c r="D460" s="4" t="str">
        <f>VLOOKUP(A460,'f Excel formulas for calculatio'!A:H,4,FALSE)</f>
        <v>Male</v>
      </c>
      <c r="E460" s="4" t="str">
        <f>VLOOKUP(A460,'f Excel formulas for calculatio'!A:H,5,FALSE)</f>
        <v>Hubbardborough</v>
      </c>
      <c r="F460" s="4" t="str">
        <f>VLOOKUP(A460,'f Excel formulas for calculatio'!A:H,6,FALSE)</f>
        <v>Kentucky</v>
      </c>
      <c r="G460" s="4" t="str">
        <f>VLOOKUP(A460,'f Excel formulas for calculatio'!A:H,7,FALSE)</f>
        <v>USA</v>
      </c>
      <c r="H460" s="4" t="str">
        <f>VLOOKUP(A460,'f Excel formulas for calculatio'!A:H,8,FALSE)</f>
        <v>Platinum</v>
      </c>
    </row>
    <row r="461" spans="1:8" x14ac:dyDescent="0.25">
      <c r="A461" s="9" t="s">
        <v>1426</v>
      </c>
      <c r="B461" s="4" t="str">
        <f>VLOOKUP(A461,'f Excel formulas for calculatio'!A:H,2,FALSE)</f>
        <v>Kelly Garrett</v>
      </c>
      <c r="C461" s="4">
        <f>VLOOKUP(A461,'f Excel formulas for calculatio'!A:H,3,FALSE)</f>
        <v>62</v>
      </c>
      <c r="D461" s="4" t="str">
        <f>VLOOKUP(A461,'f Excel formulas for calculatio'!A:H,4,FALSE)</f>
        <v>Female</v>
      </c>
      <c r="E461" s="4" t="str">
        <f>VLOOKUP(A461,'f Excel formulas for calculatio'!A:H,5,FALSE)</f>
        <v>Port Taylorberg</v>
      </c>
      <c r="F461" s="4" t="str">
        <f>VLOOKUP(A461,'f Excel formulas for calculatio'!A:H,6,FALSE)</f>
        <v>Pennsylvania</v>
      </c>
      <c r="G461" s="4" t="str">
        <f>VLOOKUP(A461,'f Excel formulas for calculatio'!A:H,7,FALSE)</f>
        <v>USA</v>
      </c>
      <c r="H461" s="4" t="str">
        <f>VLOOKUP(A461,'f Excel formulas for calculatio'!A:H,8,FALSE)</f>
        <v>Silver</v>
      </c>
    </row>
    <row r="462" spans="1:8" x14ac:dyDescent="0.25">
      <c r="A462" s="4" t="s">
        <v>1429</v>
      </c>
      <c r="B462" s="4" t="str">
        <f>VLOOKUP(A462,'f Excel formulas for calculatio'!A:H,2,FALSE)</f>
        <v>John Perez</v>
      </c>
      <c r="C462" s="4">
        <f>VLOOKUP(A462,'f Excel formulas for calculatio'!A:H,3,FALSE)</f>
        <v>29</v>
      </c>
      <c r="D462" s="4" t="str">
        <f>VLOOKUP(A462,'f Excel formulas for calculatio'!A:H,4,FALSE)</f>
        <v>Female</v>
      </c>
      <c r="E462" s="4" t="str">
        <f>VLOOKUP(A462,'f Excel formulas for calculatio'!A:H,5,FALSE)</f>
        <v>Brandontown</v>
      </c>
      <c r="F462" s="4" t="str">
        <f>VLOOKUP(A462,'f Excel formulas for calculatio'!A:H,6,FALSE)</f>
        <v>South Carolina</v>
      </c>
      <c r="G462" s="4" t="str">
        <f>VLOOKUP(A462,'f Excel formulas for calculatio'!A:H,7,FALSE)</f>
        <v>USA</v>
      </c>
      <c r="H462" s="4" t="str">
        <f>VLOOKUP(A462,'f Excel formulas for calculatio'!A:H,8,FALSE)</f>
        <v>Gold</v>
      </c>
    </row>
    <row r="463" spans="1:8" x14ac:dyDescent="0.25">
      <c r="A463" s="9" t="s">
        <v>1431</v>
      </c>
      <c r="B463" s="4" t="str">
        <f>VLOOKUP(A463,'f Excel formulas for calculatio'!A:H,2,FALSE)</f>
        <v>Justin Johnson</v>
      </c>
      <c r="C463" s="4">
        <f>VLOOKUP(A463,'f Excel formulas for calculatio'!A:H,3,FALSE)</f>
        <v>35</v>
      </c>
      <c r="D463" s="4" t="str">
        <f>VLOOKUP(A463,'f Excel formulas for calculatio'!A:H,4,FALSE)</f>
        <v>Male</v>
      </c>
      <c r="E463" s="4" t="str">
        <f>VLOOKUP(A463,'f Excel formulas for calculatio'!A:H,5,FALSE)</f>
        <v>Hughesview</v>
      </c>
      <c r="F463" s="4" t="str">
        <f>VLOOKUP(A463,'f Excel formulas for calculatio'!A:H,6,FALSE)</f>
        <v>Iowa</v>
      </c>
      <c r="G463" s="4" t="str">
        <f>VLOOKUP(A463,'f Excel formulas for calculatio'!A:H,7,FALSE)</f>
        <v>USA</v>
      </c>
      <c r="H463" s="4" t="str">
        <f>VLOOKUP(A463,'f Excel formulas for calculatio'!A:H,8,FALSE)</f>
        <v>Gold</v>
      </c>
    </row>
    <row r="464" spans="1:8" x14ac:dyDescent="0.25">
      <c r="A464" s="4" t="s">
        <v>1434</v>
      </c>
      <c r="B464" s="4" t="str">
        <f>VLOOKUP(A464,'f Excel formulas for calculatio'!A:H,2,FALSE)</f>
        <v>Paul Cox</v>
      </c>
      <c r="C464" s="4">
        <f>VLOOKUP(A464,'f Excel formulas for calculatio'!A:H,3,FALSE)</f>
        <v>60</v>
      </c>
      <c r="D464" s="4" t="str">
        <f>VLOOKUP(A464,'f Excel formulas for calculatio'!A:H,4,FALSE)</f>
        <v>Female</v>
      </c>
      <c r="E464" s="4" t="str">
        <f>VLOOKUP(A464,'f Excel formulas for calculatio'!A:H,5,FALSE)</f>
        <v>East Julie</v>
      </c>
      <c r="F464" s="4" t="str">
        <f>VLOOKUP(A464,'f Excel formulas for calculatio'!A:H,6,FALSE)</f>
        <v>Kansas</v>
      </c>
      <c r="G464" s="4" t="str">
        <f>VLOOKUP(A464,'f Excel formulas for calculatio'!A:H,7,FALSE)</f>
        <v>USA</v>
      </c>
      <c r="H464" s="4" t="str">
        <f>VLOOKUP(A464,'f Excel formulas for calculatio'!A:H,8,FALSE)</f>
        <v>Silver</v>
      </c>
    </row>
    <row r="465" spans="1:8" x14ac:dyDescent="0.25">
      <c r="A465" s="9" t="s">
        <v>1437</v>
      </c>
      <c r="B465" s="4" t="str">
        <f>VLOOKUP(A465,'f Excel formulas for calculatio'!A:H,2,FALSE)</f>
        <v>Beth Martin</v>
      </c>
      <c r="C465" s="4">
        <f>VLOOKUP(A465,'f Excel formulas for calculatio'!A:H,3,FALSE)</f>
        <v>34</v>
      </c>
      <c r="D465" s="4" t="str">
        <f>VLOOKUP(A465,'f Excel formulas for calculatio'!A:H,4,FALSE)</f>
        <v>Female</v>
      </c>
      <c r="E465" s="4" t="str">
        <f>VLOOKUP(A465,'f Excel formulas for calculatio'!A:H,5,FALSE)</f>
        <v>Burkefurt</v>
      </c>
      <c r="F465" s="4" t="str">
        <f>VLOOKUP(A465,'f Excel formulas for calculatio'!A:H,6,FALSE)</f>
        <v>West Virginia</v>
      </c>
      <c r="G465" s="4" t="str">
        <f>VLOOKUP(A465,'f Excel formulas for calculatio'!A:H,7,FALSE)</f>
        <v>USA</v>
      </c>
      <c r="H465" s="4" t="str">
        <f>VLOOKUP(A465,'f Excel formulas for calculatio'!A:H,8,FALSE)</f>
        <v>Silver</v>
      </c>
    </row>
    <row r="466" spans="1:8" x14ac:dyDescent="0.25">
      <c r="A466" s="4" t="s">
        <v>1440</v>
      </c>
      <c r="B466" s="4" t="str">
        <f>VLOOKUP(A466,'f Excel formulas for calculatio'!A:H,2,FALSE)</f>
        <v>Samantha Lee</v>
      </c>
      <c r="C466" s="4">
        <f>VLOOKUP(A466,'f Excel formulas for calculatio'!A:H,3,FALSE)</f>
        <v>36</v>
      </c>
      <c r="D466" s="4" t="str">
        <f>VLOOKUP(A466,'f Excel formulas for calculatio'!A:H,4,FALSE)</f>
        <v>Female</v>
      </c>
      <c r="E466" s="4" t="str">
        <f>VLOOKUP(A466,'f Excel formulas for calculatio'!A:H,5,FALSE)</f>
        <v>Port Anthony</v>
      </c>
      <c r="F466" s="4" t="str">
        <f>VLOOKUP(A466,'f Excel formulas for calculatio'!A:H,6,FALSE)</f>
        <v>Connecticut</v>
      </c>
      <c r="G466" s="4" t="str">
        <f>VLOOKUP(A466,'f Excel formulas for calculatio'!A:H,7,FALSE)</f>
        <v>USA</v>
      </c>
      <c r="H466" s="4" t="str">
        <f>VLOOKUP(A466,'f Excel formulas for calculatio'!A:H,8,FALSE)</f>
        <v>Bronze</v>
      </c>
    </row>
    <row r="467" spans="1:8" x14ac:dyDescent="0.25">
      <c r="A467" s="9" t="s">
        <v>1550</v>
      </c>
      <c r="B467" s="4" t="str">
        <f>VLOOKUP(A467,'f Excel formulas for calculatio'!A:H,2,FALSE)</f>
        <v>David Pierce</v>
      </c>
      <c r="C467" s="4">
        <f>VLOOKUP(A467,'f Excel formulas for calculatio'!A:H,3,FALSE)</f>
        <v>45</v>
      </c>
      <c r="D467" s="4" t="str">
        <f>VLOOKUP(A467,'f Excel formulas for calculatio'!A:H,4,FALSE)</f>
        <v>Female</v>
      </c>
      <c r="E467" s="4" t="str">
        <f>VLOOKUP(A467,'f Excel formulas for calculatio'!A:H,5,FALSE)</f>
        <v>Grayland</v>
      </c>
      <c r="F467" s="4" t="str">
        <f>VLOOKUP(A467,'f Excel formulas for calculatio'!A:H,6,FALSE)</f>
        <v>Washington</v>
      </c>
      <c r="G467" s="4" t="str">
        <f>VLOOKUP(A467,'f Excel formulas for calculatio'!A:H,7,FALSE)</f>
        <v>USA</v>
      </c>
      <c r="H467" s="4" t="str">
        <f>VLOOKUP(A467,'f Excel formulas for calculatio'!A:H,8,FALSE)</f>
        <v>Platinum</v>
      </c>
    </row>
    <row r="468" spans="1:8" x14ac:dyDescent="0.25">
      <c r="A468" s="4" t="s">
        <v>1446</v>
      </c>
      <c r="B468" s="4" t="str">
        <f>VLOOKUP(A468,'f Excel formulas for calculatio'!A:H,2,FALSE)</f>
        <v>Ronald Ross</v>
      </c>
      <c r="C468" s="4">
        <f>VLOOKUP(A468,'f Excel formulas for calculatio'!A:H,3,FALSE)</f>
        <v>28</v>
      </c>
      <c r="D468" s="4" t="str">
        <f>VLOOKUP(A468,'f Excel formulas for calculatio'!A:H,4,FALSE)</f>
        <v>Female</v>
      </c>
      <c r="E468" s="4" t="str">
        <f>VLOOKUP(A468,'f Excel formulas for calculatio'!A:H,5,FALSE)</f>
        <v>Hartmanside</v>
      </c>
      <c r="F468" s="4" t="str">
        <f>VLOOKUP(A468,'f Excel formulas for calculatio'!A:H,6,FALSE)</f>
        <v>North Carolina</v>
      </c>
      <c r="G468" s="4" t="str">
        <f>VLOOKUP(A468,'f Excel formulas for calculatio'!A:H,7,FALSE)</f>
        <v>USA</v>
      </c>
      <c r="H468" s="4" t="str">
        <f>VLOOKUP(A468,'f Excel formulas for calculatio'!A:H,8,FALSE)</f>
        <v>Silver</v>
      </c>
    </row>
    <row r="469" spans="1:8" x14ac:dyDescent="0.25">
      <c r="A469" s="9" t="s">
        <v>1449</v>
      </c>
      <c r="B469" s="4" t="str">
        <f>VLOOKUP(A469,'f Excel formulas for calculatio'!A:H,2,FALSE)</f>
        <v>Cynthia Parrish</v>
      </c>
      <c r="C469" s="4">
        <f>VLOOKUP(A469,'f Excel formulas for calculatio'!A:H,3,FALSE)</f>
        <v>18</v>
      </c>
      <c r="D469" s="4" t="str">
        <f>VLOOKUP(A469,'f Excel formulas for calculatio'!A:H,4,FALSE)</f>
        <v>Male</v>
      </c>
      <c r="E469" s="4" t="str">
        <f>VLOOKUP(A469,'f Excel formulas for calculatio'!A:H,5,FALSE)</f>
        <v>Espinozaberg</v>
      </c>
      <c r="F469" s="4" t="str">
        <f>VLOOKUP(A469,'f Excel formulas for calculatio'!A:H,6,FALSE)</f>
        <v>Minnesota</v>
      </c>
      <c r="G469" s="4" t="str">
        <f>VLOOKUP(A469,'f Excel formulas for calculatio'!A:H,7,FALSE)</f>
        <v>USA</v>
      </c>
      <c r="H469" s="4" t="str">
        <f>VLOOKUP(A469,'f Excel formulas for calculatio'!A:H,8,FALSE)</f>
        <v>Silver</v>
      </c>
    </row>
    <row r="470" spans="1:8" x14ac:dyDescent="0.25">
      <c r="A470" s="4" t="s">
        <v>1452</v>
      </c>
      <c r="B470" s="4" t="str">
        <f>VLOOKUP(A470,'f Excel formulas for calculatio'!A:H,2,FALSE)</f>
        <v>Michael Foley</v>
      </c>
      <c r="C470" s="4">
        <f>VLOOKUP(A470,'f Excel formulas for calculatio'!A:H,3,FALSE)</f>
        <v>63</v>
      </c>
      <c r="D470" s="4" t="str">
        <f>VLOOKUP(A470,'f Excel formulas for calculatio'!A:H,4,FALSE)</f>
        <v>Female</v>
      </c>
      <c r="E470" s="4" t="str">
        <f>VLOOKUP(A470,'f Excel formulas for calculatio'!A:H,5,FALSE)</f>
        <v>Oneillfurt</v>
      </c>
      <c r="F470" s="4" t="str">
        <f>VLOOKUP(A470,'f Excel formulas for calculatio'!A:H,6,FALSE)</f>
        <v>Vermont</v>
      </c>
      <c r="G470" s="4" t="str">
        <f>VLOOKUP(A470,'f Excel formulas for calculatio'!A:H,7,FALSE)</f>
        <v>USA</v>
      </c>
      <c r="H470" s="4" t="str">
        <f>VLOOKUP(A470,'f Excel formulas for calculatio'!A:H,8,FALSE)</f>
        <v>Gold</v>
      </c>
    </row>
    <row r="471" spans="1:8" x14ac:dyDescent="0.25">
      <c r="A471" s="9" t="s">
        <v>1455</v>
      </c>
      <c r="B471" s="4" t="str">
        <f>VLOOKUP(A471,'f Excel formulas for calculatio'!A:H,2,FALSE)</f>
        <v>Gregory Curtis</v>
      </c>
      <c r="C471" s="4">
        <f>VLOOKUP(A471,'f Excel formulas for calculatio'!A:H,3,FALSE)</f>
        <v>45</v>
      </c>
      <c r="D471" s="4" t="str">
        <f>VLOOKUP(A471,'f Excel formulas for calculatio'!A:H,4,FALSE)</f>
        <v>Male</v>
      </c>
      <c r="E471" s="4" t="str">
        <f>VLOOKUP(A471,'f Excel formulas for calculatio'!A:H,5,FALSE)</f>
        <v>Bergermouth</v>
      </c>
      <c r="F471" s="4" t="str">
        <f>VLOOKUP(A471,'f Excel formulas for calculatio'!A:H,6,FALSE)</f>
        <v>Vermont</v>
      </c>
      <c r="G471" s="4" t="str">
        <f>VLOOKUP(A471,'f Excel formulas for calculatio'!A:H,7,FALSE)</f>
        <v>USA</v>
      </c>
      <c r="H471" s="4" t="str">
        <f>VLOOKUP(A471,'f Excel formulas for calculatio'!A:H,8,FALSE)</f>
        <v>Bronze</v>
      </c>
    </row>
    <row r="472" spans="1:8" x14ac:dyDescent="0.25">
      <c r="A472" s="4" t="s">
        <v>1458</v>
      </c>
      <c r="B472" s="4" t="str">
        <f>VLOOKUP(A472,'f Excel formulas for calculatio'!A:H,2,FALSE)</f>
        <v>James Foster</v>
      </c>
      <c r="C472" s="4">
        <f>VLOOKUP(A472,'f Excel formulas for calculatio'!A:H,3,FALSE)</f>
        <v>19</v>
      </c>
      <c r="D472" s="4" t="str">
        <f>VLOOKUP(A472,'f Excel formulas for calculatio'!A:H,4,FALSE)</f>
        <v>Male</v>
      </c>
      <c r="E472" s="4" t="str">
        <f>VLOOKUP(A472,'f Excel formulas for calculatio'!A:H,5,FALSE)</f>
        <v>East Audrey</v>
      </c>
      <c r="F472" s="4" t="str">
        <f>VLOOKUP(A472,'f Excel formulas for calculatio'!A:H,6,FALSE)</f>
        <v>Utah</v>
      </c>
      <c r="G472" s="4" t="str">
        <f>VLOOKUP(A472,'f Excel formulas for calculatio'!A:H,7,FALSE)</f>
        <v>USA</v>
      </c>
      <c r="H472" s="4" t="str">
        <f>VLOOKUP(A472,'f Excel formulas for calculatio'!A:H,8,FALSE)</f>
        <v>Gold</v>
      </c>
    </row>
    <row r="473" spans="1:8" x14ac:dyDescent="0.25">
      <c r="A473" s="9" t="s">
        <v>1461</v>
      </c>
      <c r="B473" s="4" t="str">
        <f>VLOOKUP(A473,'f Excel formulas for calculatio'!A:H,2,FALSE)</f>
        <v>Manuel Fisher</v>
      </c>
      <c r="C473" s="4">
        <f>VLOOKUP(A473,'f Excel formulas for calculatio'!A:H,3,FALSE)</f>
        <v>21</v>
      </c>
      <c r="D473" s="4" t="str">
        <f>VLOOKUP(A473,'f Excel formulas for calculatio'!A:H,4,FALSE)</f>
        <v>Female</v>
      </c>
      <c r="E473" s="4" t="str">
        <f>VLOOKUP(A473,'f Excel formulas for calculatio'!A:H,5,FALSE)</f>
        <v>Kanebury</v>
      </c>
      <c r="F473" s="4" t="str">
        <f>VLOOKUP(A473,'f Excel formulas for calculatio'!A:H,6,FALSE)</f>
        <v>New Hampshire</v>
      </c>
      <c r="G473" s="4" t="str">
        <f>VLOOKUP(A473,'f Excel formulas for calculatio'!A:H,7,FALSE)</f>
        <v>USA</v>
      </c>
      <c r="H473" s="4" t="str">
        <f>VLOOKUP(A473,'f Excel formulas for calculatio'!A:H,8,FALSE)</f>
        <v>Gold</v>
      </c>
    </row>
    <row r="474" spans="1:8" x14ac:dyDescent="0.25">
      <c r="A474" s="4" t="s">
        <v>1464</v>
      </c>
      <c r="B474" s="4" t="str">
        <f>VLOOKUP(A474,'f Excel formulas for calculatio'!A:H,2,FALSE)</f>
        <v>Debra Mccullough</v>
      </c>
      <c r="C474" s="4">
        <f>VLOOKUP(A474,'f Excel formulas for calculatio'!A:H,3,FALSE)</f>
        <v>42</v>
      </c>
      <c r="D474" s="4" t="str">
        <f>VLOOKUP(A474,'f Excel formulas for calculatio'!A:H,4,FALSE)</f>
        <v>Male</v>
      </c>
      <c r="E474" s="4" t="str">
        <f>VLOOKUP(A474,'f Excel formulas for calculatio'!A:H,5,FALSE)</f>
        <v>Mcdanielfurt</v>
      </c>
      <c r="F474" s="4" t="str">
        <f>VLOOKUP(A474,'f Excel formulas for calculatio'!A:H,6,FALSE)</f>
        <v>Montana</v>
      </c>
      <c r="G474" s="4" t="str">
        <f>VLOOKUP(A474,'f Excel formulas for calculatio'!A:H,7,FALSE)</f>
        <v>USA</v>
      </c>
      <c r="H474" s="4" t="str">
        <f>VLOOKUP(A474,'f Excel formulas for calculatio'!A:H,8,FALSE)</f>
        <v>Platinum</v>
      </c>
    </row>
    <row r="475" spans="1:8" x14ac:dyDescent="0.25">
      <c r="A475" s="9" t="s">
        <v>1467</v>
      </c>
      <c r="B475" s="4" t="str">
        <f>VLOOKUP(A475,'f Excel formulas for calculatio'!A:H,2,FALSE)</f>
        <v>Philip Mendoza</v>
      </c>
      <c r="C475" s="4">
        <f>VLOOKUP(A475,'f Excel formulas for calculatio'!A:H,3,FALSE)</f>
        <v>42</v>
      </c>
      <c r="D475" s="4" t="str">
        <f>VLOOKUP(A475,'f Excel formulas for calculatio'!A:H,4,FALSE)</f>
        <v>Male</v>
      </c>
      <c r="E475" s="4" t="str">
        <f>VLOOKUP(A475,'f Excel formulas for calculatio'!A:H,5,FALSE)</f>
        <v>Tylermouth</v>
      </c>
      <c r="F475" s="4" t="str">
        <f>VLOOKUP(A475,'f Excel formulas for calculatio'!A:H,6,FALSE)</f>
        <v>Massachusetts</v>
      </c>
      <c r="G475" s="4" t="str">
        <f>VLOOKUP(A475,'f Excel formulas for calculatio'!A:H,7,FALSE)</f>
        <v>USA</v>
      </c>
      <c r="H475" s="4" t="str">
        <f>VLOOKUP(A475,'f Excel formulas for calculatio'!A:H,8,FALSE)</f>
        <v>Silver</v>
      </c>
    </row>
    <row r="476" spans="1:8" x14ac:dyDescent="0.25">
      <c r="A476" s="4" t="s">
        <v>1470</v>
      </c>
      <c r="B476" s="4" t="str">
        <f>VLOOKUP(A476,'f Excel formulas for calculatio'!A:H,2,FALSE)</f>
        <v>Laura Mathews</v>
      </c>
      <c r="C476" s="4">
        <f>VLOOKUP(A476,'f Excel formulas for calculatio'!A:H,3,FALSE)</f>
        <v>53</v>
      </c>
      <c r="D476" s="4" t="str">
        <f>VLOOKUP(A476,'f Excel formulas for calculatio'!A:H,4,FALSE)</f>
        <v>Male</v>
      </c>
      <c r="E476" s="4" t="str">
        <f>VLOOKUP(A476,'f Excel formulas for calculatio'!A:H,5,FALSE)</f>
        <v>Chambersfurt</v>
      </c>
      <c r="F476" s="4" t="str">
        <f>VLOOKUP(A476,'f Excel formulas for calculatio'!A:H,6,FALSE)</f>
        <v>Wisconsin</v>
      </c>
      <c r="G476" s="4" t="str">
        <f>VLOOKUP(A476,'f Excel formulas for calculatio'!A:H,7,FALSE)</f>
        <v>USA</v>
      </c>
      <c r="H476" s="4" t="str">
        <f>VLOOKUP(A476,'f Excel formulas for calculatio'!A:H,8,FALSE)</f>
        <v>Bronze</v>
      </c>
    </row>
    <row r="477" spans="1:8" x14ac:dyDescent="0.25">
      <c r="A477" s="9" t="s">
        <v>1473</v>
      </c>
      <c r="B477" s="4" t="str">
        <f>VLOOKUP(A477,'f Excel formulas for calculatio'!A:H,2,FALSE)</f>
        <v>Joshua Howard</v>
      </c>
      <c r="C477" s="4">
        <f>VLOOKUP(A477,'f Excel formulas for calculatio'!A:H,3,FALSE)</f>
        <v>32</v>
      </c>
      <c r="D477" s="4" t="str">
        <f>VLOOKUP(A477,'f Excel formulas for calculatio'!A:H,4,FALSE)</f>
        <v>Female</v>
      </c>
      <c r="E477" s="4" t="str">
        <f>VLOOKUP(A477,'f Excel formulas for calculatio'!A:H,5,FALSE)</f>
        <v>East Christopherhaven</v>
      </c>
      <c r="F477" s="4" t="str">
        <f>VLOOKUP(A477,'f Excel formulas for calculatio'!A:H,6,FALSE)</f>
        <v>South Dakota</v>
      </c>
      <c r="G477" s="4" t="str">
        <f>VLOOKUP(A477,'f Excel formulas for calculatio'!A:H,7,FALSE)</f>
        <v>USA</v>
      </c>
      <c r="H477" s="4" t="str">
        <f>VLOOKUP(A477,'f Excel formulas for calculatio'!A:H,8,FALSE)</f>
        <v>Platinum</v>
      </c>
    </row>
    <row r="478" spans="1:8" x14ac:dyDescent="0.25">
      <c r="A478" s="4" t="s">
        <v>1476</v>
      </c>
      <c r="B478" s="4" t="str">
        <f>VLOOKUP(A478,'f Excel formulas for calculatio'!A:H,2,FALSE)</f>
        <v>Barbara Berry</v>
      </c>
      <c r="C478" s="4">
        <f>VLOOKUP(A478,'f Excel formulas for calculatio'!A:H,3,FALSE)</f>
        <v>18</v>
      </c>
      <c r="D478" s="4" t="str">
        <f>VLOOKUP(A478,'f Excel formulas for calculatio'!A:H,4,FALSE)</f>
        <v>Female</v>
      </c>
      <c r="E478" s="4" t="str">
        <f>VLOOKUP(A478,'f Excel formulas for calculatio'!A:H,5,FALSE)</f>
        <v>Lake Michael</v>
      </c>
      <c r="F478" s="4" t="str">
        <f>VLOOKUP(A478,'f Excel formulas for calculatio'!A:H,6,FALSE)</f>
        <v>Vermont</v>
      </c>
      <c r="G478" s="4" t="str">
        <f>VLOOKUP(A478,'f Excel formulas for calculatio'!A:H,7,FALSE)</f>
        <v>USA</v>
      </c>
      <c r="H478" s="4" t="str">
        <f>VLOOKUP(A478,'f Excel formulas for calculatio'!A:H,8,FALSE)</f>
        <v>Platinum</v>
      </c>
    </row>
    <row r="479" spans="1:8" x14ac:dyDescent="0.25">
      <c r="A479" s="9" t="s">
        <v>1478</v>
      </c>
      <c r="B479" s="4" t="str">
        <f>VLOOKUP(A479,'f Excel formulas for calculatio'!A:H,2,FALSE)</f>
        <v>Elizabeth Foster</v>
      </c>
      <c r="C479" s="4">
        <f>VLOOKUP(A479,'f Excel formulas for calculatio'!A:H,3,FALSE)</f>
        <v>33</v>
      </c>
      <c r="D479" s="4" t="str">
        <f>VLOOKUP(A479,'f Excel formulas for calculatio'!A:H,4,FALSE)</f>
        <v>Female</v>
      </c>
      <c r="E479" s="4" t="str">
        <f>VLOOKUP(A479,'f Excel formulas for calculatio'!A:H,5,FALSE)</f>
        <v>Anthonymouth</v>
      </c>
      <c r="F479" s="4" t="str">
        <f>VLOOKUP(A479,'f Excel formulas for calculatio'!A:H,6,FALSE)</f>
        <v>Oklahoma</v>
      </c>
      <c r="G479" s="4" t="str">
        <f>VLOOKUP(A479,'f Excel formulas for calculatio'!A:H,7,FALSE)</f>
        <v>USA</v>
      </c>
      <c r="H479" s="4" t="str">
        <f>VLOOKUP(A479,'f Excel formulas for calculatio'!A:H,8,FALSE)</f>
        <v>Gold</v>
      </c>
    </row>
    <row r="480" spans="1:8" x14ac:dyDescent="0.25">
      <c r="A480" s="4" t="s">
        <v>1481</v>
      </c>
      <c r="B480" s="4" t="str">
        <f>VLOOKUP(A480,'f Excel formulas for calculatio'!A:H,2,FALSE)</f>
        <v>Andrea Harris</v>
      </c>
      <c r="C480" s="4">
        <f>VLOOKUP(A480,'f Excel formulas for calculatio'!A:H,3,FALSE)</f>
        <v>41</v>
      </c>
      <c r="D480" s="4" t="str">
        <f>VLOOKUP(A480,'f Excel formulas for calculatio'!A:H,4,FALSE)</f>
        <v>Female</v>
      </c>
      <c r="E480" s="4" t="str">
        <f>VLOOKUP(A480,'f Excel formulas for calculatio'!A:H,5,FALSE)</f>
        <v>West Kelseyberg</v>
      </c>
      <c r="F480" s="4" t="str">
        <f>VLOOKUP(A480,'f Excel formulas for calculatio'!A:H,6,FALSE)</f>
        <v>Kansas</v>
      </c>
      <c r="G480" s="4" t="str">
        <f>VLOOKUP(A480,'f Excel formulas for calculatio'!A:H,7,FALSE)</f>
        <v>USA</v>
      </c>
      <c r="H480" s="4" t="str">
        <f>VLOOKUP(A480,'f Excel formulas for calculatio'!A:H,8,FALSE)</f>
        <v>Platinum</v>
      </c>
    </row>
    <row r="481" spans="1:8" x14ac:dyDescent="0.25">
      <c r="A481" s="9" t="s">
        <v>1484</v>
      </c>
      <c r="B481" s="4" t="str">
        <f>VLOOKUP(A481,'f Excel formulas for calculatio'!A:H,2,FALSE)</f>
        <v>Earl Smith DDS</v>
      </c>
      <c r="C481" s="4">
        <f>VLOOKUP(A481,'f Excel formulas for calculatio'!A:H,3,FALSE)</f>
        <v>59</v>
      </c>
      <c r="D481" s="4" t="str">
        <f>VLOOKUP(A481,'f Excel formulas for calculatio'!A:H,4,FALSE)</f>
        <v>Male</v>
      </c>
      <c r="E481" s="4" t="str">
        <f>VLOOKUP(A481,'f Excel formulas for calculatio'!A:H,5,FALSE)</f>
        <v>West Sarah</v>
      </c>
      <c r="F481" s="4" t="str">
        <f>VLOOKUP(A481,'f Excel formulas for calculatio'!A:H,6,FALSE)</f>
        <v>South Dakota</v>
      </c>
      <c r="G481" s="4" t="str">
        <f>VLOOKUP(A481,'f Excel formulas for calculatio'!A:H,7,FALSE)</f>
        <v>USA</v>
      </c>
      <c r="H481" s="4" t="str">
        <f>VLOOKUP(A481,'f Excel formulas for calculatio'!A:H,8,FALSE)</f>
        <v>Gold</v>
      </c>
    </row>
    <row r="482" spans="1:8" x14ac:dyDescent="0.25">
      <c r="A482" s="4" t="s">
        <v>1487</v>
      </c>
      <c r="B482" s="4" t="str">
        <f>VLOOKUP(A482,'f Excel formulas for calculatio'!A:H,2,FALSE)</f>
        <v>Dylan Gutierrez</v>
      </c>
      <c r="C482" s="4">
        <f>VLOOKUP(A482,'f Excel formulas for calculatio'!A:H,3,FALSE)</f>
        <v>40</v>
      </c>
      <c r="D482" s="4" t="str">
        <f>VLOOKUP(A482,'f Excel formulas for calculatio'!A:H,4,FALSE)</f>
        <v>Male</v>
      </c>
      <c r="E482" s="4" t="str">
        <f>VLOOKUP(A482,'f Excel formulas for calculatio'!A:H,5,FALSE)</f>
        <v>New Jamesview</v>
      </c>
      <c r="F482" s="4" t="str">
        <f>VLOOKUP(A482,'f Excel formulas for calculatio'!A:H,6,FALSE)</f>
        <v>West Virginia</v>
      </c>
      <c r="G482" s="4" t="str">
        <f>VLOOKUP(A482,'f Excel formulas for calculatio'!A:H,7,FALSE)</f>
        <v>USA</v>
      </c>
      <c r="H482" s="4" t="str">
        <f>VLOOKUP(A482,'f Excel formulas for calculatio'!A:H,8,FALSE)</f>
        <v>Bronze</v>
      </c>
    </row>
    <row r="483" spans="1:8" x14ac:dyDescent="0.25">
      <c r="A483" s="9" t="s">
        <v>1490</v>
      </c>
      <c r="B483" s="4" t="str">
        <f>VLOOKUP(A483,'f Excel formulas for calculatio'!A:H,2,FALSE)</f>
        <v>Jordan Medina</v>
      </c>
      <c r="C483" s="4">
        <f>VLOOKUP(A483,'f Excel formulas for calculatio'!A:H,3,FALSE)</f>
        <v>33</v>
      </c>
      <c r="D483" s="4" t="str">
        <f>VLOOKUP(A483,'f Excel formulas for calculatio'!A:H,4,FALSE)</f>
        <v>Male</v>
      </c>
      <c r="E483" s="4" t="str">
        <f>VLOOKUP(A483,'f Excel formulas for calculatio'!A:H,5,FALSE)</f>
        <v>Robinchester</v>
      </c>
      <c r="F483" s="4" t="str">
        <f>VLOOKUP(A483,'f Excel formulas for calculatio'!A:H,6,FALSE)</f>
        <v>Florida</v>
      </c>
      <c r="G483" s="4" t="str">
        <f>VLOOKUP(A483,'f Excel formulas for calculatio'!A:H,7,FALSE)</f>
        <v>USA</v>
      </c>
      <c r="H483" s="4" t="str">
        <f>VLOOKUP(A483,'f Excel formulas for calculatio'!A:H,8,FALSE)</f>
        <v>Bronze</v>
      </c>
    </row>
    <row r="484" spans="1:8" x14ac:dyDescent="0.25">
      <c r="A484" s="4" t="s">
        <v>1493</v>
      </c>
      <c r="B484" s="4" t="str">
        <f>VLOOKUP(A484,'f Excel formulas for calculatio'!A:H,2,FALSE)</f>
        <v>Bryan Tran</v>
      </c>
      <c r="C484" s="4">
        <f>VLOOKUP(A484,'f Excel formulas for calculatio'!A:H,3,FALSE)</f>
        <v>21</v>
      </c>
      <c r="D484" s="4" t="str">
        <f>VLOOKUP(A484,'f Excel formulas for calculatio'!A:H,4,FALSE)</f>
        <v>Male</v>
      </c>
      <c r="E484" s="4" t="str">
        <f>VLOOKUP(A484,'f Excel formulas for calculatio'!A:H,5,FALSE)</f>
        <v>Kelseybury</v>
      </c>
      <c r="F484" s="4" t="str">
        <f>VLOOKUP(A484,'f Excel formulas for calculatio'!A:H,6,FALSE)</f>
        <v>Georgia</v>
      </c>
      <c r="G484" s="4" t="str">
        <f>VLOOKUP(A484,'f Excel formulas for calculatio'!A:H,7,FALSE)</f>
        <v>USA</v>
      </c>
      <c r="H484" s="4" t="str">
        <f>VLOOKUP(A484,'f Excel formulas for calculatio'!A:H,8,FALSE)</f>
        <v>Gold</v>
      </c>
    </row>
    <row r="485" spans="1:8" x14ac:dyDescent="0.25">
      <c r="A485" s="9" t="s">
        <v>1496</v>
      </c>
      <c r="B485" s="4" t="str">
        <f>VLOOKUP(A485,'f Excel formulas for calculatio'!A:H,2,FALSE)</f>
        <v>Sheri Joyce</v>
      </c>
      <c r="C485" s="4">
        <f>VLOOKUP(A485,'f Excel formulas for calculatio'!A:H,3,FALSE)</f>
        <v>26</v>
      </c>
      <c r="D485" s="4" t="str">
        <f>VLOOKUP(A485,'f Excel formulas for calculatio'!A:H,4,FALSE)</f>
        <v>Male</v>
      </c>
      <c r="E485" s="4" t="str">
        <f>VLOOKUP(A485,'f Excel formulas for calculatio'!A:H,5,FALSE)</f>
        <v>West Tylerfort</v>
      </c>
      <c r="F485" s="4" t="str">
        <f>VLOOKUP(A485,'f Excel formulas for calculatio'!A:H,6,FALSE)</f>
        <v>Kentucky</v>
      </c>
      <c r="G485" s="4" t="str">
        <f>VLOOKUP(A485,'f Excel formulas for calculatio'!A:H,7,FALSE)</f>
        <v>USA</v>
      </c>
      <c r="H485" s="4" t="str">
        <f>VLOOKUP(A485,'f Excel formulas for calculatio'!A:H,8,FALSE)</f>
        <v>Platinum</v>
      </c>
    </row>
    <row r="486" spans="1:8" x14ac:dyDescent="0.25">
      <c r="A486" s="4" t="s">
        <v>1499</v>
      </c>
      <c r="B486" s="4" t="str">
        <f>VLOOKUP(A486,'f Excel formulas for calculatio'!A:H,2,FALSE)</f>
        <v>Sarah Smith</v>
      </c>
      <c r="C486" s="4">
        <f>VLOOKUP(A486,'f Excel formulas for calculatio'!A:H,3,FALSE)</f>
        <v>48</v>
      </c>
      <c r="D486" s="4" t="str">
        <f>VLOOKUP(A486,'f Excel formulas for calculatio'!A:H,4,FALSE)</f>
        <v>Male</v>
      </c>
      <c r="E486" s="4" t="str">
        <f>VLOOKUP(A486,'f Excel formulas for calculatio'!A:H,5,FALSE)</f>
        <v>East Rodney</v>
      </c>
      <c r="F486" s="4" t="str">
        <f>VLOOKUP(A486,'f Excel formulas for calculatio'!A:H,6,FALSE)</f>
        <v>Nevada</v>
      </c>
      <c r="G486" s="4" t="str">
        <f>VLOOKUP(A486,'f Excel formulas for calculatio'!A:H,7,FALSE)</f>
        <v>USA</v>
      </c>
      <c r="H486" s="4" t="str">
        <f>VLOOKUP(A486,'f Excel formulas for calculatio'!A:H,8,FALSE)</f>
        <v>Gold</v>
      </c>
    </row>
    <row r="487" spans="1:8" x14ac:dyDescent="0.25">
      <c r="A487" s="9" t="s">
        <v>1501</v>
      </c>
      <c r="B487" s="4" t="str">
        <f>VLOOKUP(A487,'f Excel formulas for calculatio'!A:H,2,FALSE)</f>
        <v>Jessica Castro</v>
      </c>
      <c r="C487" s="4">
        <f>VLOOKUP(A487,'f Excel formulas for calculatio'!A:H,3,FALSE)</f>
        <v>32</v>
      </c>
      <c r="D487" s="4" t="str">
        <f>VLOOKUP(A487,'f Excel formulas for calculatio'!A:H,4,FALSE)</f>
        <v>Male</v>
      </c>
      <c r="E487" s="4" t="str">
        <f>VLOOKUP(A487,'f Excel formulas for calculatio'!A:H,5,FALSE)</f>
        <v>West Markton</v>
      </c>
      <c r="F487" s="4" t="str">
        <f>VLOOKUP(A487,'f Excel formulas for calculatio'!A:H,6,FALSE)</f>
        <v>Massachusetts</v>
      </c>
      <c r="G487" s="4" t="str">
        <f>VLOOKUP(A487,'f Excel formulas for calculatio'!A:H,7,FALSE)</f>
        <v>USA</v>
      </c>
      <c r="H487" s="4" t="str">
        <f>VLOOKUP(A487,'f Excel formulas for calculatio'!A:H,8,FALSE)</f>
        <v>Bronze</v>
      </c>
    </row>
    <row r="488" spans="1:8" x14ac:dyDescent="0.25">
      <c r="A488" s="4" t="s">
        <v>1504</v>
      </c>
      <c r="B488" s="4" t="str">
        <f>VLOOKUP(A488,'f Excel formulas for calculatio'!A:H,2,FALSE)</f>
        <v>Sara Ingram</v>
      </c>
      <c r="C488" s="4">
        <f>VLOOKUP(A488,'f Excel formulas for calculatio'!A:H,3,FALSE)</f>
        <v>46</v>
      </c>
      <c r="D488" s="4" t="str">
        <f>VLOOKUP(A488,'f Excel formulas for calculatio'!A:H,4,FALSE)</f>
        <v>Female</v>
      </c>
      <c r="E488" s="4" t="str">
        <f>VLOOKUP(A488,'f Excel formulas for calculatio'!A:H,5,FALSE)</f>
        <v>East Dillonview</v>
      </c>
      <c r="F488" s="4" t="str">
        <f>VLOOKUP(A488,'f Excel formulas for calculatio'!A:H,6,FALSE)</f>
        <v>Virginia</v>
      </c>
      <c r="G488" s="4" t="str">
        <f>VLOOKUP(A488,'f Excel formulas for calculatio'!A:H,7,FALSE)</f>
        <v>USA</v>
      </c>
      <c r="H488" s="4" t="str">
        <f>VLOOKUP(A488,'f Excel formulas for calculatio'!A:H,8,FALSE)</f>
        <v>Bronze</v>
      </c>
    </row>
    <row r="489" spans="1:8" x14ac:dyDescent="0.25">
      <c r="A489" s="9" t="s">
        <v>1551</v>
      </c>
      <c r="B489" s="4" t="str">
        <f>VLOOKUP(A489,'f Excel formulas for calculatio'!A:H,2,FALSE)</f>
        <v>Eric Lee</v>
      </c>
      <c r="C489" s="4">
        <f>VLOOKUP(A489,'f Excel formulas for calculatio'!A:H,3,FALSE)</f>
        <v>22</v>
      </c>
      <c r="D489" s="4" t="str">
        <f>VLOOKUP(A489,'f Excel formulas for calculatio'!A:H,4,FALSE)</f>
        <v>Female</v>
      </c>
      <c r="E489" s="4" t="str">
        <f>VLOOKUP(A489,'f Excel formulas for calculatio'!A:H,5,FALSE)</f>
        <v>Lake April</v>
      </c>
      <c r="F489" s="4" t="str">
        <f>VLOOKUP(A489,'f Excel formulas for calculatio'!A:H,6,FALSE)</f>
        <v>Vermont</v>
      </c>
      <c r="G489" s="4" t="str">
        <f>VLOOKUP(A489,'f Excel formulas for calculatio'!A:H,7,FALSE)</f>
        <v>USA</v>
      </c>
      <c r="H489" s="4" t="str">
        <f>VLOOKUP(A489,'f Excel formulas for calculatio'!A:H,8,FALSE)</f>
        <v>Bronze</v>
      </c>
    </row>
    <row r="490" spans="1:8" x14ac:dyDescent="0.25">
      <c r="A490" s="4" t="s">
        <v>1510</v>
      </c>
      <c r="B490" s="4" t="str">
        <f>VLOOKUP(A490,'f Excel formulas for calculatio'!A:H,2,FALSE)</f>
        <v>Amanda Medina</v>
      </c>
      <c r="C490" s="4">
        <f>VLOOKUP(A490,'f Excel formulas for calculatio'!A:H,3,FALSE)</f>
        <v>36</v>
      </c>
      <c r="D490" s="4" t="str">
        <f>VLOOKUP(A490,'f Excel formulas for calculatio'!A:H,4,FALSE)</f>
        <v>Female</v>
      </c>
      <c r="E490" s="4" t="str">
        <f>VLOOKUP(A490,'f Excel formulas for calculatio'!A:H,5,FALSE)</f>
        <v>East Patriciastad</v>
      </c>
      <c r="F490" s="4" t="str">
        <f>VLOOKUP(A490,'f Excel formulas for calculatio'!A:H,6,FALSE)</f>
        <v>Utah</v>
      </c>
      <c r="G490" s="4" t="str">
        <f>VLOOKUP(A490,'f Excel formulas for calculatio'!A:H,7,FALSE)</f>
        <v>USA</v>
      </c>
      <c r="H490" s="4" t="str">
        <f>VLOOKUP(A490,'f Excel formulas for calculatio'!A:H,8,FALSE)</f>
        <v>Platinum</v>
      </c>
    </row>
    <row r="491" spans="1:8" x14ac:dyDescent="0.25">
      <c r="A491" s="9" t="s">
        <v>1513</v>
      </c>
      <c r="B491" s="4" t="str">
        <f>VLOOKUP(A491,'f Excel formulas for calculatio'!A:H,2,FALSE)</f>
        <v>Zachary Andrade</v>
      </c>
      <c r="C491" s="4">
        <f>VLOOKUP(A491,'f Excel formulas for calculatio'!A:H,3,FALSE)</f>
        <v>23</v>
      </c>
      <c r="D491" s="4" t="str">
        <f>VLOOKUP(A491,'f Excel formulas for calculatio'!A:H,4,FALSE)</f>
        <v>Female</v>
      </c>
      <c r="E491" s="4" t="str">
        <f>VLOOKUP(A491,'f Excel formulas for calculatio'!A:H,5,FALSE)</f>
        <v>South Davidport</v>
      </c>
      <c r="F491" s="4" t="str">
        <f>VLOOKUP(A491,'f Excel formulas for calculatio'!A:H,6,FALSE)</f>
        <v>California</v>
      </c>
      <c r="G491" s="4" t="str">
        <f>VLOOKUP(A491,'f Excel formulas for calculatio'!A:H,7,FALSE)</f>
        <v>USA</v>
      </c>
      <c r="H491" s="4" t="str">
        <f>VLOOKUP(A491,'f Excel formulas for calculatio'!A:H,8,FALSE)</f>
        <v>Platinum</v>
      </c>
    </row>
    <row r="492" spans="1:8" x14ac:dyDescent="0.25">
      <c r="A492" s="4" t="s">
        <v>1516</v>
      </c>
      <c r="B492" s="4" t="str">
        <f>VLOOKUP(A492,'f Excel formulas for calculatio'!A:H,2,FALSE)</f>
        <v>Melinda Thomas</v>
      </c>
      <c r="C492" s="4">
        <f>VLOOKUP(A492,'f Excel formulas for calculatio'!A:H,3,FALSE)</f>
        <v>42</v>
      </c>
      <c r="D492" s="4" t="str">
        <f>VLOOKUP(A492,'f Excel formulas for calculatio'!A:H,4,FALSE)</f>
        <v>Female</v>
      </c>
      <c r="E492" s="4" t="str">
        <f>VLOOKUP(A492,'f Excel formulas for calculatio'!A:H,5,FALSE)</f>
        <v>Lake Elizabethside</v>
      </c>
      <c r="F492" s="4" t="str">
        <f>VLOOKUP(A492,'f Excel formulas for calculatio'!A:H,6,FALSE)</f>
        <v>Indiana</v>
      </c>
      <c r="G492" s="4" t="str">
        <f>VLOOKUP(A492,'f Excel formulas for calculatio'!A:H,7,FALSE)</f>
        <v>USA</v>
      </c>
      <c r="H492" s="4" t="str">
        <f>VLOOKUP(A492,'f Excel formulas for calculatio'!A:H,8,FALSE)</f>
        <v>Silver</v>
      </c>
    </row>
    <row r="493" spans="1:8" x14ac:dyDescent="0.25">
      <c r="A493" s="9" t="s">
        <v>1519</v>
      </c>
      <c r="B493" s="4" t="str">
        <f>VLOOKUP(A493,'f Excel formulas for calculatio'!A:H,2,FALSE)</f>
        <v>Scott Harris</v>
      </c>
      <c r="C493" s="4">
        <f>VLOOKUP(A493,'f Excel formulas for calculatio'!A:H,3,FALSE)</f>
        <v>23</v>
      </c>
      <c r="D493" s="4" t="str">
        <f>VLOOKUP(A493,'f Excel formulas for calculatio'!A:H,4,FALSE)</f>
        <v>Male</v>
      </c>
      <c r="E493" s="4" t="str">
        <f>VLOOKUP(A493,'f Excel formulas for calculatio'!A:H,5,FALSE)</f>
        <v>North Nataliemouth</v>
      </c>
      <c r="F493" s="4" t="str">
        <f>VLOOKUP(A493,'f Excel formulas for calculatio'!A:H,6,FALSE)</f>
        <v>Maryland</v>
      </c>
      <c r="G493" s="4" t="str">
        <f>VLOOKUP(A493,'f Excel formulas for calculatio'!A:H,7,FALSE)</f>
        <v>USA</v>
      </c>
      <c r="H493" s="4" t="str">
        <f>VLOOKUP(A493,'f Excel formulas for calculatio'!A:H,8,FALSE)</f>
        <v>Platinum</v>
      </c>
    </row>
    <row r="494" spans="1:8" x14ac:dyDescent="0.25">
      <c r="A494" s="4" t="s">
        <v>1552</v>
      </c>
      <c r="B494" s="4" t="str">
        <f>VLOOKUP(A494,'f Excel formulas for calculatio'!A:H,2,FALSE)</f>
        <v>Kaitlin Brown</v>
      </c>
      <c r="C494" s="4">
        <f>VLOOKUP(A494,'f Excel formulas for calculatio'!A:H,3,FALSE)</f>
        <v>52</v>
      </c>
      <c r="D494" s="4" t="str">
        <f>VLOOKUP(A494,'f Excel formulas for calculatio'!A:H,4,FALSE)</f>
        <v>Female</v>
      </c>
      <c r="E494" s="4" t="str">
        <f>VLOOKUP(A494,'f Excel formulas for calculatio'!A:H,5,FALSE)</f>
        <v>Kellyberg</v>
      </c>
      <c r="F494" s="4" t="str">
        <f>VLOOKUP(A494,'f Excel formulas for calculatio'!A:H,6,FALSE)</f>
        <v>South Dakota</v>
      </c>
      <c r="G494" s="4" t="str">
        <f>VLOOKUP(A494,'f Excel formulas for calculatio'!A:H,7,FALSE)</f>
        <v>USA</v>
      </c>
      <c r="H494" s="4" t="str">
        <f>VLOOKUP(A494,'f Excel formulas for calculatio'!A:H,8,FALSE)</f>
        <v>Gold</v>
      </c>
    </row>
    <row r="495" spans="1:8" x14ac:dyDescent="0.25">
      <c r="A495" s="9" t="s">
        <v>1525</v>
      </c>
      <c r="B495" s="4" t="str">
        <f>VLOOKUP(A495,'f Excel formulas for calculatio'!A:H,2,FALSE)</f>
        <v>Darrell Miller</v>
      </c>
      <c r="C495" s="4">
        <f>VLOOKUP(A495,'f Excel formulas for calculatio'!A:H,3,FALSE)</f>
        <v>59</v>
      </c>
      <c r="D495" s="4" t="str">
        <f>VLOOKUP(A495,'f Excel formulas for calculatio'!A:H,4,FALSE)</f>
        <v>Female</v>
      </c>
      <c r="E495" s="4" t="str">
        <f>VLOOKUP(A495,'f Excel formulas for calculatio'!A:H,5,FALSE)</f>
        <v>Port Carol</v>
      </c>
      <c r="F495" s="4" t="str">
        <f>VLOOKUP(A495,'f Excel formulas for calculatio'!A:H,6,FALSE)</f>
        <v>Florida</v>
      </c>
      <c r="G495" s="4" t="str">
        <f>VLOOKUP(A495,'f Excel formulas for calculatio'!A:H,7,FALSE)</f>
        <v>USA</v>
      </c>
      <c r="H495" s="4" t="str">
        <f>VLOOKUP(A495,'f Excel formulas for calculatio'!A:H,8,FALSE)</f>
        <v>Platinum</v>
      </c>
    </row>
    <row r="496" spans="1:8" x14ac:dyDescent="0.25">
      <c r="A496" s="4" t="s">
        <v>1528</v>
      </c>
      <c r="B496" s="4" t="str">
        <f>VLOOKUP(A496,'f Excel formulas for calculatio'!A:H,2,FALSE)</f>
        <v>Amanda Powell</v>
      </c>
      <c r="C496" s="4">
        <f>VLOOKUP(A496,'f Excel formulas for calculatio'!A:H,3,FALSE)</f>
        <v>28</v>
      </c>
      <c r="D496" s="4" t="str">
        <f>VLOOKUP(A496,'f Excel formulas for calculatio'!A:H,4,FALSE)</f>
        <v>Male</v>
      </c>
      <c r="E496" s="4" t="str">
        <f>VLOOKUP(A496,'f Excel formulas for calculatio'!A:H,5,FALSE)</f>
        <v>South William</v>
      </c>
      <c r="F496" s="4" t="str">
        <f>VLOOKUP(A496,'f Excel formulas for calculatio'!A:H,6,FALSE)</f>
        <v>Alabama</v>
      </c>
      <c r="G496" s="4" t="str">
        <f>VLOOKUP(A496,'f Excel formulas for calculatio'!A:H,7,FALSE)</f>
        <v>USA</v>
      </c>
      <c r="H496" s="4" t="str">
        <f>VLOOKUP(A496,'f Excel formulas for calculatio'!A:H,8,FALSE)</f>
        <v>Silver</v>
      </c>
    </row>
    <row r="497" spans="1:8" x14ac:dyDescent="0.25">
      <c r="A497" s="9" t="s">
        <v>1530</v>
      </c>
      <c r="B497" s="4" t="str">
        <f>VLOOKUP(A497,'f Excel formulas for calculatio'!A:H,2,FALSE)</f>
        <v>Justin Lopez</v>
      </c>
      <c r="C497" s="4">
        <f>VLOOKUP(A497,'f Excel formulas for calculatio'!A:H,3,FALSE)</f>
        <v>21</v>
      </c>
      <c r="D497" s="4" t="str">
        <f>VLOOKUP(A497,'f Excel formulas for calculatio'!A:H,4,FALSE)</f>
        <v>Male</v>
      </c>
      <c r="E497" s="4" t="str">
        <f>VLOOKUP(A497,'f Excel formulas for calculatio'!A:H,5,FALSE)</f>
        <v>Port Cheryl</v>
      </c>
      <c r="F497" s="4" t="str">
        <f>VLOOKUP(A497,'f Excel formulas for calculatio'!A:H,6,FALSE)</f>
        <v>Texas</v>
      </c>
      <c r="G497" s="4" t="str">
        <f>VLOOKUP(A497,'f Excel formulas for calculatio'!A:H,7,FALSE)</f>
        <v>USA</v>
      </c>
      <c r="H497" s="4" t="str">
        <f>VLOOKUP(A497,'f Excel formulas for calculatio'!A:H,8,FALSE)</f>
        <v>Gold</v>
      </c>
    </row>
    <row r="498" spans="1:8" x14ac:dyDescent="0.25">
      <c r="A498" s="4" t="s">
        <v>1533</v>
      </c>
      <c r="B498" s="4" t="str">
        <f>VLOOKUP(A498,'f Excel formulas for calculatio'!A:H,2,FALSE)</f>
        <v>James Berger</v>
      </c>
      <c r="C498" s="4">
        <f>VLOOKUP(A498,'f Excel formulas for calculatio'!A:H,3,FALSE)</f>
        <v>23</v>
      </c>
      <c r="D498" s="4" t="str">
        <f>VLOOKUP(A498,'f Excel formulas for calculatio'!A:H,4,FALSE)</f>
        <v>Female</v>
      </c>
      <c r="E498" s="4" t="str">
        <f>VLOOKUP(A498,'f Excel formulas for calculatio'!A:H,5,FALSE)</f>
        <v>Bryanmouth</v>
      </c>
      <c r="F498" s="4" t="str">
        <f>VLOOKUP(A498,'f Excel formulas for calculatio'!A:H,6,FALSE)</f>
        <v>Delaware</v>
      </c>
      <c r="G498" s="4" t="str">
        <f>VLOOKUP(A498,'f Excel formulas for calculatio'!A:H,7,FALSE)</f>
        <v>USA</v>
      </c>
      <c r="H498" s="4" t="str">
        <f>VLOOKUP(A498,'f Excel formulas for calculatio'!A:H,8,FALSE)</f>
        <v>Bronze</v>
      </c>
    </row>
    <row r="499" spans="1:8" x14ac:dyDescent="0.25">
      <c r="A499" s="9" t="s">
        <v>1536</v>
      </c>
      <c r="B499" s="4" t="str">
        <f>VLOOKUP(A499,'f Excel formulas for calculatio'!A:H,2,FALSE)</f>
        <v>Christopher Ford</v>
      </c>
      <c r="C499" s="4">
        <f>VLOOKUP(A499,'f Excel formulas for calculatio'!A:H,3,FALSE)</f>
        <v>56</v>
      </c>
      <c r="D499" s="4" t="str">
        <f>VLOOKUP(A499,'f Excel formulas for calculatio'!A:H,4,FALSE)</f>
        <v>Male</v>
      </c>
      <c r="E499" s="4" t="str">
        <f>VLOOKUP(A499,'f Excel formulas for calculatio'!A:H,5,FALSE)</f>
        <v>North Seanfurt</v>
      </c>
      <c r="F499" s="4" t="str">
        <f>VLOOKUP(A499,'f Excel formulas for calculatio'!A:H,6,FALSE)</f>
        <v>Ohio</v>
      </c>
      <c r="G499" s="4" t="str">
        <f>VLOOKUP(A499,'f Excel formulas for calculatio'!A:H,7,FALSE)</f>
        <v>USA</v>
      </c>
      <c r="H499" s="4" t="str">
        <f>VLOOKUP(A499,'f Excel formulas for calculatio'!A:H,8,FALSE)</f>
        <v>Bronze</v>
      </c>
    </row>
    <row r="500" spans="1:8" x14ac:dyDescent="0.25">
      <c r="A500" s="4" t="s">
        <v>1539</v>
      </c>
      <c r="B500" s="4" t="str">
        <f>VLOOKUP(A500,'f Excel formulas for calculatio'!A:H,2,FALSE)</f>
        <v>Sarah Marsh</v>
      </c>
      <c r="C500" s="4">
        <f>VLOOKUP(A500,'f Excel formulas for calculatio'!A:H,3,FALSE)</f>
        <v>47</v>
      </c>
      <c r="D500" s="4" t="str">
        <f>VLOOKUP(A500,'f Excel formulas for calculatio'!A:H,4,FALSE)</f>
        <v>Female</v>
      </c>
      <c r="E500" s="4" t="str">
        <f>VLOOKUP(A500,'f Excel formulas for calculatio'!A:H,5,FALSE)</f>
        <v>Port William</v>
      </c>
      <c r="F500" s="4" t="str">
        <f>VLOOKUP(A500,'f Excel formulas for calculatio'!A:H,6,FALSE)</f>
        <v>New York</v>
      </c>
      <c r="G500" s="4" t="str">
        <f>VLOOKUP(A500,'f Excel formulas for calculatio'!A:H,7,FALSE)</f>
        <v>USA</v>
      </c>
      <c r="H500" s="4" t="str">
        <f>VLOOKUP(A500,'f Excel formulas for calculatio'!A:H,8,FALSE)</f>
        <v>Gold</v>
      </c>
    </row>
    <row r="501" spans="1:8" x14ac:dyDescent="0.25">
      <c r="A501" s="9" t="s">
        <v>1542</v>
      </c>
      <c r="B501" s="4" t="str">
        <f>VLOOKUP(A501,'f Excel formulas for calculatio'!A:H,2,FALSE)</f>
        <v>Traci Gonzalez</v>
      </c>
      <c r="C501" s="4">
        <f>VLOOKUP(A501,'f Excel formulas for calculatio'!A:H,3,FALSE)</f>
        <v>35</v>
      </c>
      <c r="D501" s="4" t="str">
        <f>VLOOKUP(A501,'f Excel formulas for calculatio'!A:H,4,FALSE)</f>
        <v>Male</v>
      </c>
      <c r="E501" s="4" t="str">
        <f>VLOOKUP(A501,'f Excel formulas for calculatio'!A:H,5,FALSE)</f>
        <v>Snyderfurt</v>
      </c>
      <c r="F501" s="4" t="str">
        <f>VLOOKUP(A501,'f Excel formulas for calculatio'!A:H,6,FALSE)</f>
        <v>New Mexico</v>
      </c>
      <c r="G501" s="4" t="str">
        <f>VLOOKUP(A501,'f Excel formulas for calculatio'!A:H,7,FALSE)</f>
        <v>USA</v>
      </c>
      <c r="H501" s="4" t="str">
        <f>VLOOKUP(A501,'f Excel formulas for calculatio'!A:H,8,FALSE)</f>
        <v>Silver</v>
      </c>
    </row>
    <row r="502" spans="1:8" x14ac:dyDescent="0.25">
      <c r="A502" s="4" t="s">
        <v>1553</v>
      </c>
      <c r="B502" s="4" t="str">
        <f>VLOOKUP(A502,'f Excel formulas for calculatio'!A:H,2,FALSE)</f>
        <v>Philip Pennington</v>
      </c>
      <c r="C502" s="4">
        <f>VLOOKUP(A502,'f Excel formulas for calculatio'!A:H,3,FALSE)</f>
        <v>27</v>
      </c>
      <c r="D502" s="4" t="str">
        <f>VLOOKUP(A502,'f Excel formulas for calculatio'!A:H,4,FALSE)</f>
        <v>Female</v>
      </c>
      <c r="E502" s="4" t="str">
        <f>VLOOKUP(A502,'f Excel formulas for calculatio'!A:H,5,FALSE)</f>
        <v>East Valerieview</v>
      </c>
      <c r="F502" s="4" t="str">
        <f>VLOOKUP(A502,'f Excel formulas for calculatio'!A:H,6,FALSE)</f>
        <v>Oregon</v>
      </c>
      <c r="G502" s="4" t="str">
        <f>VLOOKUP(A502,'f Excel formulas for calculatio'!A:H,7,FALSE)</f>
        <v>USA</v>
      </c>
      <c r="H502" s="4" t="str">
        <f>VLOOKUP(A502,'f Excel formulas for calculatio'!A:H,8,FALSE)</f>
        <v>Platinum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0C80-7877-458E-BEA9-364A0863EE96}">
  <dimension ref="A3:B623"/>
  <sheetViews>
    <sheetView topLeftCell="A124" workbookViewId="0">
      <selection activeCell="B3" sqref="B3"/>
    </sheetView>
  </sheetViews>
  <sheetFormatPr defaultRowHeight="15" x14ac:dyDescent="0.25"/>
  <cols>
    <col min="1" max="1" width="17.140625" bestFit="1" customWidth="1"/>
    <col min="2" max="2" width="20.7109375" bestFit="1" customWidth="1"/>
    <col min="3" max="3" width="12.42578125" bestFit="1" customWidth="1"/>
  </cols>
  <sheetData>
    <row r="3" spans="1:2" x14ac:dyDescent="0.25">
      <c r="A3" s="10" t="s">
        <v>1562</v>
      </c>
      <c r="B3" t="s">
        <v>1563</v>
      </c>
    </row>
    <row r="4" spans="1:2" x14ac:dyDescent="0.25">
      <c r="A4" s="11" t="s">
        <v>23</v>
      </c>
    </row>
    <row r="5" spans="1:2" x14ac:dyDescent="0.25">
      <c r="A5" s="12" t="s">
        <v>16</v>
      </c>
    </row>
    <row r="6" spans="1:2" x14ac:dyDescent="0.25">
      <c r="A6" s="13" t="s">
        <v>1565</v>
      </c>
      <c r="B6">
        <v>1</v>
      </c>
    </row>
    <row r="7" spans="1:2" x14ac:dyDescent="0.25">
      <c r="A7" s="13" t="s">
        <v>1566</v>
      </c>
      <c r="B7">
        <v>1</v>
      </c>
    </row>
    <row r="8" spans="1:2" x14ac:dyDescent="0.25">
      <c r="A8" s="13" t="s">
        <v>1567</v>
      </c>
      <c r="B8">
        <v>1</v>
      </c>
    </row>
    <row r="9" spans="1:2" x14ac:dyDescent="0.25">
      <c r="A9" s="13" t="s">
        <v>1570</v>
      </c>
      <c r="B9">
        <v>1</v>
      </c>
    </row>
    <row r="10" spans="1:2" x14ac:dyDescent="0.25">
      <c r="A10" s="13" t="s">
        <v>1571</v>
      </c>
      <c r="B10">
        <v>1</v>
      </c>
    </row>
    <row r="11" spans="1:2" x14ac:dyDescent="0.25">
      <c r="A11" s="12" t="s">
        <v>10</v>
      </c>
    </row>
    <row r="12" spans="1:2" x14ac:dyDescent="0.25">
      <c r="A12" s="13" t="s">
        <v>1564</v>
      </c>
      <c r="B12">
        <v>1</v>
      </c>
    </row>
    <row r="13" spans="1:2" x14ac:dyDescent="0.25">
      <c r="A13" s="13" t="s">
        <v>1568</v>
      </c>
      <c r="B13">
        <v>1</v>
      </c>
    </row>
    <row r="14" spans="1:2" x14ac:dyDescent="0.25">
      <c r="A14" s="13" t="s">
        <v>1569</v>
      </c>
      <c r="B14">
        <v>1</v>
      </c>
    </row>
    <row r="15" spans="1:2" x14ac:dyDescent="0.25">
      <c r="A15" s="13" t="s">
        <v>1572</v>
      </c>
      <c r="B15">
        <v>1</v>
      </c>
    </row>
    <row r="16" spans="1:2" x14ac:dyDescent="0.25">
      <c r="A16" s="11" t="s">
        <v>167</v>
      </c>
    </row>
    <row r="17" spans="1:2" x14ac:dyDescent="0.25">
      <c r="A17" s="12" t="s">
        <v>16</v>
      </c>
    </row>
    <row r="18" spans="1:2" x14ac:dyDescent="0.25">
      <c r="A18" s="13" t="s">
        <v>1573</v>
      </c>
      <c r="B18">
        <v>1</v>
      </c>
    </row>
    <row r="19" spans="1:2" x14ac:dyDescent="0.25">
      <c r="A19" s="13" t="s">
        <v>1575</v>
      </c>
      <c r="B19">
        <v>1</v>
      </c>
    </row>
    <row r="20" spans="1:2" x14ac:dyDescent="0.25">
      <c r="A20" s="13" t="s">
        <v>1577</v>
      </c>
      <c r="B20">
        <v>1</v>
      </c>
    </row>
    <row r="21" spans="1:2" x14ac:dyDescent="0.25">
      <c r="A21" s="13" t="s">
        <v>1579</v>
      </c>
      <c r="B21">
        <v>1</v>
      </c>
    </row>
    <row r="22" spans="1:2" x14ac:dyDescent="0.25">
      <c r="A22" s="13" t="s">
        <v>1581</v>
      </c>
      <c r="B22">
        <v>1</v>
      </c>
    </row>
    <row r="23" spans="1:2" x14ac:dyDescent="0.25">
      <c r="A23" s="12" t="s">
        <v>10</v>
      </c>
    </row>
    <row r="24" spans="1:2" x14ac:dyDescent="0.25">
      <c r="A24" s="13" t="s">
        <v>1574</v>
      </c>
      <c r="B24">
        <v>1</v>
      </c>
    </row>
    <row r="25" spans="1:2" x14ac:dyDescent="0.25">
      <c r="A25" s="13" t="s">
        <v>1576</v>
      </c>
      <c r="B25">
        <v>1</v>
      </c>
    </row>
    <row r="26" spans="1:2" x14ac:dyDescent="0.25">
      <c r="A26" s="13" t="s">
        <v>1578</v>
      </c>
      <c r="B26">
        <v>1</v>
      </c>
    </row>
    <row r="27" spans="1:2" x14ac:dyDescent="0.25">
      <c r="A27" s="13" t="s">
        <v>1566</v>
      </c>
      <c r="B27">
        <v>1</v>
      </c>
    </row>
    <row r="28" spans="1:2" x14ac:dyDescent="0.25">
      <c r="A28" s="13" t="s">
        <v>1580</v>
      </c>
      <c r="B28">
        <v>1</v>
      </c>
    </row>
    <row r="29" spans="1:2" x14ac:dyDescent="0.25">
      <c r="A29" s="13" t="s">
        <v>1571</v>
      </c>
      <c r="B29">
        <v>1</v>
      </c>
    </row>
    <row r="30" spans="1:2" x14ac:dyDescent="0.25">
      <c r="A30" s="11" t="s">
        <v>137</v>
      </c>
    </row>
    <row r="31" spans="1:2" x14ac:dyDescent="0.25">
      <c r="A31" s="12" t="s">
        <v>16</v>
      </c>
    </row>
    <row r="32" spans="1:2" x14ac:dyDescent="0.25">
      <c r="A32" s="13" t="s">
        <v>1573</v>
      </c>
      <c r="B32">
        <v>2</v>
      </c>
    </row>
    <row r="33" spans="1:2" x14ac:dyDescent="0.25">
      <c r="A33" s="13" t="s">
        <v>1565</v>
      </c>
      <c r="B33">
        <v>1</v>
      </c>
    </row>
    <row r="34" spans="1:2" x14ac:dyDescent="0.25">
      <c r="A34" s="13" t="s">
        <v>1566</v>
      </c>
      <c r="B34">
        <v>1</v>
      </c>
    </row>
    <row r="35" spans="1:2" x14ac:dyDescent="0.25">
      <c r="A35" s="13" t="s">
        <v>1584</v>
      </c>
      <c r="B35">
        <v>1</v>
      </c>
    </row>
    <row r="36" spans="1:2" x14ac:dyDescent="0.25">
      <c r="A36" s="13" t="s">
        <v>1585</v>
      </c>
      <c r="B36">
        <v>1</v>
      </c>
    </row>
    <row r="37" spans="1:2" x14ac:dyDescent="0.25">
      <c r="A37" s="13" t="s">
        <v>1587</v>
      </c>
      <c r="B37">
        <v>1</v>
      </c>
    </row>
    <row r="38" spans="1:2" x14ac:dyDescent="0.25">
      <c r="A38" s="13" t="s">
        <v>1581</v>
      </c>
      <c r="B38">
        <v>1</v>
      </c>
    </row>
    <row r="39" spans="1:2" x14ac:dyDescent="0.25">
      <c r="A39" s="12" t="s">
        <v>10</v>
      </c>
    </row>
    <row r="40" spans="1:2" x14ac:dyDescent="0.25">
      <c r="A40" s="13" t="s">
        <v>1582</v>
      </c>
      <c r="B40">
        <v>1</v>
      </c>
    </row>
    <row r="41" spans="1:2" x14ac:dyDescent="0.25">
      <c r="A41" s="13" t="s">
        <v>1583</v>
      </c>
      <c r="B41">
        <v>1</v>
      </c>
    </row>
    <row r="42" spans="1:2" x14ac:dyDescent="0.25">
      <c r="A42" s="13" t="s">
        <v>1580</v>
      </c>
      <c r="B42">
        <v>1</v>
      </c>
    </row>
    <row r="43" spans="1:2" x14ac:dyDescent="0.25">
      <c r="A43" s="13" t="s">
        <v>1586</v>
      </c>
      <c r="B43">
        <v>1</v>
      </c>
    </row>
    <row r="44" spans="1:2" x14ac:dyDescent="0.25">
      <c r="A44" s="13" t="s">
        <v>1571</v>
      </c>
      <c r="B44">
        <v>1</v>
      </c>
    </row>
    <row r="45" spans="1:2" x14ac:dyDescent="0.25">
      <c r="A45" s="11" t="s">
        <v>295</v>
      </c>
    </row>
    <row r="46" spans="1:2" x14ac:dyDescent="0.25">
      <c r="A46" s="12" t="s">
        <v>16</v>
      </c>
    </row>
    <row r="47" spans="1:2" x14ac:dyDescent="0.25">
      <c r="A47" s="13" t="s">
        <v>1575</v>
      </c>
      <c r="B47">
        <v>2</v>
      </c>
    </row>
    <row r="48" spans="1:2" x14ac:dyDescent="0.25">
      <c r="A48" s="13" t="s">
        <v>1590</v>
      </c>
      <c r="B48">
        <v>1</v>
      </c>
    </row>
    <row r="49" spans="1:2" x14ac:dyDescent="0.25">
      <c r="A49" s="12" t="s">
        <v>10</v>
      </c>
    </row>
    <row r="50" spans="1:2" x14ac:dyDescent="0.25">
      <c r="A50" s="13" t="s">
        <v>1566</v>
      </c>
      <c r="B50">
        <v>1</v>
      </c>
    </row>
    <row r="51" spans="1:2" x14ac:dyDescent="0.25">
      <c r="A51" s="13" t="s">
        <v>1588</v>
      </c>
      <c r="B51">
        <v>1</v>
      </c>
    </row>
    <row r="52" spans="1:2" x14ac:dyDescent="0.25">
      <c r="A52" s="13" t="s">
        <v>1570</v>
      </c>
      <c r="B52">
        <v>1</v>
      </c>
    </row>
    <row r="53" spans="1:2" x14ac:dyDescent="0.25">
      <c r="A53" s="13" t="s">
        <v>1589</v>
      </c>
      <c r="B53">
        <v>1</v>
      </c>
    </row>
    <row r="54" spans="1:2" x14ac:dyDescent="0.25">
      <c r="A54" s="13" t="s">
        <v>1586</v>
      </c>
      <c r="B54">
        <v>2</v>
      </c>
    </row>
    <row r="55" spans="1:2" x14ac:dyDescent="0.25">
      <c r="A55" s="11" t="s">
        <v>32</v>
      </c>
    </row>
    <row r="56" spans="1:2" x14ac:dyDescent="0.25">
      <c r="A56" s="12" t="s">
        <v>16</v>
      </c>
    </row>
    <row r="57" spans="1:2" x14ac:dyDescent="0.25">
      <c r="A57" s="13" t="s">
        <v>1591</v>
      </c>
      <c r="B57">
        <v>1</v>
      </c>
    </row>
    <row r="58" spans="1:2" x14ac:dyDescent="0.25">
      <c r="A58" s="13" t="s">
        <v>1592</v>
      </c>
      <c r="B58">
        <v>1</v>
      </c>
    </row>
    <row r="59" spans="1:2" x14ac:dyDescent="0.25">
      <c r="A59" s="13" t="s">
        <v>1595</v>
      </c>
      <c r="B59">
        <v>1</v>
      </c>
    </row>
    <row r="60" spans="1:2" x14ac:dyDescent="0.25">
      <c r="A60" s="13" t="s">
        <v>1588</v>
      </c>
      <c r="B60">
        <v>1</v>
      </c>
    </row>
    <row r="61" spans="1:2" x14ac:dyDescent="0.25">
      <c r="A61" s="13" t="s">
        <v>1584</v>
      </c>
      <c r="B61">
        <v>1</v>
      </c>
    </row>
    <row r="62" spans="1:2" x14ac:dyDescent="0.25">
      <c r="A62" s="13" t="s">
        <v>1580</v>
      </c>
      <c r="B62">
        <v>1</v>
      </c>
    </row>
    <row r="63" spans="1:2" x14ac:dyDescent="0.25">
      <c r="A63" s="13" t="s">
        <v>1590</v>
      </c>
      <c r="B63">
        <v>1</v>
      </c>
    </row>
    <row r="64" spans="1:2" x14ac:dyDescent="0.25">
      <c r="A64" s="13" t="s">
        <v>1597</v>
      </c>
      <c r="B64">
        <v>1</v>
      </c>
    </row>
    <row r="65" spans="1:2" x14ac:dyDescent="0.25">
      <c r="A65" s="13" t="s">
        <v>1572</v>
      </c>
      <c r="B65">
        <v>1</v>
      </c>
    </row>
    <row r="66" spans="1:2" x14ac:dyDescent="0.25">
      <c r="A66" s="12" t="s">
        <v>10</v>
      </c>
    </row>
    <row r="67" spans="1:2" x14ac:dyDescent="0.25">
      <c r="A67" s="13" t="s">
        <v>1593</v>
      </c>
      <c r="B67">
        <v>1</v>
      </c>
    </row>
    <row r="68" spans="1:2" x14ac:dyDescent="0.25">
      <c r="A68" s="13" t="s">
        <v>1594</v>
      </c>
      <c r="B68">
        <v>1</v>
      </c>
    </row>
    <row r="69" spans="1:2" x14ac:dyDescent="0.25">
      <c r="A69" s="13" t="s">
        <v>1596</v>
      </c>
      <c r="B69">
        <v>1</v>
      </c>
    </row>
    <row r="70" spans="1:2" x14ac:dyDescent="0.25">
      <c r="A70" s="13" t="s">
        <v>1568</v>
      </c>
      <c r="B70">
        <v>1</v>
      </c>
    </row>
    <row r="71" spans="1:2" x14ac:dyDescent="0.25">
      <c r="A71" s="11" t="s">
        <v>278</v>
      </c>
    </row>
    <row r="72" spans="1:2" x14ac:dyDescent="0.25">
      <c r="A72" s="12" t="s">
        <v>16</v>
      </c>
    </row>
    <row r="73" spans="1:2" x14ac:dyDescent="0.25">
      <c r="A73" s="13" t="s">
        <v>1575</v>
      </c>
      <c r="B73">
        <v>1</v>
      </c>
    </row>
    <row r="74" spans="1:2" x14ac:dyDescent="0.25">
      <c r="A74" s="12" t="s">
        <v>10</v>
      </c>
    </row>
    <row r="75" spans="1:2" x14ac:dyDescent="0.25">
      <c r="A75" s="13" t="s">
        <v>1593</v>
      </c>
      <c r="B75">
        <v>1</v>
      </c>
    </row>
    <row r="76" spans="1:2" x14ac:dyDescent="0.25">
      <c r="A76" s="13" t="s">
        <v>1586</v>
      </c>
      <c r="B76">
        <v>1</v>
      </c>
    </row>
    <row r="77" spans="1:2" x14ac:dyDescent="0.25">
      <c r="A77" s="11" t="s">
        <v>171</v>
      </c>
    </row>
    <row r="78" spans="1:2" x14ac:dyDescent="0.25">
      <c r="A78" s="12" t="s">
        <v>16</v>
      </c>
    </row>
    <row r="79" spans="1:2" x14ac:dyDescent="0.25">
      <c r="A79" s="13" t="s">
        <v>1594</v>
      </c>
      <c r="B79">
        <v>1</v>
      </c>
    </row>
    <row r="80" spans="1:2" x14ac:dyDescent="0.25">
      <c r="A80" s="13" t="s">
        <v>1583</v>
      </c>
      <c r="B80">
        <v>1</v>
      </c>
    </row>
    <row r="81" spans="1:2" x14ac:dyDescent="0.25">
      <c r="A81" s="13" t="s">
        <v>1600</v>
      </c>
      <c r="B81">
        <v>1</v>
      </c>
    </row>
    <row r="82" spans="1:2" x14ac:dyDescent="0.25">
      <c r="A82" s="13" t="s">
        <v>1601</v>
      </c>
      <c r="B82">
        <v>1</v>
      </c>
    </row>
    <row r="83" spans="1:2" x14ac:dyDescent="0.25">
      <c r="A83" s="13" t="s">
        <v>1568</v>
      </c>
      <c r="B83">
        <v>1</v>
      </c>
    </row>
    <row r="84" spans="1:2" x14ac:dyDescent="0.25">
      <c r="A84" s="13" t="s">
        <v>1569</v>
      </c>
      <c r="B84">
        <v>1</v>
      </c>
    </row>
    <row r="85" spans="1:2" x14ac:dyDescent="0.25">
      <c r="A85" s="13" t="s">
        <v>1586</v>
      </c>
      <c r="B85">
        <v>1</v>
      </c>
    </row>
    <row r="86" spans="1:2" x14ac:dyDescent="0.25">
      <c r="A86" s="12" t="s">
        <v>10</v>
      </c>
    </row>
    <row r="87" spans="1:2" x14ac:dyDescent="0.25">
      <c r="A87" s="13" t="s">
        <v>1598</v>
      </c>
      <c r="B87">
        <v>1</v>
      </c>
    </row>
    <row r="88" spans="1:2" x14ac:dyDescent="0.25">
      <c r="A88" s="13" t="s">
        <v>1574</v>
      </c>
      <c r="B88">
        <v>1</v>
      </c>
    </row>
    <row r="89" spans="1:2" x14ac:dyDescent="0.25">
      <c r="A89" s="13" t="s">
        <v>1565</v>
      </c>
      <c r="B89">
        <v>1</v>
      </c>
    </row>
    <row r="90" spans="1:2" x14ac:dyDescent="0.25">
      <c r="A90" s="13" t="s">
        <v>1594</v>
      </c>
      <c r="B90">
        <v>1</v>
      </c>
    </row>
    <row r="91" spans="1:2" x14ac:dyDescent="0.25">
      <c r="A91" s="13" t="s">
        <v>1599</v>
      </c>
      <c r="B91">
        <v>1</v>
      </c>
    </row>
    <row r="92" spans="1:2" x14ac:dyDescent="0.25">
      <c r="A92" s="13" t="s">
        <v>1580</v>
      </c>
      <c r="B92">
        <v>1</v>
      </c>
    </row>
    <row r="93" spans="1:2" x14ac:dyDescent="0.25">
      <c r="A93" s="13" t="s">
        <v>1586</v>
      </c>
      <c r="B93">
        <v>1</v>
      </c>
    </row>
    <row r="94" spans="1:2" x14ac:dyDescent="0.25">
      <c r="A94" s="13" t="s">
        <v>1590</v>
      </c>
      <c r="B94">
        <v>1</v>
      </c>
    </row>
    <row r="95" spans="1:2" x14ac:dyDescent="0.25">
      <c r="A95" s="11" t="s">
        <v>95</v>
      </c>
    </row>
    <row r="96" spans="1:2" x14ac:dyDescent="0.25">
      <c r="A96" s="12" t="s">
        <v>16</v>
      </c>
    </row>
    <row r="97" spans="1:2" x14ac:dyDescent="0.25">
      <c r="A97" s="13" t="s">
        <v>1591</v>
      </c>
      <c r="B97">
        <v>1</v>
      </c>
    </row>
    <row r="98" spans="1:2" x14ac:dyDescent="0.25">
      <c r="A98" s="13" t="s">
        <v>1592</v>
      </c>
      <c r="B98">
        <v>2</v>
      </c>
    </row>
    <row r="99" spans="1:2" x14ac:dyDescent="0.25">
      <c r="A99" s="13" t="s">
        <v>1564</v>
      </c>
      <c r="B99">
        <v>1</v>
      </c>
    </row>
    <row r="100" spans="1:2" x14ac:dyDescent="0.25">
      <c r="A100" s="13" t="s">
        <v>1596</v>
      </c>
      <c r="B100">
        <v>1</v>
      </c>
    </row>
    <row r="101" spans="1:2" x14ac:dyDescent="0.25">
      <c r="A101" s="13" t="s">
        <v>1602</v>
      </c>
      <c r="B101">
        <v>1</v>
      </c>
    </row>
    <row r="102" spans="1:2" x14ac:dyDescent="0.25">
      <c r="A102" s="12" t="s">
        <v>10</v>
      </c>
    </row>
    <row r="103" spans="1:2" x14ac:dyDescent="0.25">
      <c r="A103" s="13" t="s">
        <v>1584</v>
      </c>
      <c r="B103">
        <v>1</v>
      </c>
    </row>
    <row r="104" spans="1:2" x14ac:dyDescent="0.25">
      <c r="A104" s="13" t="s">
        <v>1590</v>
      </c>
      <c r="B104">
        <v>1</v>
      </c>
    </row>
    <row r="105" spans="1:2" x14ac:dyDescent="0.25">
      <c r="A105" s="11" t="s">
        <v>254</v>
      </c>
    </row>
    <row r="106" spans="1:2" x14ac:dyDescent="0.25">
      <c r="A106" s="12" t="s">
        <v>16</v>
      </c>
    </row>
    <row r="107" spans="1:2" x14ac:dyDescent="0.25">
      <c r="A107" s="13" t="s">
        <v>1583</v>
      </c>
      <c r="B107">
        <v>1</v>
      </c>
    </row>
    <row r="108" spans="1:2" x14ac:dyDescent="0.25">
      <c r="A108" s="13" t="s">
        <v>1569</v>
      </c>
      <c r="B108">
        <v>1</v>
      </c>
    </row>
    <row r="109" spans="1:2" x14ac:dyDescent="0.25">
      <c r="A109" s="13" t="s">
        <v>1590</v>
      </c>
      <c r="B109">
        <v>1</v>
      </c>
    </row>
    <row r="110" spans="1:2" x14ac:dyDescent="0.25">
      <c r="A110" s="13" t="s">
        <v>1587</v>
      </c>
      <c r="B110">
        <v>1</v>
      </c>
    </row>
    <row r="111" spans="1:2" x14ac:dyDescent="0.25">
      <c r="A111" s="12" t="s">
        <v>10</v>
      </c>
    </row>
    <row r="112" spans="1:2" x14ac:dyDescent="0.25">
      <c r="A112" s="13" t="s">
        <v>1565</v>
      </c>
      <c r="B112">
        <v>1</v>
      </c>
    </row>
    <row r="113" spans="1:2" x14ac:dyDescent="0.25">
      <c r="A113" s="13" t="s">
        <v>1582</v>
      </c>
      <c r="B113">
        <v>2</v>
      </c>
    </row>
    <row r="114" spans="1:2" x14ac:dyDescent="0.25">
      <c r="A114" s="13" t="s">
        <v>1603</v>
      </c>
      <c r="B114">
        <v>1</v>
      </c>
    </row>
    <row r="115" spans="1:2" x14ac:dyDescent="0.25">
      <c r="A115" s="13" t="s">
        <v>1586</v>
      </c>
      <c r="B115">
        <v>1</v>
      </c>
    </row>
    <row r="116" spans="1:2" x14ac:dyDescent="0.25">
      <c r="A116" s="11" t="s">
        <v>84</v>
      </c>
    </row>
    <row r="117" spans="1:2" x14ac:dyDescent="0.25">
      <c r="A117" s="12" t="s">
        <v>16</v>
      </c>
    </row>
    <row r="118" spans="1:2" x14ac:dyDescent="0.25">
      <c r="A118" s="13" t="s">
        <v>1591</v>
      </c>
      <c r="B118">
        <v>1</v>
      </c>
    </row>
    <row r="119" spans="1:2" x14ac:dyDescent="0.25">
      <c r="A119" s="13" t="s">
        <v>1600</v>
      </c>
      <c r="B119">
        <v>1</v>
      </c>
    </row>
    <row r="120" spans="1:2" x14ac:dyDescent="0.25">
      <c r="A120" s="13" t="s">
        <v>1584</v>
      </c>
      <c r="B120">
        <v>1</v>
      </c>
    </row>
    <row r="121" spans="1:2" x14ac:dyDescent="0.25">
      <c r="A121" s="13" t="s">
        <v>1571</v>
      </c>
      <c r="B121">
        <v>1</v>
      </c>
    </row>
    <row r="122" spans="1:2" x14ac:dyDescent="0.25">
      <c r="A122" s="13" t="s">
        <v>1572</v>
      </c>
      <c r="B122">
        <v>1</v>
      </c>
    </row>
    <row r="123" spans="1:2" x14ac:dyDescent="0.25">
      <c r="A123" s="12" t="s">
        <v>10</v>
      </c>
    </row>
    <row r="124" spans="1:2" x14ac:dyDescent="0.25">
      <c r="A124" s="13" t="s">
        <v>1574</v>
      </c>
      <c r="B124">
        <v>1</v>
      </c>
    </row>
    <row r="125" spans="1:2" x14ac:dyDescent="0.25">
      <c r="A125" s="13" t="s">
        <v>1599</v>
      </c>
      <c r="B125">
        <v>2</v>
      </c>
    </row>
    <row r="126" spans="1:2" x14ac:dyDescent="0.25">
      <c r="A126" s="13" t="s">
        <v>1584</v>
      </c>
      <c r="B126">
        <v>1</v>
      </c>
    </row>
    <row r="127" spans="1:2" x14ac:dyDescent="0.25">
      <c r="A127" s="13" t="s">
        <v>1572</v>
      </c>
      <c r="B127">
        <v>1</v>
      </c>
    </row>
    <row r="128" spans="1:2" x14ac:dyDescent="0.25">
      <c r="A128" s="11" t="s">
        <v>103</v>
      </c>
    </row>
    <row r="129" spans="1:2" x14ac:dyDescent="0.25">
      <c r="A129" s="12" t="s">
        <v>16</v>
      </c>
    </row>
    <row r="130" spans="1:2" x14ac:dyDescent="0.25">
      <c r="A130" s="13" t="s">
        <v>1582</v>
      </c>
      <c r="B130">
        <v>1</v>
      </c>
    </row>
    <row r="131" spans="1:2" x14ac:dyDescent="0.25">
      <c r="A131" s="13" t="s">
        <v>1566</v>
      </c>
      <c r="B131">
        <v>1</v>
      </c>
    </row>
    <row r="132" spans="1:2" x14ac:dyDescent="0.25">
      <c r="A132" s="13" t="s">
        <v>1587</v>
      </c>
      <c r="B132">
        <v>1</v>
      </c>
    </row>
    <row r="133" spans="1:2" x14ac:dyDescent="0.25">
      <c r="A133" s="12" t="s">
        <v>10</v>
      </c>
    </row>
    <row r="134" spans="1:2" x14ac:dyDescent="0.25">
      <c r="A134" s="13" t="s">
        <v>1566</v>
      </c>
      <c r="B134">
        <v>1</v>
      </c>
    </row>
    <row r="135" spans="1:2" x14ac:dyDescent="0.25">
      <c r="A135" s="13" t="s">
        <v>1584</v>
      </c>
      <c r="B135">
        <v>1</v>
      </c>
    </row>
    <row r="136" spans="1:2" x14ac:dyDescent="0.25">
      <c r="A136" s="13" t="s">
        <v>1570</v>
      </c>
      <c r="B136">
        <v>1</v>
      </c>
    </row>
    <row r="137" spans="1:2" x14ac:dyDescent="0.25">
      <c r="A137" s="13" t="s">
        <v>1571</v>
      </c>
      <c r="B137">
        <v>1</v>
      </c>
    </row>
    <row r="138" spans="1:2" x14ac:dyDescent="0.25">
      <c r="A138" s="13" t="s">
        <v>1587</v>
      </c>
      <c r="B138">
        <v>1</v>
      </c>
    </row>
    <row r="139" spans="1:2" x14ac:dyDescent="0.25">
      <c r="A139" s="11" t="s">
        <v>110</v>
      </c>
    </row>
    <row r="140" spans="1:2" x14ac:dyDescent="0.25">
      <c r="A140" s="12" t="s">
        <v>16</v>
      </c>
    </row>
    <row r="141" spans="1:2" x14ac:dyDescent="0.25">
      <c r="A141" s="13" t="s">
        <v>1604</v>
      </c>
      <c r="B141">
        <v>1</v>
      </c>
    </row>
    <row r="142" spans="1:2" x14ac:dyDescent="0.25">
      <c r="A142" s="13" t="s">
        <v>1590</v>
      </c>
      <c r="B142">
        <v>1</v>
      </c>
    </row>
    <row r="143" spans="1:2" x14ac:dyDescent="0.25">
      <c r="A143" s="12" t="s">
        <v>10</v>
      </c>
    </row>
    <row r="144" spans="1:2" x14ac:dyDescent="0.25">
      <c r="A144" s="13" t="s">
        <v>1577</v>
      </c>
      <c r="B144">
        <v>1</v>
      </c>
    </row>
    <row r="145" spans="1:2" x14ac:dyDescent="0.25">
      <c r="A145" s="13" t="s">
        <v>1567</v>
      </c>
      <c r="B145">
        <v>1</v>
      </c>
    </row>
    <row r="146" spans="1:2" x14ac:dyDescent="0.25">
      <c r="A146" s="13" t="s">
        <v>1601</v>
      </c>
      <c r="B146">
        <v>1</v>
      </c>
    </row>
    <row r="147" spans="1:2" x14ac:dyDescent="0.25">
      <c r="A147" s="11" t="s">
        <v>198</v>
      </c>
    </row>
    <row r="148" spans="1:2" x14ac:dyDescent="0.25">
      <c r="A148" s="12" t="s">
        <v>16</v>
      </c>
    </row>
    <row r="149" spans="1:2" x14ac:dyDescent="0.25">
      <c r="A149" s="13" t="s">
        <v>1602</v>
      </c>
      <c r="B149">
        <v>1</v>
      </c>
    </row>
    <row r="150" spans="1:2" x14ac:dyDescent="0.25">
      <c r="A150" s="13" t="s">
        <v>1570</v>
      </c>
      <c r="B150">
        <v>1</v>
      </c>
    </row>
    <row r="151" spans="1:2" x14ac:dyDescent="0.25">
      <c r="A151" s="13" t="s">
        <v>1597</v>
      </c>
      <c r="B151">
        <v>1</v>
      </c>
    </row>
    <row r="152" spans="1:2" x14ac:dyDescent="0.25">
      <c r="A152" s="12" t="s">
        <v>10</v>
      </c>
    </row>
    <row r="153" spans="1:2" x14ac:dyDescent="0.25">
      <c r="A153" s="13" t="s">
        <v>1574</v>
      </c>
      <c r="B153">
        <v>1</v>
      </c>
    </row>
    <row r="154" spans="1:2" x14ac:dyDescent="0.25">
      <c r="A154" s="13" t="s">
        <v>1577</v>
      </c>
      <c r="B154">
        <v>1</v>
      </c>
    </row>
    <row r="155" spans="1:2" x14ac:dyDescent="0.25">
      <c r="A155" s="13" t="s">
        <v>1580</v>
      </c>
      <c r="B155">
        <v>2</v>
      </c>
    </row>
    <row r="156" spans="1:2" x14ac:dyDescent="0.25">
      <c r="A156" s="11" t="s">
        <v>258</v>
      </c>
    </row>
    <row r="157" spans="1:2" x14ac:dyDescent="0.25">
      <c r="A157" s="12" t="s">
        <v>16</v>
      </c>
    </row>
    <row r="158" spans="1:2" x14ac:dyDescent="0.25">
      <c r="A158" s="13" t="s">
        <v>1576</v>
      </c>
      <c r="B158">
        <v>1</v>
      </c>
    </row>
    <row r="159" spans="1:2" x14ac:dyDescent="0.25">
      <c r="A159" s="13" t="s">
        <v>1577</v>
      </c>
      <c r="B159">
        <v>1</v>
      </c>
    </row>
    <row r="160" spans="1:2" x14ac:dyDescent="0.25">
      <c r="A160" s="13" t="s">
        <v>1605</v>
      </c>
      <c r="B160">
        <v>1</v>
      </c>
    </row>
    <row r="161" spans="1:2" x14ac:dyDescent="0.25">
      <c r="A161" s="13" t="s">
        <v>1596</v>
      </c>
      <c r="B161">
        <v>1</v>
      </c>
    </row>
    <row r="162" spans="1:2" x14ac:dyDescent="0.25">
      <c r="A162" s="13" t="s">
        <v>1584</v>
      </c>
      <c r="B162">
        <v>1</v>
      </c>
    </row>
    <row r="163" spans="1:2" x14ac:dyDescent="0.25">
      <c r="A163" s="12" t="s">
        <v>10</v>
      </c>
    </row>
    <row r="164" spans="1:2" x14ac:dyDescent="0.25">
      <c r="A164" s="13" t="s">
        <v>1588</v>
      </c>
      <c r="B164">
        <v>1</v>
      </c>
    </row>
    <row r="165" spans="1:2" x14ac:dyDescent="0.25">
      <c r="A165" s="13" t="s">
        <v>1568</v>
      </c>
      <c r="B165">
        <v>1</v>
      </c>
    </row>
    <row r="166" spans="1:2" x14ac:dyDescent="0.25">
      <c r="A166" s="13" t="s">
        <v>1572</v>
      </c>
      <c r="B166">
        <v>1</v>
      </c>
    </row>
    <row r="167" spans="1:2" x14ac:dyDescent="0.25">
      <c r="A167" s="11" t="s">
        <v>271</v>
      </c>
    </row>
    <row r="168" spans="1:2" x14ac:dyDescent="0.25">
      <c r="A168" s="12" t="s">
        <v>16</v>
      </c>
    </row>
    <row r="169" spans="1:2" x14ac:dyDescent="0.25">
      <c r="A169" s="13" t="s">
        <v>1566</v>
      </c>
      <c r="B169">
        <v>2</v>
      </c>
    </row>
    <row r="170" spans="1:2" x14ac:dyDescent="0.25">
      <c r="A170" s="13" t="s">
        <v>1600</v>
      </c>
      <c r="B170">
        <v>1</v>
      </c>
    </row>
    <row r="171" spans="1:2" x14ac:dyDescent="0.25">
      <c r="A171" s="13" t="s">
        <v>1595</v>
      </c>
      <c r="B171">
        <v>1</v>
      </c>
    </row>
    <row r="172" spans="1:2" x14ac:dyDescent="0.25">
      <c r="A172" s="13" t="s">
        <v>1585</v>
      </c>
      <c r="B172">
        <v>1</v>
      </c>
    </row>
    <row r="173" spans="1:2" x14ac:dyDescent="0.25">
      <c r="A173" s="13" t="s">
        <v>1571</v>
      </c>
      <c r="B173">
        <v>2</v>
      </c>
    </row>
    <row r="174" spans="1:2" x14ac:dyDescent="0.25">
      <c r="A174" s="12" t="s">
        <v>10</v>
      </c>
    </row>
    <row r="175" spans="1:2" x14ac:dyDescent="0.25">
      <c r="A175" s="13" t="s">
        <v>1577</v>
      </c>
      <c r="B175">
        <v>1</v>
      </c>
    </row>
    <row r="176" spans="1:2" x14ac:dyDescent="0.25">
      <c r="A176" s="13" t="s">
        <v>1606</v>
      </c>
      <c r="B176">
        <v>1</v>
      </c>
    </row>
    <row r="177" spans="1:2" x14ac:dyDescent="0.25">
      <c r="A177" s="13" t="s">
        <v>1567</v>
      </c>
      <c r="B177">
        <v>1</v>
      </c>
    </row>
    <row r="178" spans="1:2" x14ac:dyDescent="0.25">
      <c r="A178" s="13" t="s">
        <v>1602</v>
      </c>
      <c r="B178">
        <v>1</v>
      </c>
    </row>
    <row r="179" spans="1:2" x14ac:dyDescent="0.25">
      <c r="A179" s="13" t="s">
        <v>1569</v>
      </c>
      <c r="B179">
        <v>1</v>
      </c>
    </row>
    <row r="180" spans="1:2" x14ac:dyDescent="0.25">
      <c r="A180" s="11" t="s">
        <v>65</v>
      </c>
    </row>
    <row r="181" spans="1:2" x14ac:dyDescent="0.25">
      <c r="A181" s="12" t="s">
        <v>16</v>
      </c>
    </row>
    <row r="182" spans="1:2" x14ac:dyDescent="0.25">
      <c r="A182" s="13" t="s">
        <v>1598</v>
      </c>
      <c r="B182">
        <v>1</v>
      </c>
    </row>
    <row r="183" spans="1:2" x14ac:dyDescent="0.25">
      <c r="A183" s="13" t="s">
        <v>1604</v>
      </c>
      <c r="B183">
        <v>1</v>
      </c>
    </row>
    <row r="184" spans="1:2" x14ac:dyDescent="0.25">
      <c r="A184" s="13" t="s">
        <v>1595</v>
      </c>
      <c r="B184">
        <v>1</v>
      </c>
    </row>
    <row r="185" spans="1:2" x14ac:dyDescent="0.25">
      <c r="A185" s="13" t="s">
        <v>1605</v>
      </c>
      <c r="B185">
        <v>1</v>
      </c>
    </row>
    <row r="186" spans="1:2" x14ac:dyDescent="0.25">
      <c r="A186" s="13" t="s">
        <v>1601</v>
      </c>
      <c r="B186">
        <v>1</v>
      </c>
    </row>
    <row r="187" spans="1:2" x14ac:dyDescent="0.25">
      <c r="A187" s="13" t="s">
        <v>1609</v>
      </c>
      <c r="B187">
        <v>1</v>
      </c>
    </row>
    <row r="188" spans="1:2" x14ac:dyDescent="0.25">
      <c r="A188" s="13" t="s">
        <v>1571</v>
      </c>
      <c r="B188">
        <v>1</v>
      </c>
    </row>
    <row r="189" spans="1:2" x14ac:dyDescent="0.25">
      <c r="A189" s="13" t="s">
        <v>1587</v>
      </c>
      <c r="B189">
        <v>1</v>
      </c>
    </row>
    <row r="190" spans="1:2" x14ac:dyDescent="0.25">
      <c r="A190" s="13" t="s">
        <v>1581</v>
      </c>
      <c r="B190">
        <v>1</v>
      </c>
    </row>
    <row r="191" spans="1:2" x14ac:dyDescent="0.25">
      <c r="A191" s="12" t="s">
        <v>10</v>
      </c>
    </row>
    <row r="192" spans="1:2" x14ac:dyDescent="0.25">
      <c r="A192" s="13" t="s">
        <v>1607</v>
      </c>
      <c r="B192">
        <v>1</v>
      </c>
    </row>
    <row r="193" spans="1:2" x14ac:dyDescent="0.25">
      <c r="A193" s="13" t="s">
        <v>1608</v>
      </c>
      <c r="B193">
        <v>1</v>
      </c>
    </row>
    <row r="194" spans="1:2" x14ac:dyDescent="0.25">
      <c r="A194" s="13" t="s">
        <v>1606</v>
      </c>
      <c r="B194">
        <v>1</v>
      </c>
    </row>
    <row r="195" spans="1:2" x14ac:dyDescent="0.25">
      <c r="A195" s="13" t="s">
        <v>1595</v>
      </c>
      <c r="B195">
        <v>1</v>
      </c>
    </row>
    <row r="196" spans="1:2" x14ac:dyDescent="0.25">
      <c r="A196" s="13" t="s">
        <v>1601</v>
      </c>
      <c r="B196">
        <v>1</v>
      </c>
    </row>
    <row r="197" spans="1:2" x14ac:dyDescent="0.25">
      <c r="A197" s="13" t="s">
        <v>1569</v>
      </c>
      <c r="B197">
        <v>2</v>
      </c>
    </row>
    <row r="198" spans="1:2" x14ac:dyDescent="0.25">
      <c r="A198" s="11" t="s">
        <v>596</v>
      </c>
    </row>
    <row r="199" spans="1:2" x14ac:dyDescent="0.25">
      <c r="A199" s="12" t="s">
        <v>16</v>
      </c>
    </row>
    <row r="200" spans="1:2" x14ac:dyDescent="0.25">
      <c r="A200" s="13" t="s">
        <v>1608</v>
      </c>
      <c r="B200">
        <v>1</v>
      </c>
    </row>
    <row r="201" spans="1:2" x14ac:dyDescent="0.25">
      <c r="A201" s="12" t="s">
        <v>10</v>
      </c>
    </row>
    <row r="202" spans="1:2" x14ac:dyDescent="0.25">
      <c r="A202" s="13" t="s">
        <v>1575</v>
      </c>
      <c r="B202">
        <v>1</v>
      </c>
    </row>
    <row r="203" spans="1:2" x14ac:dyDescent="0.25">
      <c r="A203" s="13" t="s">
        <v>1577</v>
      </c>
      <c r="B203">
        <v>1</v>
      </c>
    </row>
    <row r="204" spans="1:2" x14ac:dyDescent="0.25">
      <c r="A204" s="13" t="s">
        <v>1565</v>
      </c>
      <c r="B204">
        <v>1</v>
      </c>
    </row>
    <row r="205" spans="1:2" x14ac:dyDescent="0.25">
      <c r="A205" s="13" t="s">
        <v>1609</v>
      </c>
      <c r="B205">
        <v>1</v>
      </c>
    </row>
    <row r="206" spans="1:2" x14ac:dyDescent="0.25">
      <c r="A206" s="13" t="s">
        <v>1590</v>
      </c>
      <c r="B206">
        <v>1</v>
      </c>
    </row>
    <row r="207" spans="1:2" x14ac:dyDescent="0.25">
      <c r="A207" s="11" t="s">
        <v>332</v>
      </c>
    </row>
    <row r="208" spans="1:2" x14ac:dyDescent="0.25">
      <c r="A208" s="12" t="s">
        <v>16</v>
      </c>
    </row>
    <row r="209" spans="1:2" x14ac:dyDescent="0.25">
      <c r="A209" s="13" t="s">
        <v>1573</v>
      </c>
      <c r="B209">
        <v>1</v>
      </c>
    </row>
    <row r="210" spans="1:2" x14ac:dyDescent="0.25">
      <c r="A210" s="13" t="s">
        <v>1593</v>
      </c>
      <c r="B210">
        <v>1</v>
      </c>
    </row>
    <row r="211" spans="1:2" x14ac:dyDescent="0.25">
      <c r="A211" s="13" t="s">
        <v>1594</v>
      </c>
      <c r="B211">
        <v>1</v>
      </c>
    </row>
    <row r="212" spans="1:2" x14ac:dyDescent="0.25">
      <c r="A212" s="13" t="s">
        <v>1578</v>
      </c>
      <c r="B212">
        <v>1</v>
      </c>
    </row>
    <row r="213" spans="1:2" x14ac:dyDescent="0.25">
      <c r="A213" s="13" t="s">
        <v>1584</v>
      </c>
      <c r="B213">
        <v>1</v>
      </c>
    </row>
    <row r="214" spans="1:2" x14ac:dyDescent="0.25">
      <c r="A214" s="13" t="s">
        <v>1570</v>
      </c>
      <c r="B214">
        <v>1</v>
      </c>
    </row>
    <row r="215" spans="1:2" x14ac:dyDescent="0.25">
      <c r="A215" s="13" t="s">
        <v>1586</v>
      </c>
      <c r="B215">
        <v>1</v>
      </c>
    </row>
    <row r="216" spans="1:2" x14ac:dyDescent="0.25">
      <c r="A216" s="12" t="s">
        <v>10</v>
      </c>
    </row>
    <row r="217" spans="1:2" x14ac:dyDescent="0.25">
      <c r="A217" s="13" t="s">
        <v>1566</v>
      </c>
      <c r="B217">
        <v>1</v>
      </c>
    </row>
    <row r="218" spans="1:2" x14ac:dyDescent="0.25">
      <c r="A218" s="13" t="s">
        <v>1569</v>
      </c>
      <c r="B218">
        <v>1</v>
      </c>
    </row>
    <row r="219" spans="1:2" x14ac:dyDescent="0.25">
      <c r="A219" s="13" t="s">
        <v>1580</v>
      </c>
      <c r="B219">
        <v>1</v>
      </c>
    </row>
    <row r="220" spans="1:2" x14ac:dyDescent="0.25">
      <c r="A220" s="11" t="s">
        <v>439</v>
      </c>
    </row>
    <row r="221" spans="1:2" x14ac:dyDescent="0.25">
      <c r="A221" s="12" t="s">
        <v>16</v>
      </c>
    </row>
    <row r="222" spans="1:2" x14ac:dyDescent="0.25">
      <c r="A222" s="13" t="s">
        <v>1573</v>
      </c>
      <c r="B222">
        <v>1</v>
      </c>
    </row>
    <row r="223" spans="1:2" x14ac:dyDescent="0.25">
      <c r="A223" s="13" t="s">
        <v>1604</v>
      </c>
      <c r="B223">
        <v>1</v>
      </c>
    </row>
    <row r="224" spans="1:2" x14ac:dyDescent="0.25">
      <c r="A224" s="13" t="s">
        <v>1600</v>
      </c>
      <c r="B224">
        <v>1</v>
      </c>
    </row>
    <row r="225" spans="1:2" x14ac:dyDescent="0.25">
      <c r="A225" s="13" t="s">
        <v>1569</v>
      </c>
      <c r="B225">
        <v>1</v>
      </c>
    </row>
    <row r="226" spans="1:2" x14ac:dyDescent="0.25">
      <c r="A226" s="13" t="s">
        <v>1572</v>
      </c>
      <c r="B226">
        <v>1</v>
      </c>
    </row>
    <row r="227" spans="1:2" x14ac:dyDescent="0.25">
      <c r="A227" s="12" t="s">
        <v>10</v>
      </c>
    </row>
    <row r="228" spans="1:2" x14ac:dyDescent="0.25">
      <c r="A228" s="13" t="s">
        <v>1593</v>
      </c>
      <c r="B228">
        <v>1</v>
      </c>
    </row>
    <row r="229" spans="1:2" x14ac:dyDescent="0.25">
      <c r="A229" s="13" t="s">
        <v>1594</v>
      </c>
      <c r="B229">
        <v>1</v>
      </c>
    </row>
    <row r="230" spans="1:2" x14ac:dyDescent="0.25">
      <c r="A230" s="13" t="s">
        <v>1599</v>
      </c>
      <c r="B230">
        <v>1</v>
      </c>
    </row>
    <row r="231" spans="1:2" x14ac:dyDescent="0.25">
      <c r="A231" s="13" t="s">
        <v>1572</v>
      </c>
      <c r="B231">
        <v>1</v>
      </c>
    </row>
    <row r="232" spans="1:2" x14ac:dyDescent="0.25">
      <c r="A232" s="11" t="s">
        <v>144</v>
      </c>
    </row>
    <row r="233" spans="1:2" x14ac:dyDescent="0.25">
      <c r="A233" s="12" t="s">
        <v>16</v>
      </c>
    </row>
    <row r="234" spans="1:2" x14ac:dyDescent="0.25">
      <c r="A234" s="13" t="s">
        <v>1573</v>
      </c>
      <c r="B234">
        <v>1</v>
      </c>
    </row>
    <row r="235" spans="1:2" x14ac:dyDescent="0.25">
      <c r="A235" s="13" t="s">
        <v>1593</v>
      </c>
      <c r="B235">
        <v>1</v>
      </c>
    </row>
    <row r="236" spans="1:2" x14ac:dyDescent="0.25">
      <c r="A236" s="13" t="s">
        <v>1608</v>
      </c>
      <c r="B236">
        <v>1</v>
      </c>
    </row>
    <row r="237" spans="1:2" x14ac:dyDescent="0.25">
      <c r="A237" s="13" t="s">
        <v>1567</v>
      </c>
      <c r="B237">
        <v>1</v>
      </c>
    </row>
    <row r="238" spans="1:2" x14ac:dyDescent="0.25">
      <c r="A238" s="12" t="s">
        <v>10</v>
      </c>
    </row>
    <row r="239" spans="1:2" x14ac:dyDescent="0.25">
      <c r="A239" s="13" t="s">
        <v>1592</v>
      </c>
      <c r="B239">
        <v>1</v>
      </c>
    </row>
    <row r="240" spans="1:2" x14ac:dyDescent="0.25">
      <c r="A240" s="13" t="s">
        <v>1582</v>
      </c>
      <c r="B240">
        <v>1</v>
      </c>
    </row>
    <row r="241" spans="1:2" x14ac:dyDescent="0.25">
      <c r="A241" s="13" t="s">
        <v>1566</v>
      </c>
      <c r="B241">
        <v>1</v>
      </c>
    </row>
    <row r="242" spans="1:2" x14ac:dyDescent="0.25">
      <c r="A242" s="13" t="s">
        <v>1610</v>
      </c>
      <c r="B242">
        <v>1</v>
      </c>
    </row>
    <row r="243" spans="1:2" x14ac:dyDescent="0.25">
      <c r="A243" s="13" t="s">
        <v>1587</v>
      </c>
      <c r="B243">
        <v>1</v>
      </c>
    </row>
    <row r="244" spans="1:2" x14ac:dyDescent="0.25">
      <c r="A244" s="11" t="s">
        <v>725</v>
      </c>
    </row>
    <row r="245" spans="1:2" x14ac:dyDescent="0.25">
      <c r="A245" s="12" t="s">
        <v>16</v>
      </c>
    </row>
    <row r="246" spans="1:2" x14ac:dyDescent="0.25">
      <c r="A246" s="13" t="s">
        <v>1568</v>
      </c>
      <c r="B246">
        <v>1</v>
      </c>
    </row>
    <row r="247" spans="1:2" x14ac:dyDescent="0.25">
      <c r="A247" s="13" t="s">
        <v>1569</v>
      </c>
      <c r="B247">
        <v>1</v>
      </c>
    </row>
    <row r="248" spans="1:2" x14ac:dyDescent="0.25">
      <c r="A248" s="12" t="s">
        <v>10</v>
      </c>
    </row>
    <row r="249" spans="1:2" x14ac:dyDescent="0.25">
      <c r="A249" s="13" t="s">
        <v>1608</v>
      </c>
      <c r="B249">
        <v>1</v>
      </c>
    </row>
    <row r="250" spans="1:2" x14ac:dyDescent="0.25">
      <c r="A250" s="13" t="s">
        <v>1605</v>
      </c>
      <c r="B250">
        <v>2</v>
      </c>
    </row>
    <row r="251" spans="1:2" x14ac:dyDescent="0.25">
      <c r="A251" s="13" t="s">
        <v>1579</v>
      </c>
      <c r="B251">
        <v>1</v>
      </c>
    </row>
    <row r="252" spans="1:2" x14ac:dyDescent="0.25">
      <c r="A252" s="11" t="s">
        <v>160</v>
      </c>
    </row>
    <row r="253" spans="1:2" x14ac:dyDescent="0.25">
      <c r="A253" s="12" t="s">
        <v>16</v>
      </c>
    </row>
    <row r="254" spans="1:2" x14ac:dyDescent="0.25">
      <c r="A254" s="13" t="s">
        <v>1592</v>
      </c>
      <c r="B254">
        <v>1</v>
      </c>
    </row>
    <row r="255" spans="1:2" x14ac:dyDescent="0.25">
      <c r="A255" s="13" t="s">
        <v>1607</v>
      </c>
      <c r="B255">
        <v>2</v>
      </c>
    </row>
    <row r="256" spans="1:2" x14ac:dyDescent="0.25">
      <c r="A256" s="13" t="s">
        <v>1593</v>
      </c>
      <c r="B256">
        <v>1</v>
      </c>
    </row>
    <row r="257" spans="1:2" x14ac:dyDescent="0.25">
      <c r="A257" s="13" t="s">
        <v>1582</v>
      </c>
      <c r="B257">
        <v>1</v>
      </c>
    </row>
    <row r="258" spans="1:2" x14ac:dyDescent="0.25">
      <c r="A258" s="13" t="s">
        <v>1604</v>
      </c>
      <c r="B258">
        <v>1</v>
      </c>
    </row>
    <row r="259" spans="1:2" x14ac:dyDescent="0.25">
      <c r="A259" s="13" t="s">
        <v>1609</v>
      </c>
      <c r="B259">
        <v>1</v>
      </c>
    </row>
    <row r="260" spans="1:2" x14ac:dyDescent="0.25">
      <c r="A260" s="13" t="s">
        <v>1589</v>
      </c>
      <c r="B260">
        <v>1</v>
      </c>
    </row>
    <row r="261" spans="1:2" x14ac:dyDescent="0.25">
      <c r="A261" s="13" t="s">
        <v>1590</v>
      </c>
      <c r="B261">
        <v>1</v>
      </c>
    </row>
    <row r="262" spans="1:2" x14ac:dyDescent="0.25">
      <c r="A262" s="12" t="s">
        <v>10</v>
      </c>
    </row>
    <row r="263" spans="1:2" x14ac:dyDescent="0.25">
      <c r="A263" s="13" t="s">
        <v>1603</v>
      </c>
      <c r="B263">
        <v>1</v>
      </c>
    </row>
    <row r="264" spans="1:2" x14ac:dyDescent="0.25">
      <c r="A264" s="11" t="s">
        <v>205</v>
      </c>
    </row>
    <row r="265" spans="1:2" x14ac:dyDescent="0.25">
      <c r="A265" s="12" t="s">
        <v>16</v>
      </c>
    </row>
    <row r="266" spans="1:2" x14ac:dyDescent="0.25">
      <c r="A266" s="13" t="s">
        <v>1588</v>
      </c>
      <c r="B266">
        <v>1</v>
      </c>
    </row>
    <row r="267" spans="1:2" x14ac:dyDescent="0.25">
      <c r="A267" s="13" t="s">
        <v>1603</v>
      </c>
      <c r="B267">
        <v>1</v>
      </c>
    </row>
    <row r="268" spans="1:2" x14ac:dyDescent="0.25">
      <c r="A268" s="13" t="s">
        <v>1570</v>
      </c>
      <c r="B268">
        <v>1</v>
      </c>
    </row>
    <row r="269" spans="1:2" x14ac:dyDescent="0.25">
      <c r="A269" s="13" t="s">
        <v>1587</v>
      </c>
      <c r="B269">
        <v>1</v>
      </c>
    </row>
    <row r="270" spans="1:2" x14ac:dyDescent="0.25">
      <c r="A270" s="12" t="s">
        <v>10</v>
      </c>
    </row>
    <row r="271" spans="1:2" x14ac:dyDescent="0.25">
      <c r="A271" s="13" t="s">
        <v>1573</v>
      </c>
      <c r="B271">
        <v>1</v>
      </c>
    </row>
    <row r="272" spans="1:2" x14ac:dyDescent="0.25">
      <c r="A272" s="13" t="s">
        <v>1577</v>
      </c>
      <c r="B272">
        <v>1</v>
      </c>
    </row>
    <row r="273" spans="1:2" x14ac:dyDescent="0.25">
      <c r="A273" s="13" t="s">
        <v>1594</v>
      </c>
      <c r="B273">
        <v>1</v>
      </c>
    </row>
    <row r="274" spans="1:2" x14ac:dyDescent="0.25">
      <c r="A274" s="13" t="s">
        <v>1568</v>
      </c>
      <c r="B274">
        <v>1</v>
      </c>
    </row>
    <row r="275" spans="1:2" x14ac:dyDescent="0.25">
      <c r="A275" s="13" t="s">
        <v>1609</v>
      </c>
      <c r="B275">
        <v>1</v>
      </c>
    </row>
    <row r="276" spans="1:2" x14ac:dyDescent="0.25">
      <c r="A276" s="11" t="s">
        <v>317</v>
      </c>
    </row>
    <row r="277" spans="1:2" x14ac:dyDescent="0.25">
      <c r="A277" s="12" t="s">
        <v>16</v>
      </c>
    </row>
    <row r="278" spans="1:2" x14ac:dyDescent="0.25">
      <c r="A278" s="13" t="s">
        <v>1598</v>
      </c>
      <c r="B278">
        <v>1</v>
      </c>
    </row>
    <row r="279" spans="1:2" x14ac:dyDescent="0.25">
      <c r="A279" s="13" t="s">
        <v>1571</v>
      </c>
      <c r="B279">
        <v>2</v>
      </c>
    </row>
    <row r="280" spans="1:2" x14ac:dyDescent="0.25">
      <c r="A280" s="12" t="s">
        <v>10</v>
      </c>
    </row>
    <row r="281" spans="1:2" x14ac:dyDescent="0.25">
      <c r="A281" s="13" t="s">
        <v>1592</v>
      </c>
      <c r="B281">
        <v>1</v>
      </c>
    </row>
    <row r="282" spans="1:2" x14ac:dyDescent="0.25">
      <c r="A282" s="13" t="s">
        <v>1576</v>
      </c>
      <c r="B282">
        <v>1</v>
      </c>
    </row>
    <row r="283" spans="1:2" x14ac:dyDescent="0.25">
      <c r="A283" s="13" t="s">
        <v>1578</v>
      </c>
      <c r="B283">
        <v>1</v>
      </c>
    </row>
    <row r="284" spans="1:2" x14ac:dyDescent="0.25">
      <c r="A284" s="13" t="s">
        <v>1582</v>
      </c>
      <c r="B284">
        <v>1</v>
      </c>
    </row>
    <row r="285" spans="1:2" x14ac:dyDescent="0.25">
      <c r="A285" s="13" t="s">
        <v>1580</v>
      </c>
      <c r="B285">
        <v>1</v>
      </c>
    </row>
    <row r="286" spans="1:2" x14ac:dyDescent="0.25">
      <c r="A286" s="11" t="s">
        <v>117</v>
      </c>
    </row>
    <row r="287" spans="1:2" x14ac:dyDescent="0.25">
      <c r="A287" s="12" t="s">
        <v>16</v>
      </c>
    </row>
    <row r="288" spans="1:2" x14ac:dyDescent="0.25">
      <c r="A288" s="13" t="s">
        <v>1573</v>
      </c>
      <c r="B288">
        <v>1</v>
      </c>
    </row>
    <row r="289" spans="1:2" x14ac:dyDescent="0.25">
      <c r="A289" s="13" t="s">
        <v>1606</v>
      </c>
      <c r="B289">
        <v>1</v>
      </c>
    </row>
    <row r="290" spans="1:2" x14ac:dyDescent="0.25">
      <c r="A290" s="13" t="s">
        <v>1567</v>
      </c>
      <c r="B290">
        <v>1</v>
      </c>
    </row>
    <row r="291" spans="1:2" x14ac:dyDescent="0.25">
      <c r="A291" s="13" t="s">
        <v>1595</v>
      </c>
      <c r="B291">
        <v>1</v>
      </c>
    </row>
    <row r="292" spans="1:2" x14ac:dyDescent="0.25">
      <c r="A292" s="13" t="s">
        <v>1602</v>
      </c>
      <c r="B292">
        <v>1</v>
      </c>
    </row>
    <row r="293" spans="1:2" x14ac:dyDescent="0.25">
      <c r="A293" s="12" t="s">
        <v>10</v>
      </c>
    </row>
    <row r="294" spans="1:2" x14ac:dyDescent="0.25">
      <c r="A294" s="13" t="s">
        <v>1573</v>
      </c>
      <c r="B294">
        <v>1</v>
      </c>
    </row>
    <row r="295" spans="1:2" x14ac:dyDescent="0.25">
      <c r="A295" s="13" t="s">
        <v>1592</v>
      </c>
      <c r="B295">
        <v>1</v>
      </c>
    </row>
    <row r="296" spans="1:2" x14ac:dyDescent="0.25">
      <c r="A296" s="13" t="s">
        <v>1565</v>
      </c>
      <c r="B296">
        <v>1</v>
      </c>
    </row>
    <row r="297" spans="1:2" x14ac:dyDescent="0.25">
      <c r="A297" s="13" t="s">
        <v>1605</v>
      </c>
      <c r="B297">
        <v>1</v>
      </c>
    </row>
    <row r="298" spans="1:2" x14ac:dyDescent="0.25">
      <c r="A298" s="13" t="s">
        <v>1568</v>
      </c>
      <c r="B298">
        <v>1</v>
      </c>
    </row>
    <row r="299" spans="1:2" x14ac:dyDescent="0.25">
      <c r="A299" s="13" t="s">
        <v>1603</v>
      </c>
      <c r="B299">
        <v>2</v>
      </c>
    </row>
    <row r="300" spans="1:2" x14ac:dyDescent="0.25">
      <c r="A300" s="11" t="s">
        <v>69</v>
      </c>
    </row>
    <row r="301" spans="1:2" x14ac:dyDescent="0.25">
      <c r="A301" s="12" t="s">
        <v>16</v>
      </c>
    </row>
    <row r="302" spans="1:2" x14ac:dyDescent="0.25">
      <c r="A302" s="13" t="s">
        <v>1608</v>
      </c>
      <c r="B302">
        <v>1</v>
      </c>
    </row>
    <row r="303" spans="1:2" x14ac:dyDescent="0.25">
      <c r="A303" s="13" t="s">
        <v>1599</v>
      </c>
      <c r="B303">
        <v>1</v>
      </c>
    </row>
    <row r="304" spans="1:2" x14ac:dyDescent="0.25">
      <c r="A304" s="13" t="s">
        <v>1595</v>
      </c>
      <c r="B304">
        <v>1</v>
      </c>
    </row>
    <row r="305" spans="1:2" x14ac:dyDescent="0.25">
      <c r="A305" s="13" t="s">
        <v>1571</v>
      </c>
      <c r="B305">
        <v>1</v>
      </c>
    </row>
    <row r="306" spans="1:2" x14ac:dyDescent="0.25">
      <c r="A306" s="12" t="s">
        <v>10</v>
      </c>
    </row>
    <row r="307" spans="1:2" x14ac:dyDescent="0.25">
      <c r="A307" s="13" t="s">
        <v>1573</v>
      </c>
      <c r="B307">
        <v>1</v>
      </c>
    </row>
    <row r="308" spans="1:2" x14ac:dyDescent="0.25">
      <c r="A308" s="13" t="s">
        <v>1565</v>
      </c>
      <c r="B308">
        <v>1</v>
      </c>
    </row>
    <row r="309" spans="1:2" x14ac:dyDescent="0.25">
      <c r="A309" s="13" t="s">
        <v>1604</v>
      </c>
      <c r="B309">
        <v>1</v>
      </c>
    </row>
    <row r="310" spans="1:2" x14ac:dyDescent="0.25">
      <c r="A310" s="13" t="s">
        <v>1605</v>
      </c>
      <c r="B310">
        <v>1</v>
      </c>
    </row>
    <row r="311" spans="1:2" x14ac:dyDescent="0.25">
      <c r="A311" s="13" t="s">
        <v>1603</v>
      </c>
      <c r="B311">
        <v>1</v>
      </c>
    </row>
    <row r="312" spans="1:2" x14ac:dyDescent="0.25">
      <c r="A312" s="13" t="s">
        <v>1597</v>
      </c>
      <c r="B312">
        <v>1</v>
      </c>
    </row>
    <row r="313" spans="1:2" x14ac:dyDescent="0.25">
      <c r="A313" s="11" t="s">
        <v>73</v>
      </c>
    </row>
    <row r="314" spans="1:2" x14ac:dyDescent="0.25">
      <c r="A314" s="12" t="s">
        <v>16</v>
      </c>
    </row>
    <row r="315" spans="1:2" x14ac:dyDescent="0.25">
      <c r="A315" s="13" t="s">
        <v>1607</v>
      </c>
      <c r="B315">
        <v>1</v>
      </c>
    </row>
    <row r="316" spans="1:2" x14ac:dyDescent="0.25">
      <c r="A316" s="13" t="s">
        <v>1603</v>
      </c>
      <c r="B316">
        <v>1</v>
      </c>
    </row>
    <row r="317" spans="1:2" x14ac:dyDescent="0.25">
      <c r="A317" s="12" t="s">
        <v>10</v>
      </c>
    </row>
    <row r="318" spans="1:2" x14ac:dyDescent="0.25">
      <c r="A318" s="13" t="s">
        <v>1565</v>
      </c>
      <c r="B318">
        <v>1</v>
      </c>
    </row>
    <row r="319" spans="1:2" x14ac:dyDescent="0.25">
      <c r="A319" s="13" t="s">
        <v>1583</v>
      </c>
      <c r="B319">
        <v>1</v>
      </c>
    </row>
    <row r="320" spans="1:2" x14ac:dyDescent="0.25">
      <c r="A320" s="13" t="s">
        <v>1569</v>
      </c>
      <c r="B320">
        <v>1</v>
      </c>
    </row>
    <row r="321" spans="1:2" x14ac:dyDescent="0.25">
      <c r="A321" s="13" t="s">
        <v>1590</v>
      </c>
      <c r="B321">
        <v>1</v>
      </c>
    </row>
    <row r="322" spans="1:2" x14ac:dyDescent="0.25">
      <c r="A322" s="13" t="s">
        <v>1572</v>
      </c>
      <c r="B322">
        <v>1</v>
      </c>
    </row>
    <row r="323" spans="1:2" x14ac:dyDescent="0.25">
      <c r="A323" s="11" t="s">
        <v>188</v>
      </c>
    </row>
    <row r="324" spans="1:2" x14ac:dyDescent="0.25">
      <c r="A324" s="12" t="s">
        <v>16</v>
      </c>
    </row>
    <row r="325" spans="1:2" x14ac:dyDescent="0.25">
      <c r="A325" s="13" t="s">
        <v>1574</v>
      </c>
      <c r="B325">
        <v>1</v>
      </c>
    </row>
    <row r="326" spans="1:2" x14ac:dyDescent="0.25">
      <c r="A326" s="13" t="s">
        <v>1601</v>
      </c>
      <c r="B326">
        <v>1</v>
      </c>
    </row>
    <row r="327" spans="1:2" x14ac:dyDescent="0.25">
      <c r="A327" s="13" t="s">
        <v>1610</v>
      </c>
      <c r="B327">
        <v>1</v>
      </c>
    </row>
    <row r="328" spans="1:2" x14ac:dyDescent="0.25">
      <c r="A328" s="13" t="s">
        <v>1580</v>
      </c>
      <c r="B328">
        <v>1</v>
      </c>
    </row>
    <row r="329" spans="1:2" x14ac:dyDescent="0.25">
      <c r="A329" s="13" t="s">
        <v>1586</v>
      </c>
      <c r="B329">
        <v>1</v>
      </c>
    </row>
    <row r="330" spans="1:2" x14ac:dyDescent="0.25">
      <c r="A330" s="13" t="s">
        <v>1587</v>
      </c>
      <c r="B330">
        <v>1</v>
      </c>
    </row>
    <row r="331" spans="1:2" x14ac:dyDescent="0.25">
      <c r="A331" s="12" t="s">
        <v>10</v>
      </c>
    </row>
    <row r="332" spans="1:2" x14ac:dyDescent="0.25">
      <c r="A332" s="13" t="s">
        <v>1598</v>
      </c>
      <c r="B332">
        <v>1</v>
      </c>
    </row>
    <row r="333" spans="1:2" x14ac:dyDescent="0.25">
      <c r="A333" s="13" t="s">
        <v>1594</v>
      </c>
      <c r="B333">
        <v>1</v>
      </c>
    </row>
    <row r="334" spans="1:2" x14ac:dyDescent="0.25">
      <c r="A334" s="13" t="s">
        <v>1599</v>
      </c>
      <c r="B334">
        <v>1</v>
      </c>
    </row>
    <row r="335" spans="1:2" x14ac:dyDescent="0.25">
      <c r="A335" s="13" t="s">
        <v>1584</v>
      </c>
      <c r="B335">
        <v>1</v>
      </c>
    </row>
    <row r="336" spans="1:2" x14ac:dyDescent="0.25">
      <c r="A336" s="11" t="s">
        <v>49</v>
      </c>
    </row>
    <row r="337" spans="1:2" x14ac:dyDescent="0.25">
      <c r="A337" s="12" t="s">
        <v>16</v>
      </c>
    </row>
    <row r="338" spans="1:2" x14ac:dyDescent="0.25">
      <c r="A338" s="13" t="s">
        <v>1574</v>
      </c>
      <c r="B338">
        <v>2</v>
      </c>
    </row>
    <row r="339" spans="1:2" x14ac:dyDescent="0.25">
      <c r="A339" s="13" t="s">
        <v>1593</v>
      </c>
      <c r="B339">
        <v>1</v>
      </c>
    </row>
    <row r="340" spans="1:2" x14ac:dyDescent="0.25">
      <c r="A340" s="13" t="s">
        <v>1602</v>
      </c>
      <c r="B340">
        <v>1</v>
      </c>
    </row>
    <row r="341" spans="1:2" x14ac:dyDescent="0.25">
      <c r="A341" s="13" t="s">
        <v>1603</v>
      </c>
      <c r="B341">
        <v>1</v>
      </c>
    </row>
    <row r="342" spans="1:2" x14ac:dyDescent="0.25">
      <c r="A342" s="13" t="s">
        <v>1571</v>
      </c>
      <c r="B342">
        <v>1</v>
      </c>
    </row>
    <row r="343" spans="1:2" x14ac:dyDescent="0.25">
      <c r="A343" s="13" t="s">
        <v>1572</v>
      </c>
      <c r="B343">
        <v>1</v>
      </c>
    </row>
    <row r="344" spans="1:2" x14ac:dyDescent="0.25">
      <c r="A344" s="12" t="s">
        <v>10</v>
      </c>
    </row>
    <row r="345" spans="1:2" x14ac:dyDescent="0.25">
      <c r="A345" s="13" t="s">
        <v>1608</v>
      </c>
      <c r="B345">
        <v>1</v>
      </c>
    </row>
    <row r="346" spans="1:2" x14ac:dyDescent="0.25">
      <c r="A346" s="13" t="s">
        <v>1599</v>
      </c>
      <c r="B346">
        <v>1</v>
      </c>
    </row>
    <row r="347" spans="1:2" x14ac:dyDescent="0.25">
      <c r="A347" s="13" t="s">
        <v>1580</v>
      </c>
      <c r="B347">
        <v>1</v>
      </c>
    </row>
    <row r="348" spans="1:2" x14ac:dyDescent="0.25">
      <c r="A348" s="13" t="s">
        <v>1572</v>
      </c>
      <c r="B348">
        <v>1</v>
      </c>
    </row>
    <row r="349" spans="1:2" x14ac:dyDescent="0.25">
      <c r="A349" s="11" t="s">
        <v>91</v>
      </c>
    </row>
    <row r="350" spans="1:2" x14ac:dyDescent="0.25">
      <c r="A350" s="12" t="s">
        <v>16</v>
      </c>
    </row>
    <row r="351" spans="1:2" x14ac:dyDescent="0.25">
      <c r="A351" s="13" t="s">
        <v>1576</v>
      </c>
      <c r="B351">
        <v>1</v>
      </c>
    </row>
    <row r="352" spans="1:2" x14ac:dyDescent="0.25">
      <c r="A352" s="13" t="s">
        <v>1593</v>
      </c>
      <c r="B352">
        <v>2</v>
      </c>
    </row>
    <row r="353" spans="1:2" x14ac:dyDescent="0.25">
      <c r="A353" s="13" t="s">
        <v>1564</v>
      </c>
      <c r="B353">
        <v>2</v>
      </c>
    </row>
    <row r="354" spans="1:2" x14ac:dyDescent="0.25">
      <c r="A354" s="13" t="s">
        <v>1583</v>
      </c>
      <c r="B354">
        <v>1</v>
      </c>
    </row>
    <row r="355" spans="1:2" x14ac:dyDescent="0.25">
      <c r="A355" s="13" t="s">
        <v>1596</v>
      </c>
      <c r="B355">
        <v>1</v>
      </c>
    </row>
    <row r="356" spans="1:2" x14ac:dyDescent="0.25">
      <c r="A356" s="13" t="s">
        <v>1568</v>
      </c>
      <c r="B356">
        <v>3</v>
      </c>
    </row>
    <row r="357" spans="1:2" x14ac:dyDescent="0.25">
      <c r="A357" s="13" t="s">
        <v>1602</v>
      </c>
      <c r="B357">
        <v>1</v>
      </c>
    </row>
    <row r="358" spans="1:2" x14ac:dyDescent="0.25">
      <c r="A358" s="13" t="s">
        <v>1584</v>
      </c>
      <c r="B358">
        <v>1</v>
      </c>
    </row>
    <row r="359" spans="1:2" x14ac:dyDescent="0.25">
      <c r="A359" s="13" t="s">
        <v>1580</v>
      </c>
      <c r="B359">
        <v>1</v>
      </c>
    </row>
    <row r="360" spans="1:2" x14ac:dyDescent="0.25">
      <c r="A360" s="12" t="s">
        <v>10</v>
      </c>
    </row>
    <row r="361" spans="1:2" x14ac:dyDescent="0.25">
      <c r="A361" s="13" t="s">
        <v>1583</v>
      </c>
      <c r="B361">
        <v>1</v>
      </c>
    </row>
    <row r="362" spans="1:2" x14ac:dyDescent="0.25">
      <c r="A362" s="13" t="s">
        <v>1604</v>
      </c>
      <c r="B362">
        <v>1</v>
      </c>
    </row>
    <row r="363" spans="1:2" x14ac:dyDescent="0.25">
      <c r="A363" s="11" t="s">
        <v>237</v>
      </c>
    </row>
    <row r="364" spans="1:2" x14ac:dyDescent="0.25">
      <c r="A364" s="12" t="s">
        <v>16</v>
      </c>
    </row>
    <row r="365" spans="1:2" x14ac:dyDescent="0.25">
      <c r="A365" s="13" t="s">
        <v>1565</v>
      </c>
      <c r="B365">
        <v>1</v>
      </c>
    </row>
    <row r="366" spans="1:2" x14ac:dyDescent="0.25">
      <c r="A366" s="13" t="s">
        <v>1597</v>
      </c>
      <c r="B366">
        <v>2</v>
      </c>
    </row>
    <row r="367" spans="1:2" x14ac:dyDescent="0.25">
      <c r="A367" s="12" t="s">
        <v>10</v>
      </c>
    </row>
    <row r="368" spans="1:2" x14ac:dyDescent="0.25">
      <c r="A368" s="13" t="s">
        <v>1606</v>
      </c>
      <c r="B368">
        <v>2</v>
      </c>
    </row>
    <row r="369" spans="1:2" x14ac:dyDescent="0.25">
      <c r="A369" s="13" t="s">
        <v>1600</v>
      </c>
      <c r="B369">
        <v>1</v>
      </c>
    </row>
    <row r="370" spans="1:2" x14ac:dyDescent="0.25">
      <c r="A370" s="13" t="s">
        <v>1605</v>
      </c>
      <c r="B370">
        <v>1</v>
      </c>
    </row>
    <row r="371" spans="1:2" x14ac:dyDescent="0.25">
      <c r="A371" s="13" t="s">
        <v>1568</v>
      </c>
      <c r="B371">
        <v>1</v>
      </c>
    </row>
    <row r="372" spans="1:2" x14ac:dyDescent="0.25">
      <c r="A372" s="13" t="s">
        <v>1569</v>
      </c>
      <c r="B372">
        <v>1</v>
      </c>
    </row>
    <row r="373" spans="1:2" x14ac:dyDescent="0.25">
      <c r="A373" s="13" t="s">
        <v>1610</v>
      </c>
      <c r="B373">
        <v>1</v>
      </c>
    </row>
    <row r="374" spans="1:2" x14ac:dyDescent="0.25">
      <c r="A374" s="11" t="s">
        <v>61</v>
      </c>
    </row>
    <row r="375" spans="1:2" x14ac:dyDescent="0.25">
      <c r="A375" s="12" t="s">
        <v>16</v>
      </c>
    </row>
    <row r="376" spans="1:2" x14ac:dyDescent="0.25">
      <c r="A376" s="13" t="s">
        <v>1607</v>
      </c>
      <c r="B376">
        <v>1</v>
      </c>
    </row>
    <row r="377" spans="1:2" x14ac:dyDescent="0.25">
      <c r="A377" s="13" t="s">
        <v>1564</v>
      </c>
      <c r="B377">
        <v>1</v>
      </c>
    </row>
    <row r="378" spans="1:2" x14ac:dyDescent="0.25">
      <c r="A378" s="13" t="s">
        <v>1566</v>
      </c>
      <c r="B378">
        <v>1</v>
      </c>
    </row>
    <row r="379" spans="1:2" x14ac:dyDescent="0.25">
      <c r="A379" s="13" t="s">
        <v>1595</v>
      </c>
      <c r="B379">
        <v>1</v>
      </c>
    </row>
    <row r="380" spans="1:2" x14ac:dyDescent="0.25">
      <c r="A380" s="13" t="s">
        <v>1602</v>
      </c>
      <c r="B380">
        <v>1</v>
      </c>
    </row>
    <row r="381" spans="1:2" x14ac:dyDescent="0.25">
      <c r="A381" s="13" t="s">
        <v>1610</v>
      </c>
      <c r="B381">
        <v>1</v>
      </c>
    </row>
    <row r="382" spans="1:2" x14ac:dyDescent="0.25">
      <c r="A382" s="13" t="s">
        <v>1587</v>
      </c>
      <c r="B382">
        <v>2</v>
      </c>
    </row>
    <row r="383" spans="1:2" x14ac:dyDescent="0.25">
      <c r="A383" s="12" t="s">
        <v>10</v>
      </c>
    </row>
    <row r="384" spans="1:2" x14ac:dyDescent="0.25">
      <c r="A384" s="13" t="s">
        <v>1573</v>
      </c>
      <c r="B384">
        <v>1</v>
      </c>
    </row>
    <row r="385" spans="1:2" x14ac:dyDescent="0.25">
      <c r="A385" s="13" t="s">
        <v>1574</v>
      </c>
      <c r="B385">
        <v>1</v>
      </c>
    </row>
    <row r="386" spans="1:2" x14ac:dyDescent="0.25">
      <c r="A386" s="13" t="s">
        <v>1571</v>
      </c>
      <c r="B386">
        <v>1</v>
      </c>
    </row>
    <row r="387" spans="1:2" x14ac:dyDescent="0.25">
      <c r="A387" s="11" t="s">
        <v>12</v>
      </c>
    </row>
    <row r="388" spans="1:2" x14ac:dyDescent="0.25">
      <c r="A388" s="12" t="s">
        <v>16</v>
      </c>
    </row>
    <row r="389" spans="1:2" x14ac:dyDescent="0.25">
      <c r="A389" s="13" t="s">
        <v>1564</v>
      </c>
      <c r="B389">
        <v>1</v>
      </c>
    </row>
    <row r="390" spans="1:2" x14ac:dyDescent="0.25">
      <c r="A390" s="13" t="s">
        <v>1567</v>
      </c>
      <c r="B390">
        <v>1</v>
      </c>
    </row>
    <row r="391" spans="1:2" x14ac:dyDescent="0.25">
      <c r="A391" s="13" t="s">
        <v>1595</v>
      </c>
      <c r="B391">
        <v>1</v>
      </c>
    </row>
    <row r="392" spans="1:2" x14ac:dyDescent="0.25">
      <c r="A392" s="13" t="s">
        <v>1572</v>
      </c>
      <c r="B392">
        <v>2</v>
      </c>
    </row>
    <row r="393" spans="1:2" x14ac:dyDescent="0.25">
      <c r="A393" s="12" t="s">
        <v>10</v>
      </c>
    </row>
    <row r="394" spans="1:2" x14ac:dyDescent="0.25">
      <c r="A394" s="13" t="s">
        <v>1564</v>
      </c>
      <c r="B394">
        <v>1</v>
      </c>
    </row>
    <row r="395" spans="1:2" x14ac:dyDescent="0.25">
      <c r="A395" s="13" t="s">
        <v>1604</v>
      </c>
      <c r="B395">
        <v>1</v>
      </c>
    </row>
    <row r="396" spans="1:2" x14ac:dyDescent="0.25">
      <c r="A396" s="13" t="s">
        <v>1588</v>
      </c>
      <c r="B396">
        <v>1</v>
      </c>
    </row>
    <row r="397" spans="1:2" x14ac:dyDescent="0.25">
      <c r="A397" s="13" t="s">
        <v>1569</v>
      </c>
      <c r="B397">
        <v>1</v>
      </c>
    </row>
    <row r="398" spans="1:2" x14ac:dyDescent="0.25">
      <c r="A398" s="13" t="s">
        <v>1603</v>
      </c>
      <c r="B398">
        <v>1</v>
      </c>
    </row>
    <row r="399" spans="1:2" x14ac:dyDescent="0.25">
      <c r="A399" s="13" t="s">
        <v>1580</v>
      </c>
      <c r="B399">
        <v>1</v>
      </c>
    </row>
    <row r="400" spans="1:2" x14ac:dyDescent="0.25">
      <c r="A400" s="13" t="s">
        <v>1609</v>
      </c>
      <c r="B400">
        <v>1</v>
      </c>
    </row>
    <row r="401" spans="1:2" x14ac:dyDescent="0.25">
      <c r="A401" s="13" t="s">
        <v>1571</v>
      </c>
      <c r="B401">
        <v>1</v>
      </c>
    </row>
    <row r="402" spans="1:2" x14ac:dyDescent="0.25">
      <c r="A402" s="11" t="s">
        <v>18</v>
      </c>
    </row>
    <row r="403" spans="1:2" x14ac:dyDescent="0.25">
      <c r="A403" s="12" t="s">
        <v>16</v>
      </c>
    </row>
    <row r="404" spans="1:2" x14ac:dyDescent="0.25">
      <c r="A404" s="13" t="s">
        <v>1577</v>
      </c>
      <c r="B404">
        <v>1</v>
      </c>
    </row>
    <row r="405" spans="1:2" x14ac:dyDescent="0.25">
      <c r="A405" s="13" t="s">
        <v>1606</v>
      </c>
      <c r="B405">
        <v>1</v>
      </c>
    </row>
    <row r="406" spans="1:2" x14ac:dyDescent="0.25">
      <c r="A406" s="13" t="s">
        <v>1605</v>
      </c>
      <c r="B406">
        <v>1</v>
      </c>
    </row>
    <row r="407" spans="1:2" x14ac:dyDescent="0.25">
      <c r="A407" s="13" t="s">
        <v>1568</v>
      </c>
      <c r="B407">
        <v>1</v>
      </c>
    </row>
    <row r="408" spans="1:2" x14ac:dyDescent="0.25">
      <c r="A408" s="13" t="s">
        <v>1603</v>
      </c>
      <c r="B408">
        <v>1</v>
      </c>
    </row>
    <row r="409" spans="1:2" x14ac:dyDescent="0.25">
      <c r="A409" s="13" t="s">
        <v>1587</v>
      </c>
      <c r="B409">
        <v>1</v>
      </c>
    </row>
    <row r="410" spans="1:2" x14ac:dyDescent="0.25">
      <c r="A410" s="12" t="s">
        <v>10</v>
      </c>
    </row>
    <row r="411" spans="1:2" x14ac:dyDescent="0.25">
      <c r="A411" s="13" t="s">
        <v>1578</v>
      </c>
      <c r="B411">
        <v>1</v>
      </c>
    </row>
    <row r="412" spans="1:2" x14ac:dyDescent="0.25">
      <c r="A412" s="13" t="s">
        <v>1568</v>
      </c>
      <c r="B412">
        <v>1</v>
      </c>
    </row>
    <row r="413" spans="1:2" x14ac:dyDescent="0.25">
      <c r="A413" s="13" t="s">
        <v>1585</v>
      </c>
      <c r="B413">
        <v>1</v>
      </c>
    </row>
    <row r="414" spans="1:2" x14ac:dyDescent="0.25">
      <c r="A414" s="13" t="s">
        <v>1590</v>
      </c>
      <c r="B414">
        <v>1</v>
      </c>
    </row>
    <row r="415" spans="1:2" x14ac:dyDescent="0.25">
      <c r="A415" s="13" t="s">
        <v>1571</v>
      </c>
      <c r="B415">
        <v>1</v>
      </c>
    </row>
    <row r="416" spans="1:2" x14ac:dyDescent="0.25">
      <c r="A416" s="11" t="s">
        <v>27</v>
      </c>
    </row>
    <row r="417" spans="1:2" x14ac:dyDescent="0.25">
      <c r="A417" s="12" t="s">
        <v>16</v>
      </c>
    </row>
    <row r="418" spans="1:2" x14ac:dyDescent="0.25">
      <c r="A418" s="13" t="s">
        <v>1574</v>
      </c>
      <c r="B418">
        <v>1</v>
      </c>
    </row>
    <row r="419" spans="1:2" x14ac:dyDescent="0.25">
      <c r="A419" s="13" t="s">
        <v>1565</v>
      </c>
      <c r="B419">
        <v>1</v>
      </c>
    </row>
    <row r="420" spans="1:2" x14ac:dyDescent="0.25">
      <c r="A420" s="13" t="s">
        <v>1588</v>
      </c>
      <c r="B420">
        <v>1</v>
      </c>
    </row>
    <row r="421" spans="1:2" x14ac:dyDescent="0.25">
      <c r="A421" s="13" t="s">
        <v>1609</v>
      </c>
      <c r="B421">
        <v>2</v>
      </c>
    </row>
    <row r="422" spans="1:2" x14ac:dyDescent="0.25">
      <c r="A422" s="13" t="s">
        <v>1589</v>
      </c>
      <c r="B422">
        <v>1</v>
      </c>
    </row>
    <row r="423" spans="1:2" x14ac:dyDescent="0.25">
      <c r="A423" s="13" t="s">
        <v>1590</v>
      </c>
      <c r="B423">
        <v>1</v>
      </c>
    </row>
    <row r="424" spans="1:2" x14ac:dyDescent="0.25">
      <c r="A424" s="12" t="s">
        <v>10</v>
      </c>
    </row>
    <row r="425" spans="1:2" x14ac:dyDescent="0.25">
      <c r="A425" s="13" t="s">
        <v>1574</v>
      </c>
      <c r="B425">
        <v>1</v>
      </c>
    </row>
    <row r="426" spans="1:2" x14ac:dyDescent="0.25">
      <c r="A426" s="13" t="s">
        <v>1592</v>
      </c>
      <c r="B426">
        <v>1</v>
      </c>
    </row>
    <row r="427" spans="1:2" x14ac:dyDescent="0.25">
      <c r="A427" s="13" t="s">
        <v>1564</v>
      </c>
      <c r="B427">
        <v>1</v>
      </c>
    </row>
    <row r="428" spans="1:2" x14ac:dyDescent="0.25">
      <c r="A428" s="13" t="s">
        <v>1565</v>
      </c>
      <c r="B428">
        <v>1</v>
      </c>
    </row>
    <row r="429" spans="1:2" x14ac:dyDescent="0.25">
      <c r="A429" s="13" t="s">
        <v>1588</v>
      </c>
      <c r="B429">
        <v>1</v>
      </c>
    </row>
    <row r="430" spans="1:2" x14ac:dyDescent="0.25">
      <c r="A430" s="13" t="s">
        <v>1610</v>
      </c>
      <c r="B430">
        <v>1</v>
      </c>
    </row>
    <row r="431" spans="1:2" x14ac:dyDescent="0.25">
      <c r="A431" s="13" t="s">
        <v>1570</v>
      </c>
      <c r="B431">
        <v>1</v>
      </c>
    </row>
    <row r="432" spans="1:2" x14ac:dyDescent="0.25">
      <c r="A432" s="13" t="s">
        <v>1581</v>
      </c>
      <c r="B432">
        <v>1</v>
      </c>
    </row>
    <row r="433" spans="1:2" x14ac:dyDescent="0.25">
      <c r="A433" s="11" t="s">
        <v>99</v>
      </c>
    </row>
    <row r="434" spans="1:2" x14ac:dyDescent="0.25">
      <c r="A434" s="12" t="s">
        <v>16</v>
      </c>
    </row>
    <row r="435" spans="1:2" x14ac:dyDescent="0.25">
      <c r="A435" s="13" t="s">
        <v>1592</v>
      </c>
      <c r="B435">
        <v>1</v>
      </c>
    </row>
    <row r="436" spans="1:2" x14ac:dyDescent="0.25">
      <c r="A436" s="13" t="s">
        <v>1608</v>
      </c>
      <c r="B436">
        <v>1</v>
      </c>
    </row>
    <row r="437" spans="1:2" x14ac:dyDescent="0.25">
      <c r="A437" s="13" t="s">
        <v>1582</v>
      </c>
      <c r="B437">
        <v>1</v>
      </c>
    </row>
    <row r="438" spans="1:2" x14ac:dyDescent="0.25">
      <c r="A438" s="13" t="s">
        <v>1583</v>
      </c>
      <c r="B438">
        <v>1</v>
      </c>
    </row>
    <row r="439" spans="1:2" x14ac:dyDescent="0.25">
      <c r="A439" s="13" t="s">
        <v>1589</v>
      </c>
      <c r="B439">
        <v>1</v>
      </c>
    </row>
    <row r="440" spans="1:2" x14ac:dyDescent="0.25">
      <c r="A440" s="12" t="s">
        <v>10</v>
      </c>
    </row>
    <row r="441" spans="1:2" x14ac:dyDescent="0.25">
      <c r="A441" s="13" t="s">
        <v>1576</v>
      </c>
      <c r="B441">
        <v>1</v>
      </c>
    </row>
    <row r="442" spans="1:2" x14ac:dyDescent="0.25">
      <c r="A442" s="13" t="s">
        <v>1607</v>
      </c>
      <c r="B442">
        <v>1</v>
      </c>
    </row>
    <row r="443" spans="1:2" x14ac:dyDescent="0.25">
      <c r="A443" s="13" t="s">
        <v>1582</v>
      </c>
      <c r="B443">
        <v>1</v>
      </c>
    </row>
    <row r="444" spans="1:2" x14ac:dyDescent="0.25">
      <c r="A444" s="13" t="s">
        <v>1606</v>
      </c>
      <c r="B444">
        <v>1</v>
      </c>
    </row>
    <row r="445" spans="1:2" x14ac:dyDescent="0.25">
      <c r="A445" s="13" t="s">
        <v>1604</v>
      </c>
      <c r="B445">
        <v>1</v>
      </c>
    </row>
    <row r="446" spans="1:2" x14ac:dyDescent="0.25">
      <c r="A446" s="13" t="s">
        <v>1586</v>
      </c>
      <c r="B446">
        <v>1</v>
      </c>
    </row>
    <row r="447" spans="1:2" x14ac:dyDescent="0.25">
      <c r="A447" s="13" t="s">
        <v>1571</v>
      </c>
      <c r="B447">
        <v>1</v>
      </c>
    </row>
    <row r="448" spans="1:2" x14ac:dyDescent="0.25">
      <c r="A448" s="11" t="s">
        <v>37</v>
      </c>
    </row>
    <row r="449" spans="1:2" x14ac:dyDescent="0.25">
      <c r="A449" s="12" t="s">
        <v>16</v>
      </c>
    </row>
    <row r="450" spans="1:2" x14ac:dyDescent="0.25">
      <c r="A450" s="13" t="s">
        <v>1607</v>
      </c>
      <c r="B450">
        <v>1</v>
      </c>
    </row>
    <row r="451" spans="1:2" x14ac:dyDescent="0.25">
      <c r="A451" s="13" t="s">
        <v>1593</v>
      </c>
      <c r="B451">
        <v>2</v>
      </c>
    </row>
    <row r="452" spans="1:2" x14ac:dyDescent="0.25">
      <c r="A452" s="13" t="s">
        <v>1567</v>
      </c>
      <c r="B452">
        <v>1</v>
      </c>
    </row>
    <row r="453" spans="1:2" x14ac:dyDescent="0.25">
      <c r="A453" s="13" t="s">
        <v>1605</v>
      </c>
      <c r="B453">
        <v>1</v>
      </c>
    </row>
    <row r="454" spans="1:2" x14ac:dyDescent="0.25">
      <c r="A454" s="13" t="s">
        <v>1569</v>
      </c>
      <c r="B454">
        <v>1</v>
      </c>
    </row>
    <row r="455" spans="1:2" x14ac:dyDescent="0.25">
      <c r="A455" s="13" t="s">
        <v>1585</v>
      </c>
      <c r="B455">
        <v>1</v>
      </c>
    </row>
    <row r="456" spans="1:2" x14ac:dyDescent="0.25">
      <c r="A456" s="13" t="s">
        <v>1570</v>
      </c>
      <c r="B456">
        <v>1</v>
      </c>
    </row>
    <row r="457" spans="1:2" x14ac:dyDescent="0.25">
      <c r="A457" s="13" t="s">
        <v>1586</v>
      </c>
      <c r="B457">
        <v>1</v>
      </c>
    </row>
    <row r="458" spans="1:2" x14ac:dyDescent="0.25">
      <c r="A458" s="12" t="s">
        <v>10</v>
      </c>
    </row>
    <row r="459" spans="1:2" x14ac:dyDescent="0.25">
      <c r="A459" s="13" t="s">
        <v>1576</v>
      </c>
      <c r="B459">
        <v>1</v>
      </c>
    </row>
    <row r="460" spans="1:2" x14ac:dyDescent="0.25">
      <c r="A460" s="13" t="s">
        <v>1565</v>
      </c>
      <c r="B460">
        <v>1</v>
      </c>
    </row>
    <row r="461" spans="1:2" x14ac:dyDescent="0.25">
      <c r="A461" s="13" t="s">
        <v>1606</v>
      </c>
      <c r="B461">
        <v>1</v>
      </c>
    </row>
    <row r="462" spans="1:2" x14ac:dyDescent="0.25">
      <c r="A462" s="13" t="s">
        <v>1595</v>
      </c>
      <c r="B462">
        <v>1</v>
      </c>
    </row>
    <row r="463" spans="1:2" x14ac:dyDescent="0.25">
      <c r="A463" s="11" t="s">
        <v>54</v>
      </c>
    </row>
    <row r="464" spans="1:2" x14ac:dyDescent="0.25">
      <c r="A464" s="12" t="s">
        <v>16</v>
      </c>
    </row>
    <row r="465" spans="1:2" x14ac:dyDescent="0.25">
      <c r="A465" s="13" t="s">
        <v>1576</v>
      </c>
      <c r="B465">
        <v>1</v>
      </c>
    </row>
    <row r="466" spans="1:2" x14ac:dyDescent="0.25">
      <c r="A466" s="13" t="s">
        <v>1566</v>
      </c>
      <c r="B466">
        <v>1</v>
      </c>
    </row>
    <row r="467" spans="1:2" x14ac:dyDescent="0.25">
      <c r="A467" s="13" t="s">
        <v>1596</v>
      </c>
      <c r="B467">
        <v>1</v>
      </c>
    </row>
    <row r="468" spans="1:2" x14ac:dyDescent="0.25">
      <c r="A468" s="13" t="s">
        <v>1579</v>
      </c>
      <c r="B468">
        <v>1</v>
      </c>
    </row>
    <row r="469" spans="1:2" x14ac:dyDescent="0.25">
      <c r="A469" s="13" t="s">
        <v>1587</v>
      </c>
      <c r="B469">
        <v>1</v>
      </c>
    </row>
    <row r="470" spans="1:2" x14ac:dyDescent="0.25">
      <c r="A470" s="13" t="s">
        <v>1581</v>
      </c>
      <c r="B470">
        <v>1</v>
      </c>
    </row>
    <row r="471" spans="1:2" x14ac:dyDescent="0.25">
      <c r="A471" s="13" t="s">
        <v>1572</v>
      </c>
      <c r="B471">
        <v>1</v>
      </c>
    </row>
    <row r="472" spans="1:2" x14ac:dyDescent="0.25">
      <c r="A472" s="12" t="s">
        <v>10</v>
      </c>
    </row>
    <row r="473" spans="1:2" x14ac:dyDescent="0.25">
      <c r="A473" s="13" t="s">
        <v>1583</v>
      </c>
      <c r="B473">
        <v>1</v>
      </c>
    </row>
    <row r="474" spans="1:2" x14ac:dyDescent="0.25">
      <c r="A474" s="13" t="s">
        <v>1568</v>
      </c>
      <c r="B474">
        <v>1</v>
      </c>
    </row>
    <row r="475" spans="1:2" x14ac:dyDescent="0.25">
      <c r="A475" s="13" t="s">
        <v>1603</v>
      </c>
      <c r="B475">
        <v>1</v>
      </c>
    </row>
    <row r="476" spans="1:2" x14ac:dyDescent="0.25">
      <c r="A476" s="13" t="s">
        <v>1609</v>
      </c>
      <c r="B476">
        <v>1</v>
      </c>
    </row>
    <row r="477" spans="1:2" x14ac:dyDescent="0.25">
      <c r="A477" s="13" t="s">
        <v>1572</v>
      </c>
      <c r="B477">
        <v>1</v>
      </c>
    </row>
    <row r="478" spans="1:2" x14ac:dyDescent="0.25">
      <c r="A478" s="11" t="s">
        <v>221</v>
      </c>
    </row>
    <row r="479" spans="1:2" x14ac:dyDescent="0.25">
      <c r="A479" s="12" t="s">
        <v>16</v>
      </c>
    </row>
    <row r="480" spans="1:2" x14ac:dyDescent="0.25">
      <c r="A480" s="13" t="s">
        <v>1573</v>
      </c>
      <c r="B480">
        <v>1</v>
      </c>
    </row>
    <row r="481" spans="1:2" x14ac:dyDescent="0.25">
      <c r="A481" s="13" t="s">
        <v>1605</v>
      </c>
      <c r="B481">
        <v>1</v>
      </c>
    </row>
    <row r="482" spans="1:2" x14ac:dyDescent="0.25">
      <c r="A482" s="13" t="s">
        <v>1601</v>
      </c>
      <c r="B482">
        <v>1</v>
      </c>
    </row>
    <row r="483" spans="1:2" x14ac:dyDescent="0.25">
      <c r="A483" s="13" t="s">
        <v>1603</v>
      </c>
      <c r="B483">
        <v>1</v>
      </c>
    </row>
    <row r="484" spans="1:2" x14ac:dyDescent="0.25">
      <c r="A484" s="13" t="s">
        <v>1586</v>
      </c>
      <c r="B484">
        <v>1</v>
      </c>
    </row>
    <row r="485" spans="1:2" x14ac:dyDescent="0.25">
      <c r="A485" s="12" t="s">
        <v>10</v>
      </c>
    </row>
    <row r="486" spans="1:2" x14ac:dyDescent="0.25">
      <c r="A486" s="13" t="s">
        <v>1592</v>
      </c>
      <c r="B486">
        <v>1</v>
      </c>
    </row>
    <row r="487" spans="1:2" x14ac:dyDescent="0.25">
      <c r="A487" s="11" t="s">
        <v>321</v>
      </c>
    </row>
    <row r="488" spans="1:2" x14ac:dyDescent="0.25">
      <c r="A488" s="12" t="s">
        <v>16</v>
      </c>
    </row>
    <row r="489" spans="1:2" x14ac:dyDescent="0.25">
      <c r="A489" s="13" t="s">
        <v>1575</v>
      </c>
      <c r="B489">
        <v>1</v>
      </c>
    </row>
    <row r="490" spans="1:2" x14ac:dyDescent="0.25">
      <c r="A490" s="13" t="s">
        <v>1593</v>
      </c>
      <c r="B490">
        <v>1</v>
      </c>
    </row>
    <row r="491" spans="1:2" x14ac:dyDescent="0.25">
      <c r="A491" s="13" t="s">
        <v>1564</v>
      </c>
      <c r="B491">
        <v>1</v>
      </c>
    </row>
    <row r="492" spans="1:2" x14ac:dyDescent="0.25">
      <c r="A492" s="13" t="s">
        <v>1565</v>
      </c>
      <c r="B492">
        <v>1</v>
      </c>
    </row>
    <row r="493" spans="1:2" x14ac:dyDescent="0.25">
      <c r="A493" s="13" t="s">
        <v>1608</v>
      </c>
      <c r="B493">
        <v>1</v>
      </c>
    </row>
    <row r="494" spans="1:2" x14ac:dyDescent="0.25">
      <c r="A494" s="13" t="s">
        <v>1582</v>
      </c>
      <c r="B494">
        <v>1</v>
      </c>
    </row>
    <row r="495" spans="1:2" x14ac:dyDescent="0.25">
      <c r="A495" s="13" t="s">
        <v>1586</v>
      </c>
      <c r="B495">
        <v>1</v>
      </c>
    </row>
    <row r="496" spans="1:2" x14ac:dyDescent="0.25">
      <c r="A496" s="12" t="s">
        <v>10</v>
      </c>
    </row>
    <row r="497" spans="1:2" x14ac:dyDescent="0.25">
      <c r="A497" s="13" t="s">
        <v>1571</v>
      </c>
      <c r="B497">
        <v>1</v>
      </c>
    </row>
    <row r="498" spans="1:2" x14ac:dyDescent="0.25">
      <c r="A498" s="11" t="s">
        <v>41</v>
      </c>
    </row>
    <row r="499" spans="1:2" x14ac:dyDescent="0.25">
      <c r="A499" s="12" t="s">
        <v>16</v>
      </c>
    </row>
    <row r="500" spans="1:2" x14ac:dyDescent="0.25">
      <c r="A500" s="13" t="s">
        <v>1593</v>
      </c>
      <c r="B500">
        <v>1</v>
      </c>
    </row>
    <row r="501" spans="1:2" x14ac:dyDescent="0.25">
      <c r="A501" s="13" t="s">
        <v>1565</v>
      </c>
      <c r="B501">
        <v>1</v>
      </c>
    </row>
    <row r="502" spans="1:2" x14ac:dyDescent="0.25">
      <c r="A502" s="13" t="s">
        <v>1608</v>
      </c>
      <c r="B502">
        <v>1</v>
      </c>
    </row>
    <row r="503" spans="1:2" x14ac:dyDescent="0.25">
      <c r="A503" s="13" t="s">
        <v>1601</v>
      </c>
      <c r="B503">
        <v>1</v>
      </c>
    </row>
    <row r="504" spans="1:2" x14ac:dyDescent="0.25">
      <c r="A504" s="13" t="s">
        <v>1585</v>
      </c>
      <c r="B504">
        <v>1</v>
      </c>
    </row>
    <row r="505" spans="1:2" x14ac:dyDescent="0.25">
      <c r="A505" s="12" t="s">
        <v>10</v>
      </c>
    </row>
    <row r="506" spans="1:2" x14ac:dyDescent="0.25">
      <c r="A506" s="13" t="s">
        <v>1575</v>
      </c>
      <c r="B506">
        <v>1</v>
      </c>
    </row>
    <row r="507" spans="1:2" x14ac:dyDescent="0.25">
      <c r="A507" s="13" t="s">
        <v>1577</v>
      </c>
      <c r="B507">
        <v>1</v>
      </c>
    </row>
    <row r="508" spans="1:2" x14ac:dyDescent="0.25">
      <c r="A508" s="13" t="s">
        <v>1583</v>
      </c>
      <c r="B508">
        <v>1</v>
      </c>
    </row>
    <row r="509" spans="1:2" x14ac:dyDescent="0.25">
      <c r="A509" s="13" t="s">
        <v>1590</v>
      </c>
      <c r="B509">
        <v>1</v>
      </c>
    </row>
    <row r="510" spans="1:2" x14ac:dyDescent="0.25">
      <c r="A510" s="13" t="s">
        <v>1597</v>
      </c>
      <c r="B510">
        <v>1</v>
      </c>
    </row>
    <row r="511" spans="1:2" x14ac:dyDescent="0.25">
      <c r="A511" s="11" t="s">
        <v>241</v>
      </c>
    </row>
    <row r="512" spans="1:2" x14ac:dyDescent="0.25">
      <c r="A512" s="12" t="s">
        <v>16</v>
      </c>
    </row>
    <row r="513" spans="1:2" x14ac:dyDescent="0.25">
      <c r="A513" s="13" t="s">
        <v>1574</v>
      </c>
      <c r="B513">
        <v>1</v>
      </c>
    </row>
    <row r="514" spans="1:2" x14ac:dyDescent="0.25">
      <c r="A514" s="13" t="s">
        <v>1577</v>
      </c>
      <c r="B514">
        <v>1</v>
      </c>
    </row>
    <row r="515" spans="1:2" x14ac:dyDescent="0.25">
      <c r="A515" s="13" t="s">
        <v>1583</v>
      </c>
      <c r="B515">
        <v>1</v>
      </c>
    </row>
    <row r="516" spans="1:2" x14ac:dyDescent="0.25">
      <c r="A516" s="13" t="s">
        <v>1596</v>
      </c>
      <c r="B516">
        <v>1</v>
      </c>
    </row>
    <row r="517" spans="1:2" x14ac:dyDescent="0.25">
      <c r="A517" s="13" t="s">
        <v>1586</v>
      </c>
      <c r="B517">
        <v>1</v>
      </c>
    </row>
    <row r="518" spans="1:2" x14ac:dyDescent="0.25">
      <c r="A518" s="13" t="s">
        <v>1590</v>
      </c>
      <c r="B518">
        <v>1</v>
      </c>
    </row>
    <row r="519" spans="1:2" x14ac:dyDescent="0.25">
      <c r="A519" s="12" t="s">
        <v>10</v>
      </c>
    </row>
    <row r="520" spans="1:2" x14ac:dyDescent="0.25">
      <c r="A520" s="13" t="s">
        <v>1606</v>
      </c>
      <c r="B520">
        <v>1</v>
      </c>
    </row>
    <row r="521" spans="1:2" x14ac:dyDescent="0.25">
      <c r="A521" s="13" t="s">
        <v>1604</v>
      </c>
      <c r="B521">
        <v>1</v>
      </c>
    </row>
    <row r="522" spans="1:2" x14ac:dyDescent="0.25">
      <c r="A522" s="13" t="s">
        <v>1599</v>
      </c>
      <c r="B522">
        <v>1</v>
      </c>
    </row>
    <row r="523" spans="1:2" x14ac:dyDescent="0.25">
      <c r="A523" s="13" t="s">
        <v>1567</v>
      </c>
      <c r="B523">
        <v>1</v>
      </c>
    </row>
    <row r="524" spans="1:2" x14ac:dyDescent="0.25">
      <c r="A524" s="13" t="s">
        <v>1595</v>
      </c>
      <c r="B524">
        <v>1</v>
      </c>
    </row>
    <row r="525" spans="1:2" x14ac:dyDescent="0.25">
      <c r="A525" s="13" t="s">
        <v>1596</v>
      </c>
      <c r="B525">
        <v>1</v>
      </c>
    </row>
    <row r="526" spans="1:2" x14ac:dyDescent="0.25">
      <c r="A526" s="13" t="s">
        <v>1568</v>
      </c>
      <c r="B526">
        <v>1</v>
      </c>
    </row>
    <row r="527" spans="1:2" x14ac:dyDescent="0.25">
      <c r="A527" s="13" t="s">
        <v>1610</v>
      </c>
      <c r="B527">
        <v>1</v>
      </c>
    </row>
    <row r="528" spans="1:2" x14ac:dyDescent="0.25">
      <c r="A528" s="11" t="s">
        <v>363</v>
      </c>
    </row>
    <row r="529" spans="1:2" x14ac:dyDescent="0.25">
      <c r="A529" s="12" t="s">
        <v>16</v>
      </c>
    </row>
    <row r="530" spans="1:2" x14ac:dyDescent="0.25">
      <c r="A530" s="13" t="s">
        <v>1576</v>
      </c>
      <c r="B530">
        <v>1</v>
      </c>
    </row>
    <row r="531" spans="1:2" x14ac:dyDescent="0.25">
      <c r="A531" s="13" t="s">
        <v>1603</v>
      </c>
      <c r="B531">
        <v>1</v>
      </c>
    </row>
    <row r="532" spans="1:2" x14ac:dyDescent="0.25">
      <c r="A532" s="13" t="s">
        <v>1570</v>
      </c>
      <c r="B532">
        <v>1</v>
      </c>
    </row>
    <row r="533" spans="1:2" x14ac:dyDescent="0.25">
      <c r="A533" s="12" t="s">
        <v>10</v>
      </c>
    </row>
    <row r="534" spans="1:2" x14ac:dyDescent="0.25">
      <c r="A534" s="13" t="s">
        <v>1574</v>
      </c>
      <c r="B534">
        <v>1</v>
      </c>
    </row>
    <row r="535" spans="1:2" x14ac:dyDescent="0.25">
      <c r="A535" s="13" t="s">
        <v>1610</v>
      </c>
      <c r="B535">
        <v>1</v>
      </c>
    </row>
    <row r="536" spans="1:2" x14ac:dyDescent="0.25">
      <c r="A536" s="11" t="s">
        <v>121</v>
      </c>
    </row>
    <row r="537" spans="1:2" x14ac:dyDescent="0.25">
      <c r="A537" s="12" t="s">
        <v>16</v>
      </c>
    </row>
    <row r="538" spans="1:2" x14ac:dyDescent="0.25">
      <c r="A538" s="13" t="s">
        <v>1583</v>
      </c>
      <c r="B538">
        <v>1</v>
      </c>
    </row>
    <row r="539" spans="1:2" x14ac:dyDescent="0.25">
      <c r="A539" s="13" t="s">
        <v>1601</v>
      </c>
      <c r="B539">
        <v>1</v>
      </c>
    </row>
    <row r="540" spans="1:2" x14ac:dyDescent="0.25">
      <c r="A540" s="13" t="s">
        <v>1568</v>
      </c>
      <c r="B540">
        <v>1</v>
      </c>
    </row>
    <row r="541" spans="1:2" x14ac:dyDescent="0.25">
      <c r="A541" s="13" t="s">
        <v>1585</v>
      </c>
      <c r="B541">
        <v>1</v>
      </c>
    </row>
    <row r="542" spans="1:2" x14ac:dyDescent="0.25">
      <c r="A542" s="12" t="s">
        <v>10</v>
      </c>
    </row>
    <row r="543" spans="1:2" x14ac:dyDescent="0.25">
      <c r="A543" s="13" t="s">
        <v>1598</v>
      </c>
      <c r="B543">
        <v>2</v>
      </c>
    </row>
    <row r="544" spans="1:2" x14ac:dyDescent="0.25">
      <c r="A544" s="13" t="s">
        <v>1565</v>
      </c>
      <c r="B544">
        <v>1</v>
      </c>
    </row>
    <row r="545" spans="1:2" x14ac:dyDescent="0.25">
      <c r="A545" s="13" t="s">
        <v>1578</v>
      </c>
      <c r="B545">
        <v>1</v>
      </c>
    </row>
    <row r="546" spans="1:2" x14ac:dyDescent="0.25">
      <c r="A546" s="13" t="s">
        <v>1608</v>
      </c>
      <c r="B546">
        <v>1</v>
      </c>
    </row>
    <row r="547" spans="1:2" x14ac:dyDescent="0.25">
      <c r="A547" s="13" t="s">
        <v>1567</v>
      </c>
      <c r="B547">
        <v>1</v>
      </c>
    </row>
    <row r="548" spans="1:2" x14ac:dyDescent="0.25">
      <c r="A548" s="13" t="s">
        <v>1568</v>
      </c>
      <c r="B548">
        <v>1</v>
      </c>
    </row>
    <row r="549" spans="1:2" x14ac:dyDescent="0.25">
      <c r="A549" s="11" t="s">
        <v>175</v>
      </c>
    </row>
    <row r="550" spans="1:2" x14ac:dyDescent="0.25">
      <c r="A550" s="12" t="s">
        <v>16</v>
      </c>
    </row>
    <row r="551" spans="1:2" x14ac:dyDescent="0.25">
      <c r="A551" s="13" t="s">
        <v>1573</v>
      </c>
      <c r="B551">
        <v>1</v>
      </c>
    </row>
    <row r="552" spans="1:2" x14ac:dyDescent="0.25">
      <c r="A552" s="13" t="s">
        <v>1591</v>
      </c>
      <c r="B552">
        <v>1</v>
      </c>
    </row>
    <row r="553" spans="1:2" x14ac:dyDescent="0.25">
      <c r="A553" s="13" t="s">
        <v>1575</v>
      </c>
      <c r="B553">
        <v>2</v>
      </c>
    </row>
    <row r="554" spans="1:2" x14ac:dyDescent="0.25">
      <c r="A554" s="13" t="s">
        <v>1577</v>
      </c>
      <c r="B554">
        <v>1</v>
      </c>
    </row>
    <row r="555" spans="1:2" x14ac:dyDescent="0.25">
      <c r="A555" s="13" t="s">
        <v>1606</v>
      </c>
      <c r="B555">
        <v>1</v>
      </c>
    </row>
    <row r="556" spans="1:2" x14ac:dyDescent="0.25">
      <c r="A556" s="13" t="s">
        <v>1581</v>
      </c>
      <c r="B556">
        <v>1</v>
      </c>
    </row>
    <row r="557" spans="1:2" x14ac:dyDescent="0.25">
      <c r="A557" s="12" t="s">
        <v>10</v>
      </c>
    </row>
    <row r="558" spans="1:2" x14ac:dyDescent="0.25">
      <c r="A558" s="13" t="s">
        <v>1591</v>
      </c>
      <c r="B558">
        <v>1</v>
      </c>
    </row>
    <row r="559" spans="1:2" x14ac:dyDescent="0.25">
      <c r="A559" s="13" t="s">
        <v>1565</v>
      </c>
      <c r="B559">
        <v>1</v>
      </c>
    </row>
    <row r="560" spans="1:2" x14ac:dyDescent="0.25">
      <c r="A560" s="13" t="s">
        <v>1599</v>
      </c>
      <c r="B560">
        <v>1</v>
      </c>
    </row>
    <row r="561" spans="1:2" x14ac:dyDescent="0.25">
      <c r="A561" s="13" t="s">
        <v>1600</v>
      </c>
      <c r="B561">
        <v>1</v>
      </c>
    </row>
    <row r="562" spans="1:2" x14ac:dyDescent="0.25">
      <c r="A562" s="13" t="s">
        <v>1601</v>
      </c>
      <c r="B562">
        <v>1</v>
      </c>
    </row>
    <row r="563" spans="1:2" x14ac:dyDescent="0.25">
      <c r="A563" s="13" t="s">
        <v>1588</v>
      </c>
      <c r="B563">
        <v>2</v>
      </c>
    </row>
    <row r="564" spans="1:2" x14ac:dyDescent="0.25">
      <c r="A564" s="13" t="s">
        <v>1584</v>
      </c>
      <c r="B564">
        <v>1</v>
      </c>
    </row>
    <row r="565" spans="1:2" x14ac:dyDescent="0.25">
      <c r="A565" s="13" t="s">
        <v>1580</v>
      </c>
      <c r="B565">
        <v>1</v>
      </c>
    </row>
    <row r="566" spans="1:2" x14ac:dyDescent="0.25">
      <c r="A566" s="11" t="s">
        <v>291</v>
      </c>
    </row>
    <row r="567" spans="1:2" x14ac:dyDescent="0.25">
      <c r="A567" s="12" t="s">
        <v>16</v>
      </c>
    </row>
    <row r="568" spans="1:2" x14ac:dyDescent="0.25">
      <c r="A568" s="13" t="s">
        <v>1595</v>
      </c>
      <c r="B568">
        <v>1</v>
      </c>
    </row>
    <row r="569" spans="1:2" x14ac:dyDescent="0.25">
      <c r="A569" s="13" t="s">
        <v>1605</v>
      </c>
      <c r="B569">
        <v>1</v>
      </c>
    </row>
    <row r="570" spans="1:2" x14ac:dyDescent="0.25">
      <c r="A570" s="13" t="s">
        <v>1568</v>
      </c>
      <c r="B570">
        <v>1</v>
      </c>
    </row>
    <row r="571" spans="1:2" x14ac:dyDescent="0.25">
      <c r="A571" s="13" t="s">
        <v>1585</v>
      </c>
      <c r="B571">
        <v>1</v>
      </c>
    </row>
    <row r="572" spans="1:2" x14ac:dyDescent="0.25">
      <c r="A572" s="12" t="s">
        <v>10</v>
      </c>
    </row>
    <row r="573" spans="1:2" x14ac:dyDescent="0.25">
      <c r="A573" s="13" t="s">
        <v>1574</v>
      </c>
      <c r="B573">
        <v>1</v>
      </c>
    </row>
    <row r="574" spans="1:2" x14ac:dyDescent="0.25">
      <c r="A574" s="13" t="s">
        <v>1578</v>
      </c>
      <c r="B574">
        <v>1</v>
      </c>
    </row>
    <row r="575" spans="1:2" x14ac:dyDescent="0.25">
      <c r="A575" s="13" t="s">
        <v>1599</v>
      </c>
      <c r="B575">
        <v>1</v>
      </c>
    </row>
    <row r="576" spans="1:2" x14ac:dyDescent="0.25">
      <c r="A576" s="13" t="s">
        <v>1601</v>
      </c>
      <c r="B576">
        <v>1</v>
      </c>
    </row>
    <row r="577" spans="1:2" x14ac:dyDescent="0.25">
      <c r="A577" s="13" t="s">
        <v>1569</v>
      </c>
      <c r="B577">
        <v>1</v>
      </c>
    </row>
    <row r="578" spans="1:2" x14ac:dyDescent="0.25">
      <c r="A578" s="13" t="s">
        <v>1585</v>
      </c>
      <c r="B578">
        <v>1</v>
      </c>
    </row>
    <row r="579" spans="1:2" x14ac:dyDescent="0.25">
      <c r="A579" s="13" t="s">
        <v>1580</v>
      </c>
      <c r="B579">
        <v>1</v>
      </c>
    </row>
    <row r="580" spans="1:2" x14ac:dyDescent="0.25">
      <c r="A580" s="11" t="s">
        <v>77</v>
      </c>
    </row>
    <row r="581" spans="1:2" x14ac:dyDescent="0.25">
      <c r="A581" s="12" t="s">
        <v>16</v>
      </c>
    </row>
    <row r="582" spans="1:2" x14ac:dyDescent="0.25">
      <c r="A582" s="13" t="s">
        <v>1574</v>
      </c>
      <c r="B582">
        <v>1</v>
      </c>
    </row>
    <row r="583" spans="1:2" x14ac:dyDescent="0.25">
      <c r="A583" s="13" t="s">
        <v>1588</v>
      </c>
      <c r="B583">
        <v>2</v>
      </c>
    </row>
    <row r="584" spans="1:2" x14ac:dyDescent="0.25">
      <c r="A584" s="13" t="s">
        <v>1579</v>
      </c>
      <c r="B584">
        <v>1</v>
      </c>
    </row>
    <row r="585" spans="1:2" x14ac:dyDescent="0.25">
      <c r="A585" s="13" t="s">
        <v>1603</v>
      </c>
      <c r="B585">
        <v>1</v>
      </c>
    </row>
    <row r="586" spans="1:2" x14ac:dyDescent="0.25">
      <c r="A586" s="13" t="s">
        <v>1581</v>
      </c>
      <c r="B586">
        <v>1</v>
      </c>
    </row>
    <row r="587" spans="1:2" x14ac:dyDescent="0.25">
      <c r="A587" s="12" t="s">
        <v>10</v>
      </c>
    </row>
    <row r="588" spans="1:2" x14ac:dyDescent="0.25">
      <c r="A588" s="13" t="s">
        <v>1591</v>
      </c>
      <c r="B588">
        <v>1</v>
      </c>
    </row>
    <row r="589" spans="1:2" x14ac:dyDescent="0.25">
      <c r="A589" s="13" t="s">
        <v>1580</v>
      </c>
      <c r="B589">
        <v>1</v>
      </c>
    </row>
    <row r="590" spans="1:2" x14ac:dyDescent="0.25">
      <c r="A590" s="13" t="s">
        <v>1572</v>
      </c>
      <c r="B590">
        <v>1</v>
      </c>
    </row>
    <row r="591" spans="1:2" x14ac:dyDescent="0.25">
      <c r="A591" s="11" t="s">
        <v>45</v>
      </c>
    </row>
    <row r="592" spans="1:2" x14ac:dyDescent="0.25">
      <c r="A592" s="12" t="s">
        <v>16</v>
      </c>
    </row>
    <row r="593" spans="1:2" x14ac:dyDescent="0.25">
      <c r="A593" s="13" t="s">
        <v>1592</v>
      </c>
      <c r="B593">
        <v>1</v>
      </c>
    </row>
    <row r="594" spans="1:2" x14ac:dyDescent="0.25">
      <c r="A594" s="13" t="s">
        <v>1564</v>
      </c>
      <c r="B594">
        <v>1</v>
      </c>
    </row>
    <row r="595" spans="1:2" x14ac:dyDescent="0.25">
      <c r="A595" s="13" t="s">
        <v>1565</v>
      </c>
      <c r="B595">
        <v>1</v>
      </c>
    </row>
    <row r="596" spans="1:2" x14ac:dyDescent="0.25">
      <c r="A596" s="13" t="s">
        <v>1566</v>
      </c>
      <c r="B596">
        <v>1</v>
      </c>
    </row>
    <row r="597" spans="1:2" x14ac:dyDescent="0.25">
      <c r="A597" s="13" t="s">
        <v>1595</v>
      </c>
      <c r="B597">
        <v>1</v>
      </c>
    </row>
    <row r="598" spans="1:2" x14ac:dyDescent="0.25">
      <c r="A598" s="13" t="s">
        <v>1570</v>
      </c>
      <c r="B598">
        <v>1</v>
      </c>
    </row>
    <row r="599" spans="1:2" x14ac:dyDescent="0.25">
      <c r="A599" s="12" t="s">
        <v>10</v>
      </c>
    </row>
    <row r="600" spans="1:2" x14ac:dyDescent="0.25">
      <c r="A600" s="13" t="s">
        <v>1593</v>
      </c>
      <c r="B600">
        <v>1</v>
      </c>
    </row>
    <row r="601" spans="1:2" x14ac:dyDescent="0.25">
      <c r="A601" s="13" t="s">
        <v>1567</v>
      </c>
      <c r="B601">
        <v>2</v>
      </c>
    </row>
    <row r="602" spans="1:2" x14ac:dyDescent="0.25">
      <c r="A602" s="13" t="s">
        <v>1590</v>
      </c>
      <c r="B602">
        <v>1</v>
      </c>
    </row>
    <row r="603" spans="1:2" x14ac:dyDescent="0.25">
      <c r="A603" s="11" t="s">
        <v>328</v>
      </c>
    </row>
    <row r="604" spans="1:2" x14ac:dyDescent="0.25">
      <c r="A604" s="12" t="s">
        <v>16</v>
      </c>
    </row>
    <row r="605" spans="1:2" x14ac:dyDescent="0.25">
      <c r="A605" s="13" t="s">
        <v>1592</v>
      </c>
      <c r="B605">
        <v>1</v>
      </c>
    </row>
    <row r="606" spans="1:2" x14ac:dyDescent="0.25">
      <c r="A606" s="13" t="s">
        <v>1605</v>
      </c>
      <c r="B606">
        <v>1</v>
      </c>
    </row>
    <row r="607" spans="1:2" x14ac:dyDescent="0.25">
      <c r="A607" s="13" t="s">
        <v>1585</v>
      </c>
      <c r="B607">
        <v>1</v>
      </c>
    </row>
    <row r="608" spans="1:2" x14ac:dyDescent="0.25">
      <c r="A608" s="12" t="s">
        <v>10</v>
      </c>
    </row>
    <row r="609" spans="1:2" x14ac:dyDescent="0.25">
      <c r="A609" s="13" t="s">
        <v>1578</v>
      </c>
      <c r="B609">
        <v>1</v>
      </c>
    </row>
    <row r="610" spans="1:2" x14ac:dyDescent="0.25">
      <c r="A610" s="13" t="s">
        <v>1608</v>
      </c>
      <c r="B610">
        <v>1</v>
      </c>
    </row>
    <row r="611" spans="1:2" x14ac:dyDescent="0.25">
      <c r="A611" s="13" t="s">
        <v>1601</v>
      </c>
      <c r="B611">
        <v>1</v>
      </c>
    </row>
    <row r="612" spans="1:2" x14ac:dyDescent="0.25">
      <c r="A612" s="13" t="s">
        <v>1568</v>
      </c>
      <c r="B612">
        <v>1</v>
      </c>
    </row>
    <row r="613" spans="1:2" x14ac:dyDescent="0.25">
      <c r="A613" s="13" t="s">
        <v>1603</v>
      </c>
      <c r="B613">
        <v>1</v>
      </c>
    </row>
    <row r="614" spans="1:2" x14ac:dyDescent="0.25">
      <c r="A614" s="13" t="s">
        <v>1571</v>
      </c>
      <c r="B614">
        <v>1</v>
      </c>
    </row>
    <row r="615" spans="1:2" x14ac:dyDescent="0.25">
      <c r="A615" s="11" t="s">
        <v>856</v>
      </c>
    </row>
    <row r="616" spans="1:2" x14ac:dyDescent="0.25">
      <c r="A616" s="12" t="s">
        <v>16</v>
      </c>
    </row>
    <row r="617" spans="1:2" x14ac:dyDescent="0.25">
      <c r="A617" s="13" t="s">
        <v>1580</v>
      </c>
      <c r="B617">
        <v>1</v>
      </c>
    </row>
    <row r="618" spans="1:2" x14ac:dyDescent="0.25">
      <c r="A618" s="13" t="s">
        <v>1572</v>
      </c>
      <c r="B618">
        <v>1</v>
      </c>
    </row>
    <row r="619" spans="1:2" x14ac:dyDescent="0.25">
      <c r="A619" s="12" t="s">
        <v>10</v>
      </c>
    </row>
    <row r="620" spans="1:2" x14ac:dyDescent="0.25">
      <c r="A620" s="13" t="s">
        <v>1598</v>
      </c>
      <c r="B620">
        <v>1</v>
      </c>
    </row>
    <row r="621" spans="1:2" x14ac:dyDescent="0.25">
      <c r="A621" s="13" t="s">
        <v>1607</v>
      </c>
      <c r="B621">
        <v>1</v>
      </c>
    </row>
    <row r="622" spans="1:2" x14ac:dyDescent="0.25">
      <c r="A622" s="13" t="s">
        <v>1580</v>
      </c>
      <c r="B622">
        <v>1</v>
      </c>
    </row>
    <row r="623" spans="1:2" x14ac:dyDescent="0.25">
      <c r="A623" s="13" t="s">
        <v>1609</v>
      </c>
      <c r="B62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5ACD-497A-4111-8778-937E191B291D}">
  <dimension ref="B2:L502"/>
  <sheetViews>
    <sheetView topLeftCell="B1" workbookViewId="0">
      <selection activeCell="B2" sqref="B2:I502"/>
    </sheetView>
  </sheetViews>
  <sheetFormatPr defaultRowHeight="15" x14ac:dyDescent="0.25"/>
  <cols>
    <col min="2" max="2" width="12.42578125" bestFit="1" customWidth="1"/>
    <col min="3" max="3" width="22" bestFit="1" customWidth="1"/>
    <col min="4" max="4" width="4.42578125" bestFit="1" customWidth="1"/>
    <col min="5" max="5" width="7.5703125" bestFit="1" customWidth="1"/>
    <col min="6" max="6" width="22.42578125" bestFit="1" customWidth="1"/>
    <col min="7" max="7" width="15.28515625" bestFit="1" customWidth="1"/>
    <col min="8" max="8" width="23.28515625" bestFit="1" customWidth="1"/>
    <col min="9" max="9" width="13.140625" bestFit="1" customWidth="1"/>
    <col min="11" max="11" width="18.140625" bestFit="1" customWidth="1"/>
  </cols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K2" s="20" t="s">
        <v>2</v>
      </c>
      <c r="L2" s="20"/>
    </row>
    <row r="3" spans="2:12" x14ac:dyDescent="0.25">
      <c r="B3" t="s">
        <v>8</v>
      </c>
      <c r="C3" t="s">
        <v>9</v>
      </c>
      <c r="D3">
        <v>55</v>
      </c>
      <c r="E3" t="s">
        <v>10</v>
      </c>
      <c r="F3" t="s">
        <v>11</v>
      </c>
      <c r="G3" t="s">
        <v>12</v>
      </c>
      <c r="H3" t="s">
        <v>13</v>
      </c>
      <c r="K3" s="21"/>
      <c r="L3" s="21"/>
    </row>
    <row r="4" spans="2:12" x14ac:dyDescent="0.25">
      <c r="B4" t="s">
        <v>14</v>
      </c>
      <c r="C4" t="s">
        <v>15</v>
      </c>
      <c r="D4">
        <v>26</v>
      </c>
      <c r="E4" t="s">
        <v>16</v>
      </c>
      <c r="F4" t="s">
        <v>17</v>
      </c>
      <c r="G4" t="s">
        <v>18</v>
      </c>
      <c r="H4" t="s">
        <v>13</v>
      </c>
      <c r="I4" t="s">
        <v>19</v>
      </c>
      <c r="K4" s="21" t="s">
        <v>1611</v>
      </c>
      <c r="L4" s="21">
        <v>41.561999999999998</v>
      </c>
    </row>
    <row r="5" spans="2:12" x14ac:dyDescent="0.25">
      <c r="B5" t="s">
        <v>20</v>
      </c>
      <c r="C5" t="s">
        <v>21</v>
      </c>
      <c r="D5">
        <v>29</v>
      </c>
      <c r="E5" t="s">
        <v>16</v>
      </c>
      <c r="F5" t="s">
        <v>22</v>
      </c>
      <c r="G5" t="s">
        <v>23</v>
      </c>
      <c r="H5" t="s">
        <v>13</v>
      </c>
      <c r="I5" t="s">
        <v>19</v>
      </c>
      <c r="K5" s="21" t="s">
        <v>1612</v>
      </c>
      <c r="L5" s="21">
        <v>0.61138522699815301</v>
      </c>
    </row>
    <row r="6" spans="2:12" x14ac:dyDescent="0.25">
      <c r="B6" t="s">
        <v>24</v>
      </c>
      <c r="C6" t="s">
        <v>25</v>
      </c>
      <c r="D6">
        <v>59</v>
      </c>
      <c r="E6" t="s">
        <v>16</v>
      </c>
      <c r="F6" t="s">
        <v>26</v>
      </c>
      <c r="G6" t="s">
        <v>27</v>
      </c>
      <c r="H6" t="s">
        <v>13</v>
      </c>
      <c r="I6" t="s">
        <v>28</v>
      </c>
      <c r="K6" s="21" t="s">
        <v>1613</v>
      </c>
      <c r="L6" s="21">
        <v>42</v>
      </c>
    </row>
    <row r="7" spans="2:12" x14ac:dyDescent="0.25">
      <c r="B7" t="s">
        <v>29</v>
      </c>
      <c r="C7" t="s">
        <v>30</v>
      </c>
      <c r="D7">
        <v>64</v>
      </c>
      <c r="E7" t="s">
        <v>16</v>
      </c>
      <c r="F7" t="s">
        <v>31</v>
      </c>
      <c r="G7" t="s">
        <v>32</v>
      </c>
      <c r="H7" t="s">
        <v>13</v>
      </c>
      <c r="I7" t="s">
        <v>33</v>
      </c>
      <c r="K7" s="21" t="s">
        <v>1614</v>
      </c>
      <c r="L7" s="21">
        <v>46</v>
      </c>
    </row>
    <row r="8" spans="2:12" x14ac:dyDescent="0.25">
      <c r="B8" t="s">
        <v>34</v>
      </c>
      <c r="C8" t="s">
        <v>35</v>
      </c>
      <c r="D8">
        <v>24</v>
      </c>
      <c r="E8" t="s">
        <v>10</v>
      </c>
      <c r="F8" t="s">
        <v>36</v>
      </c>
      <c r="G8" t="s">
        <v>37</v>
      </c>
      <c r="H8" t="s">
        <v>13</v>
      </c>
      <c r="I8" t="s">
        <v>28</v>
      </c>
      <c r="K8" s="21" t="s">
        <v>1615</v>
      </c>
      <c r="L8" s="21">
        <v>13.670989280070099</v>
      </c>
    </row>
    <row r="9" spans="2:12" x14ac:dyDescent="0.25">
      <c r="B9" t="s">
        <v>38</v>
      </c>
      <c r="C9" t="s">
        <v>39</v>
      </c>
      <c r="D9">
        <v>29</v>
      </c>
      <c r="E9" t="s">
        <v>16</v>
      </c>
      <c r="F9" t="s">
        <v>40</v>
      </c>
      <c r="G9" t="s">
        <v>41</v>
      </c>
      <c r="H9" t="s">
        <v>13</v>
      </c>
      <c r="I9" t="s">
        <v>19</v>
      </c>
      <c r="K9" s="21" t="s">
        <v>1616</v>
      </c>
      <c r="L9" s="21">
        <v>186.89594789579155</v>
      </c>
    </row>
    <row r="10" spans="2:12" x14ac:dyDescent="0.25">
      <c r="B10" t="s">
        <v>42</v>
      </c>
      <c r="C10" t="s">
        <v>43</v>
      </c>
      <c r="D10">
        <v>29</v>
      </c>
      <c r="E10" t="s">
        <v>16</v>
      </c>
      <c r="F10" t="s">
        <v>44</v>
      </c>
      <c r="G10" t="s">
        <v>45</v>
      </c>
      <c r="H10" t="s">
        <v>13</v>
      </c>
      <c r="I10" t="s">
        <v>28</v>
      </c>
      <c r="K10" s="21" t="s">
        <v>1617</v>
      </c>
      <c r="L10" s="21">
        <v>-1.2193919892240326</v>
      </c>
    </row>
    <row r="11" spans="2:12" x14ac:dyDescent="0.25">
      <c r="B11" t="s">
        <v>46</v>
      </c>
      <c r="C11" t="s">
        <v>47</v>
      </c>
      <c r="D11">
        <v>53</v>
      </c>
      <c r="E11" t="s">
        <v>16</v>
      </c>
      <c r="F11" t="s">
        <v>48</v>
      </c>
      <c r="G11" t="s">
        <v>49</v>
      </c>
      <c r="H11" t="s">
        <v>13</v>
      </c>
      <c r="I11" t="s">
        <v>50</v>
      </c>
      <c r="K11" s="21" t="s">
        <v>1618</v>
      </c>
      <c r="L11" s="21">
        <v>-3.6548529921374591E-2</v>
      </c>
    </row>
    <row r="12" spans="2:12" x14ac:dyDescent="0.25">
      <c r="B12" t="s">
        <v>51</v>
      </c>
      <c r="C12" t="s">
        <v>52</v>
      </c>
      <c r="D12">
        <v>64</v>
      </c>
      <c r="E12" t="s">
        <v>10</v>
      </c>
      <c r="F12" t="s">
        <v>53</v>
      </c>
      <c r="G12" t="s">
        <v>54</v>
      </c>
      <c r="H12" t="s">
        <v>13</v>
      </c>
      <c r="I12" t="s">
        <v>19</v>
      </c>
      <c r="K12" s="21" t="s">
        <v>1619</v>
      </c>
      <c r="L12" s="21">
        <v>46</v>
      </c>
    </row>
    <row r="13" spans="2:12" x14ac:dyDescent="0.25">
      <c r="B13" t="s">
        <v>55</v>
      </c>
      <c r="C13" t="s">
        <v>56</v>
      </c>
      <c r="D13">
        <v>53</v>
      </c>
      <c r="E13" t="s">
        <v>10</v>
      </c>
      <c r="F13" t="s">
        <v>57</v>
      </c>
      <c r="G13" t="s">
        <v>54</v>
      </c>
      <c r="H13" t="s">
        <v>13</v>
      </c>
      <c r="I13" t="s">
        <v>28</v>
      </c>
      <c r="K13" s="21" t="s">
        <v>1620</v>
      </c>
      <c r="L13" s="21">
        <v>18</v>
      </c>
    </row>
    <row r="14" spans="2:12" x14ac:dyDescent="0.25">
      <c r="B14" t="s">
        <v>58</v>
      </c>
      <c r="C14" t="s">
        <v>59</v>
      </c>
      <c r="D14">
        <v>28</v>
      </c>
      <c r="E14" t="s">
        <v>16</v>
      </c>
      <c r="F14" t="s">
        <v>60</v>
      </c>
      <c r="G14" t="s">
        <v>61</v>
      </c>
      <c r="H14" t="s">
        <v>13</v>
      </c>
      <c r="I14" t="s">
        <v>50</v>
      </c>
      <c r="K14" s="21" t="s">
        <v>1621</v>
      </c>
      <c r="L14" s="21">
        <v>64</v>
      </c>
    </row>
    <row r="15" spans="2:12" x14ac:dyDescent="0.25">
      <c r="B15" t="s">
        <v>62</v>
      </c>
      <c r="C15" t="s">
        <v>63</v>
      </c>
      <c r="D15">
        <v>55</v>
      </c>
      <c r="E15" t="s">
        <v>16</v>
      </c>
      <c r="F15" t="s">
        <v>64</v>
      </c>
      <c r="G15" t="s">
        <v>65</v>
      </c>
      <c r="H15" t="s">
        <v>13</v>
      </c>
      <c r="I15" t="s">
        <v>19</v>
      </c>
      <c r="K15" s="21" t="s">
        <v>1559</v>
      </c>
      <c r="L15" s="21">
        <v>20781</v>
      </c>
    </row>
    <row r="16" spans="2:12" x14ac:dyDescent="0.25">
      <c r="B16" t="s">
        <v>66</v>
      </c>
      <c r="C16" t="s">
        <v>67</v>
      </c>
      <c r="D16">
        <v>32</v>
      </c>
      <c r="E16" t="s">
        <v>16</v>
      </c>
      <c r="F16" t="s">
        <v>68</v>
      </c>
      <c r="G16" t="s">
        <v>69</v>
      </c>
      <c r="H16" t="s">
        <v>13</v>
      </c>
      <c r="I16" t="s">
        <v>33</v>
      </c>
      <c r="K16" s="21" t="s">
        <v>1622</v>
      </c>
      <c r="L16" s="21">
        <v>500</v>
      </c>
    </row>
    <row r="17" spans="2:9" x14ac:dyDescent="0.25">
      <c r="B17" t="s">
        <v>70</v>
      </c>
      <c r="C17" t="s">
        <v>71</v>
      </c>
      <c r="D17">
        <v>53</v>
      </c>
      <c r="E17" t="s">
        <v>16</v>
      </c>
      <c r="F17" t="s">
        <v>72</v>
      </c>
      <c r="G17" t="s">
        <v>73</v>
      </c>
      <c r="H17" t="s">
        <v>13</v>
      </c>
      <c r="I17" t="s">
        <v>33</v>
      </c>
    </row>
    <row r="18" spans="2:9" x14ac:dyDescent="0.25">
      <c r="B18" t="s">
        <v>74</v>
      </c>
      <c r="C18" t="s">
        <v>75</v>
      </c>
      <c r="D18">
        <v>49</v>
      </c>
      <c r="E18" t="s">
        <v>16</v>
      </c>
      <c r="F18" t="s">
        <v>76</v>
      </c>
      <c r="G18" t="s">
        <v>77</v>
      </c>
      <c r="H18" t="s">
        <v>13</v>
      </c>
      <c r="I18" t="s">
        <v>19</v>
      </c>
    </row>
    <row r="19" spans="2:9" x14ac:dyDescent="0.25">
      <c r="B19" t="s">
        <v>78</v>
      </c>
      <c r="C19" t="s">
        <v>79</v>
      </c>
      <c r="D19">
        <v>24</v>
      </c>
      <c r="E19" t="s">
        <v>16</v>
      </c>
      <c r="F19" t="s">
        <v>80</v>
      </c>
      <c r="G19" t="s">
        <v>54</v>
      </c>
      <c r="H19" t="s">
        <v>13</v>
      </c>
      <c r="I19" t="s">
        <v>28</v>
      </c>
    </row>
    <row r="20" spans="2:9" x14ac:dyDescent="0.25">
      <c r="B20" t="s">
        <v>81</v>
      </c>
      <c r="C20" t="s">
        <v>82</v>
      </c>
      <c r="D20">
        <v>60</v>
      </c>
      <c r="E20" t="s">
        <v>16</v>
      </c>
      <c r="F20" t="s">
        <v>83</v>
      </c>
      <c r="G20" t="s">
        <v>84</v>
      </c>
      <c r="H20" t="s">
        <v>13</v>
      </c>
      <c r="I20" t="s">
        <v>19</v>
      </c>
    </row>
    <row r="21" spans="2:9" x14ac:dyDescent="0.25">
      <c r="B21" t="s">
        <v>85</v>
      </c>
      <c r="C21" t="s">
        <v>86</v>
      </c>
      <c r="D21">
        <v>43</v>
      </c>
      <c r="E21" t="s">
        <v>10</v>
      </c>
      <c r="F21" t="s">
        <v>87</v>
      </c>
      <c r="G21" t="s">
        <v>65</v>
      </c>
      <c r="H21" t="s">
        <v>13</v>
      </c>
    </row>
    <row r="22" spans="2:9" x14ac:dyDescent="0.25">
      <c r="B22" t="s">
        <v>88</v>
      </c>
      <c r="C22" t="s">
        <v>89</v>
      </c>
      <c r="D22">
        <v>46</v>
      </c>
      <c r="E22" t="s">
        <v>16</v>
      </c>
      <c r="F22" t="s">
        <v>90</v>
      </c>
      <c r="G22" t="s">
        <v>91</v>
      </c>
      <c r="H22" t="s">
        <v>13</v>
      </c>
      <c r="I22" t="s">
        <v>19</v>
      </c>
    </row>
    <row r="23" spans="2:9" x14ac:dyDescent="0.25">
      <c r="B23" t="s">
        <v>92</v>
      </c>
      <c r="C23" t="s">
        <v>93</v>
      </c>
      <c r="D23">
        <v>59</v>
      </c>
      <c r="E23" t="s">
        <v>10</v>
      </c>
      <c r="F23" t="s">
        <v>94</v>
      </c>
      <c r="G23" t="s">
        <v>95</v>
      </c>
      <c r="H23" t="s">
        <v>13</v>
      </c>
      <c r="I23" t="s">
        <v>33</v>
      </c>
    </row>
    <row r="24" spans="2:9" x14ac:dyDescent="0.25">
      <c r="B24" t="s">
        <v>96</v>
      </c>
      <c r="C24" t="s">
        <v>97</v>
      </c>
      <c r="D24">
        <v>36</v>
      </c>
      <c r="E24" t="s">
        <v>16</v>
      </c>
      <c r="F24" t="s">
        <v>98</v>
      </c>
      <c r="G24" t="s">
        <v>99</v>
      </c>
      <c r="H24" t="s">
        <v>13</v>
      </c>
      <c r="I24" t="s">
        <v>50</v>
      </c>
    </row>
    <row r="25" spans="2:9" x14ac:dyDescent="0.25">
      <c r="B25" t="s">
        <v>100</v>
      </c>
      <c r="C25" t="s">
        <v>101</v>
      </c>
      <c r="D25">
        <v>33</v>
      </c>
      <c r="E25" t="s">
        <v>16</v>
      </c>
      <c r="F25" t="s">
        <v>102</v>
      </c>
      <c r="G25" t="s">
        <v>103</v>
      </c>
      <c r="H25" t="s">
        <v>13</v>
      </c>
      <c r="I25" t="s">
        <v>33</v>
      </c>
    </row>
    <row r="26" spans="2:9" x14ac:dyDescent="0.25">
      <c r="B26" t="s">
        <v>104</v>
      </c>
      <c r="C26" t="s">
        <v>105</v>
      </c>
      <c r="D26">
        <v>52</v>
      </c>
      <c r="E26" t="s">
        <v>16</v>
      </c>
      <c r="F26" t="s">
        <v>106</v>
      </c>
      <c r="G26" t="s">
        <v>37</v>
      </c>
      <c r="H26" t="s">
        <v>13</v>
      </c>
      <c r="I26" t="s">
        <v>33</v>
      </c>
    </row>
    <row r="27" spans="2:9" x14ac:dyDescent="0.25">
      <c r="B27" t="s">
        <v>107</v>
      </c>
      <c r="C27" t="s">
        <v>108</v>
      </c>
      <c r="D27">
        <v>40</v>
      </c>
      <c r="E27" t="s">
        <v>10</v>
      </c>
      <c r="F27" t="s">
        <v>109</v>
      </c>
      <c r="G27" t="s">
        <v>110</v>
      </c>
      <c r="H27" t="s">
        <v>13</v>
      </c>
      <c r="I27" t="s">
        <v>19</v>
      </c>
    </row>
    <row r="28" spans="2:9" x14ac:dyDescent="0.25">
      <c r="B28" t="s">
        <v>111</v>
      </c>
      <c r="C28" t="s">
        <v>112</v>
      </c>
      <c r="D28">
        <v>59</v>
      </c>
      <c r="E28" t="s">
        <v>16</v>
      </c>
      <c r="F28" t="s">
        <v>113</v>
      </c>
      <c r="G28" t="s">
        <v>32</v>
      </c>
      <c r="H28" t="s">
        <v>13</v>
      </c>
      <c r="I28" t="s">
        <v>28</v>
      </c>
    </row>
    <row r="29" spans="2:9" x14ac:dyDescent="0.25">
      <c r="B29" t="s">
        <v>114</v>
      </c>
      <c r="C29" t="s">
        <v>115</v>
      </c>
      <c r="D29">
        <v>18</v>
      </c>
      <c r="E29" t="s">
        <v>16</v>
      </c>
      <c r="F29" t="s">
        <v>116</v>
      </c>
      <c r="G29" t="s">
        <v>117</v>
      </c>
      <c r="H29" t="s">
        <v>13</v>
      </c>
      <c r="I29" t="s">
        <v>50</v>
      </c>
    </row>
    <row r="30" spans="2:9" x14ac:dyDescent="0.25">
      <c r="B30" t="s">
        <v>118</v>
      </c>
      <c r="C30" t="s">
        <v>119</v>
      </c>
      <c r="D30">
        <v>31</v>
      </c>
      <c r="E30" t="s">
        <v>10</v>
      </c>
      <c r="F30" t="s">
        <v>120</v>
      </c>
      <c r="G30" t="s">
        <v>121</v>
      </c>
      <c r="H30" t="s">
        <v>13</v>
      </c>
    </row>
    <row r="31" spans="2:9" x14ac:dyDescent="0.25">
      <c r="B31" t="s">
        <v>122</v>
      </c>
      <c r="C31" t="s">
        <v>123</v>
      </c>
      <c r="D31">
        <v>27</v>
      </c>
      <c r="E31" t="s">
        <v>16</v>
      </c>
      <c r="F31" t="s">
        <v>124</v>
      </c>
      <c r="G31" t="s">
        <v>91</v>
      </c>
      <c r="H31" t="s">
        <v>13</v>
      </c>
      <c r="I31" t="s">
        <v>19</v>
      </c>
    </row>
    <row r="32" spans="2:9" x14ac:dyDescent="0.25">
      <c r="B32" t="s">
        <v>125</v>
      </c>
      <c r="C32" t="s">
        <v>126</v>
      </c>
      <c r="D32">
        <v>54</v>
      </c>
      <c r="E32" t="s">
        <v>16</v>
      </c>
      <c r="F32" t="s">
        <v>127</v>
      </c>
      <c r="G32" t="s">
        <v>32</v>
      </c>
      <c r="H32" t="s">
        <v>13</v>
      </c>
      <c r="I32" t="s">
        <v>33</v>
      </c>
    </row>
    <row r="33" spans="2:9" x14ac:dyDescent="0.25">
      <c r="B33" t="s">
        <v>128</v>
      </c>
      <c r="C33" t="s">
        <v>129</v>
      </c>
      <c r="D33">
        <v>64</v>
      </c>
      <c r="E33" t="s">
        <v>16</v>
      </c>
      <c r="F33" t="s">
        <v>130</v>
      </c>
      <c r="G33" t="s">
        <v>54</v>
      </c>
      <c r="H33" t="s">
        <v>13</v>
      </c>
      <c r="I33" t="s">
        <v>28</v>
      </c>
    </row>
    <row r="34" spans="2:9" x14ac:dyDescent="0.25">
      <c r="B34" t="s">
        <v>131</v>
      </c>
      <c r="C34" t="s">
        <v>132</v>
      </c>
      <c r="D34">
        <v>41</v>
      </c>
      <c r="E34" t="s">
        <v>10</v>
      </c>
      <c r="F34" t="s">
        <v>133</v>
      </c>
      <c r="G34" t="s">
        <v>37</v>
      </c>
      <c r="H34" t="s">
        <v>13</v>
      </c>
      <c r="I34" t="s">
        <v>33</v>
      </c>
    </row>
    <row r="35" spans="2:9" x14ac:dyDescent="0.25">
      <c r="B35" t="s">
        <v>134</v>
      </c>
      <c r="C35" t="s">
        <v>135</v>
      </c>
      <c r="D35">
        <v>48</v>
      </c>
      <c r="E35" t="s">
        <v>16</v>
      </c>
      <c r="F35" t="s">
        <v>136</v>
      </c>
      <c r="G35" t="s">
        <v>137</v>
      </c>
      <c r="H35" t="s">
        <v>13</v>
      </c>
      <c r="I35" t="s">
        <v>50</v>
      </c>
    </row>
    <row r="36" spans="2:9" x14ac:dyDescent="0.25">
      <c r="B36" t="s">
        <v>138</v>
      </c>
      <c r="C36" t="s">
        <v>139</v>
      </c>
      <c r="D36">
        <v>25</v>
      </c>
      <c r="E36" t="s">
        <v>10</v>
      </c>
      <c r="F36" t="s">
        <v>140</v>
      </c>
      <c r="G36" t="s">
        <v>99</v>
      </c>
      <c r="H36" t="s">
        <v>13</v>
      </c>
      <c r="I36" t="s">
        <v>19</v>
      </c>
    </row>
    <row r="37" spans="2:9" x14ac:dyDescent="0.25">
      <c r="B37" t="s">
        <v>141</v>
      </c>
      <c r="C37" t="s">
        <v>142</v>
      </c>
      <c r="D37">
        <v>27</v>
      </c>
      <c r="E37" t="s">
        <v>16</v>
      </c>
      <c r="F37" t="s">
        <v>143</v>
      </c>
      <c r="G37" t="s">
        <v>144</v>
      </c>
      <c r="H37" t="s">
        <v>13</v>
      </c>
      <c r="I37" t="s">
        <v>19</v>
      </c>
    </row>
    <row r="38" spans="2:9" x14ac:dyDescent="0.25">
      <c r="B38" t="s">
        <v>145</v>
      </c>
      <c r="C38" t="s">
        <v>146</v>
      </c>
      <c r="D38">
        <v>52</v>
      </c>
      <c r="E38" t="s">
        <v>10</v>
      </c>
      <c r="F38" t="s">
        <v>147</v>
      </c>
      <c r="G38" t="s">
        <v>18</v>
      </c>
      <c r="H38" t="s">
        <v>13</v>
      </c>
      <c r="I38" t="s">
        <v>33</v>
      </c>
    </row>
    <row r="39" spans="2:9" x14ac:dyDescent="0.25">
      <c r="B39" t="s">
        <v>148</v>
      </c>
      <c r="C39" t="s">
        <v>149</v>
      </c>
      <c r="D39">
        <v>20</v>
      </c>
      <c r="E39" t="s">
        <v>16</v>
      </c>
      <c r="F39" t="s">
        <v>150</v>
      </c>
      <c r="G39" t="s">
        <v>84</v>
      </c>
      <c r="H39" t="s">
        <v>13</v>
      </c>
      <c r="I39" t="s">
        <v>50</v>
      </c>
    </row>
    <row r="40" spans="2:9" x14ac:dyDescent="0.25">
      <c r="B40" t="s">
        <v>151</v>
      </c>
      <c r="C40" t="s">
        <v>152</v>
      </c>
      <c r="D40">
        <v>27</v>
      </c>
      <c r="E40" t="s">
        <v>16</v>
      </c>
      <c r="F40" t="s">
        <v>153</v>
      </c>
      <c r="G40" t="s">
        <v>41</v>
      </c>
      <c r="H40" t="s">
        <v>13</v>
      </c>
    </row>
    <row r="41" spans="2:9" x14ac:dyDescent="0.25">
      <c r="B41" t="s">
        <v>154</v>
      </c>
      <c r="C41" t="s">
        <v>155</v>
      </c>
      <c r="D41">
        <v>35</v>
      </c>
      <c r="E41" t="s">
        <v>16</v>
      </c>
      <c r="F41" t="s">
        <v>156</v>
      </c>
      <c r="G41" t="s">
        <v>18</v>
      </c>
      <c r="H41" t="s">
        <v>13</v>
      </c>
      <c r="I41" t="s">
        <v>28</v>
      </c>
    </row>
    <row r="42" spans="2:9" x14ac:dyDescent="0.25">
      <c r="B42" t="s">
        <v>157</v>
      </c>
      <c r="C42" t="s">
        <v>158</v>
      </c>
      <c r="D42">
        <v>55</v>
      </c>
      <c r="E42" t="s">
        <v>16</v>
      </c>
      <c r="F42" t="s">
        <v>159</v>
      </c>
      <c r="G42" t="s">
        <v>160</v>
      </c>
      <c r="H42" t="s">
        <v>13</v>
      </c>
      <c r="I42" t="s">
        <v>50</v>
      </c>
    </row>
    <row r="43" spans="2:9" x14ac:dyDescent="0.25">
      <c r="B43" t="s">
        <v>161</v>
      </c>
      <c r="C43" t="s">
        <v>162</v>
      </c>
      <c r="D43">
        <v>50</v>
      </c>
      <c r="E43" t="s">
        <v>10</v>
      </c>
      <c r="F43" t="s">
        <v>163</v>
      </c>
      <c r="G43" t="s">
        <v>65</v>
      </c>
      <c r="H43" t="s">
        <v>13</v>
      </c>
      <c r="I43" t="s">
        <v>50</v>
      </c>
    </row>
    <row r="44" spans="2:9" x14ac:dyDescent="0.25">
      <c r="B44" t="s">
        <v>164</v>
      </c>
      <c r="C44" t="s">
        <v>165</v>
      </c>
      <c r="D44">
        <v>21</v>
      </c>
      <c r="E44" t="s">
        <v>10</v>
      </c>
      <c r="F44" t="s">
        <v>166</v>
      </c>
      <c r="G44" t="s">
        <v>167</v>
      </c>
      <c r="H44" t="s">
        <v>13</v>
      </c>
      <c r="I44" t="s">
        <v>19</v>
      </c>
    </row>
    <row r="45" spans="2:9" x14ac:dyDescent="0.25">
      <c r="B45" t="s">
        <v>168</v>
      </c>
      <c r="C45" t="s">
        <v>169</v>
      </c>
      <c r="D45">
        <v>19</v>
      </c>
      <c r="E45" t="s">
        <v>10</v>
      </c>
      <c r="F45" t="s">
        <v>170</v>
      </c>
      <c r="G45" t="s">
        <v>171</v>
      </c>
      <c r="H45" t="s">
        <v>13</v>
      </c>
      <c r="I45" t="s">
        <v>19</v>
      </c>
    </row>
    <row r="46" spans="2:9" x14ac:dyDescent="0.25">
      <c r="B46" t="s">
        <v>172</v>
      </c>
      <c r="C46" t="s">
        <v>173</v>
      </c>
      <c r="D46">
        <v>45</v>
      </c>
      <c r="E46" t="s">
        <v>10</v>
      </c>
      <c r="F46" t="s">
        <v>174</v>
      </c>
      <c r="G46" t="s">
        <v>175</v>
      </c>
      <c r="H46" t="s">
        <v>13</v>
      </c>
      <c r="I46" t="s">
        <v>50</v>
      </c>
    </row>
    <row r="47" spans="2:9" x14ac:dyDescent="0.25">
      <c r="B47" t="s">
        <v>176</v>
      </c>
      <c r="C47" t="s">
        <v>177</v>
      </c>
      <c r="D47">
        <v>34</v>
      </c>
      <c r="E47" t="s">
        <v>10</v>
      </c>
      <c r="F47" t="s">
        <v>178</v>
      </c>
      <c r="G47" t="s">
        <v>103</v>
      </c>
      <c r="H47" t="s">
        <v>13</v>
      </c>
      <c r="I47" t="s">
        <v>28</v>
      </c>
    </row>
    <row r="48" spans="2:9" x14ac:dyDescent="0.25">
      <c r="B48" t="s">
        <v>179</v>
      </c>
      <c r="C48" t="s">
        <v>180</v>
      </c>
      <c r="D48">
        <v>54</v>
      </c>
      <c r="E48" t="s">
        <v>10</v>
      </c>
      <c r="F48" t="s">
        <v>181</v>
      </c>
      <c r="G48" t="s">
        <v>137</v>
      </c>
      <c r="H48" t="s">
        <v>13</v>
      </c>
      <c r="I48" t="s">
        <v>50</v>
      </c>
    </row>
    <row r="49" spans="2:9" x14ac:dyDescent="0.25">
      <c r="B49" t="s">
        <v>182</v>
      </c>
      <c r="C49" t="s">
        <v>183</v>
      </c>
      <c r="D49">
        <v>55</v>
      </c>
      <c r="E49" t="s">
        <v>16</v>
      </c>
      <c r="F49" t="s">
        <v>184</v>
      </c>
      <c r="G49" t="s">
        <v>27</v>
      </c>
      <c r="H49" t="s">
        <v>13</v>
      </c>
      <c r="I49" t="s">
        <v>19</v>
      </c>
    </row>
    <row r="50" spans="2:9" x14ac:dyDescent="0.25">
      <c r="B50" t="s">
        <v>185</v>
      </c>
      <c r="C50" t="s">
        <v>186</v>
      </c>
      <c r="D50">
        <v>54</v>
      </c>
      <c r="E50" t="s">
        <v>16</v>
      </c>
      <c r="F50" t="s">
        <v>187</v>
      </c>
      <c r="G50" t="s">
        <v>188</v>
      </c>
      <c r="H50" t="s">
        <v>13</v>
      </c>
      <c r="I50" t="s">
        <v>33</v>
      </c>
    </row>
    <row r="51" spans="2:9" x14ac:dyDescent="0.25">
      <c r="B51" t="s">
        <v>189</v>
      </c>
      <c r="C51" t="s">
        <v>190</v>
      </c>
      <c r="D51">
        <v>54</v>
      </c>
      <c r="E51" t="s">
        <v>10</v>
      </c>
      <c r="F51" t="s">
        <v>191</v>
      </c>
      <c r="G51" t="s">
        <v>12</v>
      </c>
      <c r="H51" t="s">
        <v>13</v>
      </c>
      <c r="I51" t="s">
        <v>19</v>
      </c>
    </row>
    <row r="52" spans="2:9" x14ac:dyDescent="0.25">
      <c r="B52" t="s">
        <v>192</v>
      </c>
      <c r="C52" t="s">
        <v>193</v>
      </c>
      <c r="D52">
        <v>45</v>
      </c>
      <c r="E52" t="s">
        <v>16</v>
      </c>
      <c r="F52" t="s">
        <v>194</v>
      </c>
      <c r="G52" t="s">
        <v>27</v>
      </c>
      <c r="H52" t="s">
        <v>13</v>
      </c>
      <c r="I52" t="s">
        <v>50</v>
      </c>
    </row>
    <row r="53" spans="2:9" x14ac:dyDescent="0.25">
      <c r="B53" t="s">
        <v>195</v>
      </c>
      <c r="C53" t="s">
        <v>196</v>
      </c>
      <c r="D53">
        <v>61</v>
      </c>
      <c r="E53" t="s">
        <v>16</v>
      </c>
      <c r="F53" t="s">
        <v>197</v>
      </c>
      <c r="G53" t="s">
        <v>198</v>
      </c>
      <c r="H53" t="s">
        <v>13</v>
      </c>
      <c r="I53" t="s">
        <v>50</v>
      </c>
    </row>
    <row r="54" spans="2:9" x14ac:dyDescent="0.25">
      <c r="B54" t="s">
        <v>199</v>
      </c>
      <c r="C54" t="s">
        <v>200</v>
      </c>
      <c r="D54">
        <v>23</v>
      </c>
      <c r="E54" t="s">
        <v>16</v>
      </c>
      <c r="F54" t="s">
        <v>201</v>
      </c>
      <c r="G54" t="s">
        <v>45</v>
      </c>
      <c r="H54" t="s">
        <v>13</v>
      </c>
      <c r="I54" t="s">
        <v>50</v>
      </c>
    </row>
    <row r="55" spans="2:9" x14ac:dyDescent="0.25">
      <c r="B55" t="s">
        <v>202</v>
      </c>
      <c r="C55" t="s">
        <v>203</v>
      </c>
      <c r="D55">
        <v>55</v>
      </c>
      <c r="E55" t="s">
        <v>10</v>
      </c>
      <c r="F55" t="s">
        <v>204</v>
      </c>
      <c r="G55" t="s">
        <v>205</v>
      </c>
      <c r="H55" t="s">
        <v>13</v>
      </c>
      <c r="I55" t="s">
        <v>28</v>
      </c>
    </row>
    <row r="56" spans="2:9" x14ac:dyDescent="0.25">
      <c r="B56" t="s">
        <v>206</v>
      </c>
      <c r="C56" t="s">
        <v>207</v>
      </c>
      <c r="D56">
        <v>37</v>
      </c>
      <c r="E56" t="s">
        <v>16</v>
      </c>
      <c r="F56" t="s">
        <v>208</v>
      </c>
      <c r="G56" t="s">
        <v>160</v>
      </c>
      <c r="H56" t="s">
        <v>13</v>
      </c>
      <c r="I56" t="s">
        <v>50</v>
      </c>
    </row>
    <row r="57" spans="2:9" x14ac:dyDescent="0.25">
      <c r="B57" t="s">
        <v>209</v>
      </c>
      <c r="C57" t="s">
        <v>210</v>
      </c>
      <c r="D57">
        <v>24</v>
      </c>
      <c r="E57" t="s">
        <v>10</v>
      </c>
      <c r="F57" t="s">
        <v>211</v>
      </c>
      <c r="G57" t="s">
        <v>99</v>
      </c>
      <c r="H57" t="s">
        <v>13</v>
      </c>
      <c r="I57" t="s">
        <v>19</v>
      </c>
    </row>
    <row r="58" spans="2:9" x14ac:dyDescent="0.25">
      <c r="B58" t="s">
        <v>212</v>
      </c>
      <c r="C58" t="s">
        <v>213</v>
      </c>
      <c r="D58">
        <v>56</v>
      </c>
      <c r="E58" t="s">
        <v>16</v>
      </c>
      <c r="F58" t="s">
        <v>214</v>
      </c>
      <c r="G58" t="s">
        <v>205</v>
      </c>
      <c r="H58" t="s">
        <v>13</v>
      </c>
      <c r="I58" t="s">
        <v>28</v>
      </c>
    </row>
    <row r="59" spans="2:9" x14ac:dyDescent="0.25">
      <c r="B59" t="s">
        <v>215</v>
      </c>
      <c r="C59" t="s">
        <v>216</v>
      </c>
      <c r="D59">
        <v>49</v>
      </c>
      <c r="E59" t="s">
        <v>16</v>
      </c>
      <c r="F59" t="s">
        <v>217</v>
      </c>
      <c r="G59" t="s">
        <v>54</v>
      </c>
      <c r="H59" t="s">
        <v>13</v>
      </c>
      <c r="I59" t="s">
        <v>50</v>
      </c>
    </row>
    <row r="60" spans="2:9" x14ac:dyDescent="0.25">
      <c r="B60" t="s">
        <v>218</v>
      </c>
      <c r="C60" t="s">
        <v>219</v>
      </c>
      <c r="D60">
        <v>43</v>
      </c>
      <c r="E60" t="s">
        <v>16</v>
      </c>
      <c r="F60" t="s">
        <v>220</v>
      </c>
      <c r="G60" t="s">
        <v>221</v>
      </c>
      <c r="H60" t="s">
        <v>13</v>
      </c>
      <c r="I60" t="s">
        <v>19</v>
      </c>
    </row>
    <row r="61" spans="2:9" x14ac:dyDescent="0.25">
      <c r="B61" t="s">
        <v>222</v>
      </c>
      <c r="C61" t="s">
        <v>223</v>
      </c>
      <c r="D61">
        <v>51</v>
      </c>
      <c r="E61" t="s">
        <v>10</v>
      </c>
      <c r="F61" t="s">
        <v>224</v>
      </c>
      <c r="G61" t="s">
        <v>144</v>
      </c>
      <c r="H61" t="s">
        <v>13</v>
      </c>
      <c r="I61" t="s">
        <v>19</v>
      </c>
    </row>
    <row r="62" spans="2:9" x14ac:dyDescent="0.25">
      <c r="B62" t="s">
        <v>225</v>
      </c>
      <c r="C62" t="s">
        <v>226</v>
      </c>
      <c r="D62">
        <v>53</v>
      </c>
      <c r="E62" t="s">
        <v>10</v>
      </c>
      <c r="F62" t="s">
        <v>227</v>
      </c>
      <c r="G62" t="s">
        <v>69</v>
      </c>
      <c r="H62" t="s">
        <v>13</v>
      </c>
      <c r="I62" t="s">
        <v>19</v>
      </c>
    </row>
    <row r="63" spans="2:9" x14ac:dyDescent="0.25">
      <c r="B63" t="s">
        <v>228</v>
      </c>
      <c r="C63" t="s">
        <v>229</v>
      </c>
      <c r="D63">
        <v>22</v>
      </c>
      <c r="E63" t="s">
        <v>16</v>
      </c>
      <c r="F63" t="s">
        <v>230</v>
      </c>
      <c r="G63" t="s">
        <v>167</v>
      </c>
      <c r="H63" t="s">
        <v>13</v>
      </c>
      <c r="I63" t="s">
        <v>33</v>
      </c>
    </row>
    <row r="64" spans="2:9" x14ac:dyDescent="0.25">
      <c r="B64" t="s">
        <v>231</v>
      </c>
      <c r="C64" t="s">
        <v>232</v>
      </c>
      <c r="D64">
        <v>23</v>
      </c>
      <c r="E64" t="s">
        <v>10</v>
      </c>
      <c r="F64" t="s">
        <v>233</v>
      </c>
      <c r="G64" t="s">
        <v>117</v>
      </c>
      <c r="H64" t="s">
        <v>13</v>
      </c>
      <c r="I64" t="s">
        <v>33</v>
      </c>
    </row>
    <row r="65" spans="2:9" x14ac:dyDescent="0.25">
      <c r="B65" t="s">
        <v>234</v>
      </c>
      <c r="C65" t="s">
        <v>235</v>
      </c>
      <c r="D65">
        <v>50</v>
      </c>
      <c r="E65" t="s">
        <v>10</v>
      </c>
      <c r="F65" t="s">
        <v>236</v>
      </c>
      <c r="G65" t="s">
        <v>237</v>
      </c>
      <c r="H65" t="s">
        <v>13</v>
      </c>
      <c r="I65" t="s">
        <v>28</v>
      </c>
    </row>
    <row r="66" spans="2:9" x14ac:dyDescent="0.25">
      <c r="B66" t="s">
        <v>238</v>
      </c>
      <c r="C66" t="s">
        <v>239</v>
      </c>
      <c r="D66">
        <v>51</v>
      </c>
      <c r="E66" t="s">
        <v>10</v>
      </c>
      <c r="F66" t="s">
        <v>240</v>
      </c>
      <c r="G66" t="s">
        <v>241</v>
      </c>
      <c r="H66" t="s">
        <v>13</v>
      </c>
      <c r="I66" t="s">
        <v>19</v>
      </c>
    </row>
    <row r="67" spans="2:9" x14ac:dyDescent="0.25">
      <c r="B67" t="s">
        <v>242</v>
      </c>
      <c r="C67" t="s">
        <v>243</v>
      </c>
      <c r="D67">
        <v>33</v>
      </c>
      <c r="E67" t="s">
        <v>10</v>
      </c>
      <c r="F67" t="s">
        <v>244</v>
      </c>
      <c r="G67" t="s">
        <v>137</v>
      </c>
      <c r="H67" t="s">
        <v>13</v>
      </c>
      <c r="I67" t="s">
        <v>50</v>
      </c>
    </row>
    <row r="68" spans="2:9" x14ac:dyDescent="0.25">
      <c r="B68" t="s">
        <v>245</v>
      </c>
      <c r="C68" t="s">
        <v>246</v>
      </c>
      <c r="D68">
        <v>21</v>
      </c>
      <c r="E68" t="s">
        <v>16</v>
      </c>
      <c r="F68" t="s">
        <v>247</v>
      </c>
      <c r="G68" t="s">
        <v>188</v>
      </c>
      <c r="H68" t="s">
        <v>13</v>
      </c>
      <c r="I68" t="s">
        <v>33</v>
      </c>
    </row>
    <row r="69" spans="2:9" x14ac:dyDescent="0.25">
      <c r="B69" t="s">
        <v>248</v>
      </c>
      <c r="C69" t="s">
        <v>249</v>
      </c>
      <c r="D69">
        <v>27</v>
      </c>
      <c r="E69" t="s">
        <v>16</v>
      </c>
      <c r="F69" t="s">
        <v>250</v>
      </c>
      <c r="G69" t="s">
        <v>49</v>
      </c>
      <c r="H69" t="s">
        <v>13</v>
      </c>
      <c r="I69" t="s">
        <v>33</v>
      </c>
    </row>
    <row r="70" spans="2:9" x14ac:dyDescent="0.25">
      <c r="B70" t="s">
        <v>251</v>
      </c>
      <c r="C70" t="s">
        <v>252</v>
      </c>
      <c r="D70">
        <v>58</v>
      </c>
      <c r="E70" t="s">
        <v>10</v>
      </c>
      <c r="F70" t="s">
        <v>253</v>
      </c>
      <c r="G70" t="s">
        <v>254</v>
      </c>
      <c r="H70" t="s">
        <v>13</v>
      </c>
      <c r="I70" t="s">
        <v>33</v>
      </c>
    </row>
    <row r="71" spans="2:9" x14ac:dyDescent="0.25">
      <c r="B71" t="s">
        <v>255</v>
      </c>
      <c r="C71" t="s">
        <v>256</v>
      </c>
      <c r="D71">
        <v>24</v>
      </c>
      <c r="E71" t="s">
        <v>16</v>
      </c>
      <c r="F71" t="s">
        <v>257</v>
      </c>
      <c r="G71" t="s">
        <v>258</v>
      </c>
      <c r="H71" t="s">
        <v>13</v>
      </c>
      <c r="I71" t="s">
        <v>33</v>
      </c>
    </row>
    <row r="72" spans="2:9" x14ac:dyDescent="0.25">
      <c r="B72" t="s">
        <v>259</v>
      </c>
      <c r="C72" t="s">
        <v>260</v>
      </c>
      <c r="D72">
        <v>24</v>
      </c>
      <c r="E72" t="s">
        <v>16</v>
      </c>
      <c r="F72" t="s">
        <v>261</v>
      </c>
      <c r="G72" t="s">
        <v>91</v>
      </c>
      <c r="H72" t="s">
        <v>13</v>
      </c>
      <c r="I72" t="s">
        <v>19</v>
      </c>
    </row>
    <row r="73" spans="2:9" x14ac:dyDescent="0.25">
      <c r="B73" t="s">
        <v>262</v>
      </c>
      <c r="C73" t="s">
        <v>263</v>
      </c>
      <c r="D73">
        <v>29</v>
      </c>
      <c r="E73" t="s">
        <v>16</v>
      </c>
      <c r="F73" t="s">
        <v>264</v>
      </c>
      <c r="G73" t="s">
        <v>237</v>
      </c>
      <c r="H73" t="s">
        <v>13</v>
      </c>
      <c r="I73" t="s">
        <v>50</v>
      </c>
    </row>
    <row r="74" spans="2:9" x14ac:dyDescent="0.25">
      <c r="B74" t="s">
        <v>265</v>
      </c>
      <c r="C74" t="s">
        <v>266</v>
      </c>
      <c r="D74">
        <v>61</v>
      </c>
      <c r="E74" t="s">
        <v>16</v>
      </c>
      <c r="F74" t="s">
        <v>267</v>
      </c>
      <c r="G74" t="s">
        <v>237</v>
      </c>
      <c r="H74" t="s">
        <v>13</v>
      </c>
      <c r="I74" t="s">
        <v>50</v>
      </c>
    </row>
    <row r="75" spans="2:9" x14ac:dyDescent="0.25">
      <c r="B75" t="s">
        <v>268</v>
      </c>
      <c r="C75" t="s">
        <v>269</v>
      </c>
      <c r="D75">
        <v>39</v>
      </c>
      <c r="E75" t="s">
        <v>16</v>
      </c>
      <c r="F75" t="s">
        <v>270</v>
      </c>
      <c r="G75" t="s">
        <v>271</v>
      </c>
      <c r="H75" t="s">
        <v>13</v>
      </c>
      <c r="I75" t="s">
        <v>50</v>
      </c>
    </row>
    <row r="76" spans="2:9" x14ac:dyDescent="0.25">
      <c r="B76" t="s">
        <v>272</v>
      </c>
      <c r="C76" t="s">
        <v>273</v>
      </c>
      <c r="D76">
        <v>56</v>
      </c>
      <c r="E76" t="s">
        <v>16</v>
      </c>
      <c r="F76" t="s">
        <v>274</v>
      </c>
      <c r="G76" t="s">
        <v>45</v>
      </c>
      <c r="H76" t="s">
        <v>13</v>
      </c>
      <c r="I76" t="s">
        <v>33</v>
      </c>
    </row>
    <row r="77" spans="2:9" x14ac:dyDescent="0.25">
      <c r="B77" t="s">
        <v>275</v>
      </c>
      <c r="C77" t="s">
        <v>276</v>
      </c>
      <c r="D77">
        <v>58</v>
      </c>
      <c r="E77" t="s">
        <v>10</v>
      </c>
      <c r="F77" t="s">
        <v>277</v>
      </c>
      <c r="G77" t="s">
        <v>278</v>
      </c>
      <c r="H77" t="s">
        <v>13</v>
      </c>
      <c r="I77" t="s">
        <v>28</v>
      </c>
    </row>
    <row r="78" spans="2:9" x14ac:dyDescent="0.25">
      <c r="B78" t="s">
        <v>279</v>
      </c>
      <c r="C78" t="s">
        <v>280</v>
      </c>
      <c r="D78">
        <v>61</v>
      </c>
      <c r="E78" t="s">
        <v>16</v>
      </c>
      <c r="F78" t="s">
        <v>281</v>
      </c>
      <c r="G78" t="s">
        <v>32</v>
      </c>
      <c r="H78" t="s">
        <v>13</v>
      </c>
      <c r="I78" t="s">
        <v>50</v>
      </c>
    </row>
    <row r="79" spans="2:9" x14ac:dyDescent="0.25">
      <c r="B79" t="s">
        <v>282</v>
      </c>
      <c r="C79" t="s">
        <v>283</v>
      </c>
      <c r="D79">
        <v>37</v>
      </c>
      <c r="E79" t="s">
        <v>10</v>
      </c>
      <c r="F79" t="s">
        <v>284</v>
      </c>
      <c r="G79" t="s">
        <v>99</v>
      </c>
      <c r="H79" t="s">
        <v>13</v>
      </c>
      <c r="I79" t="s">
        <v>50</v>
      </c>
    </row>
    <row r="80" spans="2:9" x14ac:dyDescent="0.25">
      <c r="B80" t="s">
        <v>285</v>
      </c>
      <c r="C80" t="s">
        <v>286</v>
      </c>
      <c r="D80">
        <v>29</v>
      </c>
      <c r="E80" t="s">
        <v>10</v>
      </c>
      <c r="F80" t="s">
        <v>287</v>
      </c>
      <c r="G80" t="s">
        <v>175</v>
      </c>
      <c r="H80" t="s">
        <v>13</v>
      </c>
      <c r="I80" t="s">
        <v>50</v>
      </c>
    </row>
    <row r="81" spans="2:9" x14ac:dyDescent="0.25">
      <c r="B81" t="s">
        <v>288</v>
      </c>
      <c r="C81" t="s">
        <v>289</v>
      </c>
      <c r="D81">
        <v>21</v>
      </c>
      <c r="E81" t="s">
        <v>10</v>
      </c>
      <c r="F81" t="s">
        <v>290</v>
      </c>
      <c r="G81" t="s">
        <v>291</v>
      </c>
      <c r="H81" t="s">
        <v>13</v>
      </c>
      <c r="I81" t="s">
        <v>50</v>
      </c>
    </row>
    <row r="82" spans="2:9" x14ac:dyDescent="0.25">
      <c r="B82" t="s">
        <v>292</v>
      </c>
      <c r="C82" t="s">
        <v>293</v>
      </c>
      <c r="D82">
        <v>22</v>
      </c>
      <c r="E82" t="s">
        <v>16</v>
      </c>
      <c r="F82" t="s">
        <v>294</v>
      </c>
      <c r="G82" t="s">
        <v>295</v>
      </c>
      <c r="H82" t="s">
        <v>13</v>
      </c>
      <c r="I82" t="s">
        <v>19</v>
      </c>
    </row>
    <row r="83" spans="2:9" x14ac:dyDescent="0.25">
      <c r="B83" t="s">
        <v>296</v>
      </c>
      <c r="C83" t="s">
        <v>297</v>
      </c>
      <c r="D83">
        <v>61</v>
      </c>
      <c r="E83" t="s">
        <v>16</v>
      </c>
      <c r="F83" t="s">
        <v>298</v>
      </c>
      <c r="G83" t="s">
        <v>237</v>
      </c>
      <c r="H83" t="s">
        <v>13</v>
      </c>
      <c r="I83" t="s">
        <v>28</v>
      </c>
    </row>
    <row r="84" spans="2:9" x14ac:dyDescent="0.25">
      <c r="B84" t="s">
        <v>299</v>
      </c>
      <c r="C84" t="s">
        <v>300</v>
      </c>
      <c r="D84">
        <v>34</v>
      </c>
      <c r="E84" t="s">
        <v>16</v>
      </c>
      <c r="F84" t="s">
        <v>301</v>
      </c>
      <c r="G84" t="s">
        <v>137</v>
      </c>
      <c r="H84" t="s">
        <v>13</v>
      </c>
      <c r="I84" t="s">
        <v>19</v>
      </c>
    </row>
    <row r="85" spans="2:9" x14ac:dyDescent="0.25">
      <c r="B85" t="s">
        <v>302</v>
      </c>
      <c r="C85" t="s">
        <v>303</v>
      </c>
      <c r="D85">
        <v>53</v>
      </c>
      <c r="E85" t="s">
        <v>10</v>
      </c>
      <c r="F85" t="s">
        <v>304</v>
      </c>
      <c r="G85" t="s">
        <v>254</v>
      </c>
      <c r="H85" t="s">
        <v>13</v>
      </c>
      <c r="I85" t="s">
        <v>28</v>
      </c>
    </row>
    <row r="86" spans="2:9" x14ac:dyDescent="0.25">
      <c r="B86" t="s">
        <v>305</v>
      </c>
      <c r="C86" t="s">
        <v>306</v>
      </c>
      <c r="D86">
        <v>48</v>
      </c>
      <c r="E86" t="s">
        <v>16</v>
      </c>
      <c r="F86" t="s">
        <v>307</v>
      </c>
      <c r="G86" t="s">
        <v>84</v>
      </c>
      <c r="H86" t="s">
        <v>13</v>
      </c>
      <c r="I86" t="s">
        <v>28</v>
      </c>
    </row>
    <row r="87" spans="2:9" x14ac:dyDescent="0.25">
      <c r="B87" t="s">
        <v>308</v>
      </c>
      <c r="C87" t="s">
        <v>309</v>
      </c>
      <c r="D87">
        <v>26</v>
      </c>
      <c r="E87" t="s">
        <v>16</v>
      </c>
      <c r="F87" t="s">
        <v>310</v>
      </c>
      <c r="G87" t="s">
        <v>258</v>
      </c>
      <c r="H87" t="s">
        <v>13</v>
      </c>
      <c r="I87" t="s">
        <v>19</v>
      </c>
    </row>
    <row r="88" spans="2:9" x14ac:dyDescent="0.25">
      <c r="B88" t="s">
        <v>311</v>
      </c>
      <c r="C88" t="s">
        <v>312</v>
      </c>
      <c r="D88">
        <v>36</v>
      </c>
      <c r="E88" t="s">
        <v>10</v>
      </c>
      <c r="F88" t="s">
        <v>313</v>
      </c>
      <c r="G88" t="s">
        <v>54</v>
      </c>
      <c r="H88" t="s">
        <v>13</v>
      </c>
      <c r="I88" t="s">
        <v>33</v>
      </c>
    </row>
    <row r="89" spans="2:9" x14ac:dyDescent="0.25">
      <c r="B89" t="s">
        <v>314</v>
      </c>
      <c r="C89" t="s">
        <v>315</v>
      </c>
      <c r="D89">
        <v>19</v>
      </c>
      <c r="E89" t="s">
        <v>16</v>
      </c>
      <c r="F89" t="s">
        <v>316</v>
      </c>
      <c r="G89" t="s">
        <v>317</v>
      </c>
      <c r="H89" t="s">
        <v>13</v>
      </c>
      <c r="I89" t="s">
        <v>50</v>
      </c>
    </row>
    <row r="90" spans="2:9" x14ac:dyDescent="0.25">
      <c r="B90" t="s">
        <v>318</v>
      </c>
      <c r="C90" t="s">
        <v>319</v>
      </c>
      <c r="D90">
        <v>58</v>
      </c>
      <c r="E90" t="s">
        <v>16</v>
      </c>
      <c r="F90" t="s">
        <v>320</v>
      </c>
      <c r="G90" t="s">
        <v>321</v>
      </c>
      <c r="H90" t="s">
        <v>13</v>
      </c>
      <c r="I90" t="s">
        <v>28</v>
      </c>
    </row>
    <row r="91" spans="2:9" x14ac:dyDescent="0.25">
      <c r="B91" t="s">
        <v>322</v>
      </c>
      <c r="C91" t="s">
        <v>323</v>
      </c>
      <c r="D91">
        <v>58</v>
      </c>
      <c r="E91" t="s">
        <v>10</v>
      </c>
      <c r="F91" t="s">
        <v>324</v>
      </c>
      <c r="G91" t="s">
        <v>295</v>
      </c>
      <c r="H91" t="s">
        <v>13</v>
      </c>
      <c r="I91" t="s">
        <v>33</v>
      </c>
    </row>
    <row r="92" spans="2:9" x14ac:dyDescent="0.25">
      <c r="B92" t="s">
        <v>325</v>
      </c>
      <c r="C92" t="s">
        <v>326</v>
      </c>
      <c r="D92">
        <v>43</v>
      </c>
      <c r="E92" t="s">
        <v>10</v>
      </c>
      <c r="F92" t="s">
        <v>327</v>
      </c>
      <c r="G92" t="s">
        <v>328</v>
      </c>
      <c r="H92" t="s">
        <v>13</v>
      </c>
      <c r="I92" t="s">
        <v>19</v>
      </c>
    </row>
    <row r="93" spans="2:9" x14ac:dyDescent="0.25">
      <c r="B93" t="s">
        <v>329</v>
      </c>
      <c r="C93" t="s">
        <v>330</v>
      </c>
      <c r="D93">
        <v>58</v>
      </c>
      <c r="E93" t="s">
        <v>16</v>
      </c>
      <c r="F93" t="s">
        <v>331</v>
      </c>
      <c r="G93" t="s">
        <v>332</v>
      </c>
      <c r="H93" t="s">
        <v>13</v>
      </c>
      <c r="I93" t="s">
        <v>19</v>
      </c>
    </row>
    <row r="94" spans="2:9" x14ac:dyDescent="0.25">
      <c r="B94" t="s">
        <v>333</v>
      </c>
      <c r="C94" t="s">
        <v>334</v>
      </c>
      <c r="D94">
        <v>29</v>
      </c>
      <c r="E94" t="s">
        <v>16</v>
      </c>
      <c r="F94" t="s">
        <v>335</v>
      </c>
      <c r="G94" t="s">
        <v>137</v>
      </c>
      <c r="H94" t="s">
        <v>13</v>
      </c>
      <c r="I94" t="s">
        <v>33</v>
      </c>
    </row>
    <row r="95" spans="2:9" x14ac:dyDescent="0.25">
      <c r="B95" t="s">
        <v>336</v>
      </c>
      <c r="C95" t="s">
        <v>337</v>
      </c>
      <c r="D95">
        <v>44</v>
      </c>
      <c r="E95" t="s">
        <v>16</v>
      </c>
      <c r="F95" t="s">
        <v>338</v>
      </c>
      <c r="G95" t="s">
        <v>241</v>
      </c>
      <c r="H95" t="s">
        <v>13</v>
      </c>
      <c r="I95" t="s">
        <v>19</v>
      </c>
    </row>
    <row r="96" spans="2:9" x14ac:dyDescent="0.25">
      <c r="B96" t="s">
        <v>339</v>
      </c>
      <c r="C96" t="s">
        <v>340</v>
      </c>
      <c r="D96">
        <v>28</v>
      </c>
      <c r="E96" t="s">
        <v>16</v>
      </c>
      <c r="F96" t="s">
        <v>341</v>
      </c>
      <c r="G96" t="s">
        <v>321</v>
      </c>
      <c r="H96" t="s">
        <v>13</v>
      </c>
      <c r="I96" t="s">
        <v>50</v>
      </c>
    </row>
    <row r="97" spans="2:9" x14ac:dyDescent="0.25">
      <c r="B97" t="s">
        <v>342</v>
      </c>
      <c r="C97" t="s">
        <v>343</v>
      </c>
      <c r="D97">
        <v>43</v>
      </c>
      <c r="E97" t="s">
        <v>16</v>
      </c>
      <c r="F97" t="s">
        <v>344</v>
      </c>
      <c r="G97" t="s">
        <v>188</v>
      </c>
      <c r="H97" t="s">
        <v>13</v>
      </c>
      <c r="I97" t="s">
        <v>50</v>
      </c>
    </row>
    <row r="98" spans="2:9" x14ac:dyDescent="0.25">
      <c r="B98" t="s">
        <v>345</v>
      </c>
      <c r="C98" t="s">
        <v>346</v>
      </c>
      <c r="D98">
        <v>62</v>
      </c>
      <c r="E98" t="s">
        <v>16</v>
      </c>
      <c r="F98" t="s">
        <v>347</v>
      </c>
      <c r="G98" t="s">
        <v>61</v>
      </c>
      <c r="H98" t="s">
        <v>13</v>
      </c>
      <c r="I98" t="s">
        <v>19</v>
      </c>
    </row>
    <row r="99" spans="2:9" x14ac:dyDescent="0.25">
      <c r="B99" t="s">
        <v>348</v>
      </c>
      <c r="C99" t="s">
        <v>349</v>
      </c>
      <c r="D99">
        <v>30</v>
      </c>
      <c r="E99" t="s">
        <v>16</v>
      </c>
      <c r="F99" t="s">
        <v>350</v>
      </c>
      <c r="G99" t="s">
        <v>332</v>
      </c>
      <c r="H99" t="s">
        <v>13</v>
      </c>
      <c r="I99" t="s">
        <v>19</v>
      </c>
    </row>
    <row r="100" spans="2:9" x14ac:dyDescent="0.25">
      <c r="B100" t="s">
        <v>351</v>
      </c>
      <c r="C100" t="s">
        <v>352</v>
      </c>
      <c r="D100">
        <v>36</v>
      </c>
      <c r="E100" t="s">
        <v>10</v>
      </c>
      <c r="F100" t="s">
        <v>353</v>
      </c>
      <c r="G100" t="s">
        <v>41</v>
      </c>
      <c r="H100" t="s">
        <v>13</v>
      </c>
      <c r="I100" t="s">
        <v>33</v>
      </c>
    </row>
    <row r="101" spans="2:9" x14ac:dyDescent="0.25">
      <c r="B101" t="s">
        <v>354</v>
      </c>
      <c r="C101" t="s">
        <v>355</v>
      </c>
      <c r="D101">
        <v>24</v>
      </c>
      <c r="E101" t="s">
        <v>10</v>
      </c>
      <c r="F101" t="s">
        <v>356</v>
      </c>
      <c r="G101" t="s">
        <v>167</v>
      </c>
      <c r="H101" t="s">
        <v>13</v>
      </c>
      <c r="I101" t="s">
        <v>50</v>
      </c>
    </row>
    <row r="102" spans="2:9" x14ac:dyDescent="0.25">
      <c r="B102" t="s">
        <v>357</v>
      </c>
      <c r="C102" t="s">
        <v>358</v>
      </c>
      <c r="D102">
        <v>35</v>
      </c>
      <c r="E102" t="s">
        <v>10</v>
      </c>
      <c r="F102" t="s">
        <v>359</v>
      </c>
      <c r="G102" t="s">
        <v>241</v>
      </c>
      <c r="H102" t="s">
        <v>13</v>
      </c>
      <c r="I102" t="s">
        <v>33</v>
      </c>
    </row>
    <row r="103" spans="2:9" x14ac:dyDescent="0.25">
      <c r="B103" t="s">
        <v>360</v>
      </c>
      <c r="C103" t="s">
        <v>361</v>
      </c>
      <c r="D103">
        <v>53</v>
      </c>
      <c r="E103" t="s">
        <v>16</v>
      </c>
      <c r="F103" t="s">
        <v>362</v>
      </c>
      <c r="G103" t="s">
        <v>363</v>
      </c>
      <c r="H103" t="s">
        <v>13</v>
      </c>
      <c r="I103" t="s">
        <v>19</v>
      </c>
    </row>
    <row r="104" spans="2:9" x14ac:dyDescent="0.25">
      <c r="B104" t="s">
        <v>364</v>
      </c>
      <c r="C104" t="s">
        <v>365</v>
      </c>
      <c r="D104">
        <v>29</v>
      </c>
      <c r="E104" t="s">
        <v>10</v>
      </c>
      <c r="F104" t="s">
        <v>366</v>
      </c>
      <c r="G104" t="s">
        <v>121</v>
      </c>
      <c r="H104" t="s">
        <v>13</v>
      </c>
      <c r="I104" t="s">
        <v>50</v>
      </c>
    </row>
    <row r="105" spans="2:9" x14ac:dyDescent="0.25">
      <c r="B105" t="s">
        <v>367</v>
      </c>
      <c r="C105" t="s">
        <v>368</v>
      </c>
      <c r="D105">
        <v>34</v>
      </c>
      <c r="E105" t="s">
        <v>16</v>
      </c>
      <c r="F105" t="s">
        <v>369</v>
      </c>
      <c r="G105" t="s">
        <v>54</v>
      </c>
      <c r="H105" t="s">
        <v>13</v>
      </c>
      <c r="I105" t="s">
        <v>28</v>
      </c>
    </row>
    <row r="106" spans="2:9" x14ac:dyDescent="0.25">
      <c r="B106" t="s">
        <v>370</v>
      </c>
      <c r="C106" t="s">
        <v>371</v>
      </c>
      <c r="D106">
        <v>21</v>
      </c>
      <c r="E106" t="s">
        <v>10</v>
      </c>
      <c r="F106" t="s">
        <v>372</v>
      </c>
      <c r="G106" t="s">
        <v>171</v>
      </c>
      <c r="H106" t="s">
        <v>13</v>
      </c>
      <c r="I106" t="s">
        <v>28</v>
      </c>
    </row>
    <row r="107" spans="2:9" x14ac:dyDescent="0.25">
      <c r="B107" t="s">
        <v>373</v>
      </c>
      <c r="C107" t="s">
        <v>374</v>
      </c>
      <c r="D107">
        <v>64</v>
      </c>
      <c r="E107" t="s">
        <v>10</v>
      </c>
      <c r="F107" t="s">
        <v>375</v>
      </c>
      <c r="G107" t="s">
        <v>84</v>
      </c>
      <c r="H107" t="s">
        <v>13</v>
      </c>
      <c r="I107" t="s">
        <v>33</v>
      </c>
    </row>
    <row r="108" spans="2:9" x14ac:dyDescent="0.25">
      <c r="B108" t="s">
        <v>376</v>
      </c>
      <c r="C108" t="s">
        <v>377</v>
      </c>
      <c r="D108">
        <v>50</v>
      </c>
      <c r="E108" t="s">
        <v>16</v>
      </c>
      <c r="F108" t="s">
        <v>378</v>
      </c>
      <c r="G108" t="s">
        <v>254</v>
      </c>
      <c r="H108" t="s">
        <v>13</v>
      </c>
      <c r="I108" t="s">
        <v>50</v>
      </c>
    </row>
    <row r="109" spans="2:9" x14ac:dyDescent="0.25">
      <c r="B109" t="s">
        <v>379</v>
      </c>
      <c r="C109" t="s">
        <v>380</v>
      </c>
      <c r="D109">
        <v>53</v>
      </c>
      <c r="E109" t="s">
        <v>16</v>
      </c>
      <c r="F109" t="s">
        <v>381</v>
      </c>
      <c r="G109" t="s">
        <v>221</v>
      </c>
      <c r="H109" t="s">
        <v>13</v>
      </c>
      <c r="I109" t="s">
        <v>28</v>
      </c>
    </row>
    <row r="110" spans="2:9" x14ac:dyDescent="0.25">
      <c r="B110" t="s">
        <v>382</v>
      </c>
      <c r="C110" t="s">
        <v>383</v>
      </c>
      <c r="D110">
        <v>62</v>
      </c>
      <c r="E110" t="s">
        <v>16</v>
      </c>
      <c r="F110" t="s">
        <v>384</v>
      </c>
      <c r="G110" t="s">
        <v>18</v>
      </c>
      <c r="H110" t="s">
        <v>13</v>
      </c>
      <c r="I110" t="s">
        <v>19</v>
      </c>
    </row>
    <row r="111" spans="2:9" x14ac:dyDescent="0.25">
      <c r="B111" t="s">
        <v>385</v>
      </c>
      <c r="C111" t="s">
        <v>386</v>
      </c>
      <c r="D111">
        <v>38</v>
      </c>
      <c r="E111" t="s">
        <v>10</v>
      </c>
      <c r="F111" t="s">
        <v>387</v>
      </c>
      <c r="G111" t="s">
        <v>49</v>
      </c>
      <c r="H111" t="s">
        <v>13</v>
      </c>
      <c r="I111" t="s">
        <v>28</v>
      </c>
    </row>
    <row r="112" spans="2:9" x14ac:dyDescent="0.25">
      <c r="B112" t="s">
        <v>388</v>
      </c>
      <c r="C112" t="s">
        <v>389</v>
      </c>
      <c r="D112">
        <v>27</v>
      </c>
      <c r="E112" t="s">
        <v>10</v>
      </c>
      <c r="F112" t="s">
        <v>390</v>
      </c>
      <c r="G112" t="s">
        <v>45</v>
      </c>
      <c r="H112" t="s">
        <v>13</v>
      </c>
      <c r="I112" t="s">
        <v>33</v>
      </c>
    </row>
    <row r="113" spans="2:9" x14ac:dyDescent="0.25">
      <c r="B113" t="s">
        <v>391</v>
      </c>
      <c r="C113" t="s">
        <v>392</v>
      </c>
      <c r="D113">
        <v>40</v>
      </c>
      <c r="E113" t="s">
        <v>16</v>
      </c>
      <c r="F113" t="s">
        <v>393</v>
      </c>
      <c r="G113" t="s">
        <v>144</v>
      </c>
      <c r="H113" t="s">
        <v>13</v>
      </c>
      <c r="I113" t="s">
        <v>50</v>
      </c>
    </row>
    <row r="114" spans="2:9" x14ac:dyDescent="0.25">
      <c r="B114" t="s">
        <v>394</v>
      </c>
      <c r="C114" t="s">
        <v>395</v>
      </c>
      <c r="D114">
        <v>18</v>
      </c>
      <c r="E114" t="s">
        <v>16</v>
      </c>
      <c r="F114" t="s">
        <v>396</v>
      </c>
      <c r="G114" t="s">
        <v>137</v>
      </c>
      <c r="H114" t="s">
        <v>13</v>
      </c>
      <c r="I114" t="s">
        <v>19</v>
      </c>
    </row>
    <row r="115" spans="2:9" x14ac:dyDescent="0.25">
      <c r="B115" t="s">
        <v>397</v>
      </c>
      <c r="C115" t="s">
        <v>398</v>
      </c>
      <c r="D115">
        <v>27</v>
      </c>
      <c r="E115" t="s">
        <v>16</v>
      </c>
      <c r="F115" t="s">
        <v>399</v>
      </c>
      <c r="G115" t="s">
        <v>160</v>
      </c>
      <c r="H115" t="s">
        <v>13</v>
      </c>
      <c r="I115" t="s">
        <v>33</v>
      </c>
    </row>
    <row r="116" spans="2:9" x14ac:dyDescent="0.25">
      <c r="B116" t="s">
        <v>400</v>
      </c>
      <c r="C116" t="s">
        <v>401</v>
      </c>
      <c r="D116">
        <v>51</v>
      </c>
      <c r="E116" t="s">
        <v>10</v>
      </c>
      <c r="F116" t="s">
        <v>402</v>
      </c>
      <c r="G116" t="s">
        <v>237</v>
      </c>
      <c r="H116" t="s">
        <v>13</v>
      </c>
      <c r="I116" t="s">
        <v>50</v>
      </c>
    </row>
    <row r="117" spans="2:9" x14ac:dyDescent="0.25">
      <c r="B117" t="s">
        <v>403</v>
      </c>
      <c r="C117" t="s">
        <v>404</v>
      </c>
      <c r="D117">
        <v>30</v>
      </c>
      <c r="E117" t="s">
        <v>10</v>
      </c>
      <c r="F117" t="s">
        <v>405</v>
      </c>
      <c r="G117" t="s">
        <v>188</v>
      </c>
      <c r="H117" t="s">
        <v>13</v>
      </c>
      <c r="I117" t="s">
        <v>28</v>
      </c>
    </row>
    <row r="118" spans="2:9" x14ac:dyDescent="0.25">
      <c r="B118" t="s">
        <v>406</v>
      </c>
      <c r="C118" t="s">
        <v>407</v>
      </c>
      <c r="D118">
        <v>53</v>
      </c>
      <c r="E118" t="s">
        <v>16</v>
      </c>
      <c r="F118" t="s">
        <v>408</v>
      </c>
      <c r="G118" t="s">
        <v>18</v>
      </c>
      <c r="H118" t="s">
        <v>13</v>
      </c>
      <c r="I118" t="s">
        <v>19</v>
      </c>
    </row>
    <row r="119" spans="2:9" x14ac:dyDescent="0.25">
      <c r="B119" t="s">
        <v>409</v>
      </c>
      <c r="C119" t="s">
        <v>410</v>
      </c>
      <c r="D119">
        <v>18</v>
      </c>
      <c r="E119" t="s">
        <v>16</v>
      </c>
      <c r="F119" t="s">
        <v>411</v>
      </c>
      <c r="G119" t="s">
        <v>221</v>
      </c>
      <c r="H119" t="s">
        <v>13</v>
      </c>
      <c r="I119" t="s">
        <v>19</v>
      </c>
    </row>
    <row r="120" spans="2:9" x14ac:dyDescent="0.25">
      <c r="B120" t="s">
        <v>412</v>
      </c>
      <c r="C120" t="s">
        <v>413</v>
      </c>
      <c r="D120">
        <v>21</v>
      </c>
      <c r="E120" t="s">
        <v>16</v>
      </c>
      <c r="F120" t="s">
        <v>414</v>
      </c>
      <c r="G120" t="s">
        <v>77</v>
      </c>
      <c r="H120" t="s">
        <v>13</v>
      </c>
      <c r="I120" t="s">
        <v>19</v>
      </c>
    </row>
    <row r="121" spans="2:9" x14ac:dyDescent="0.25">
      <c r="B121" t="s">
        <v>415</v>
      </c>
      <c r="C121" t="s">
        <v>416</v>
      </c>
      <c r="D121">
        <v>36</v>
      </c>
      <c r="E121" t="s">
        <v>10</v>
      </c>
      <c r="F121" t="s">
        <v>417</v>
      </c>
      <c r="G121" t="s">
        <v>73</v>
      </c>
      <c r="H121" t="s">
        <v>13</v>
      </c>
      <c r="I121" t="s">
        <v>19</v>
      </c>
    </row>
    <row r="122" spans="2:9" x14ac:dyDescent="0.25">
      <c r="B122" t="s">
        <v>418</v>
      </c>
      <c r="C122" t="s">
        <v>419</v>
      </c>
      <c r="D122">
        <v>40</v>
      </c>
      <c r="E122" t="s">
        <v>10</v>
      </c>
      <c r="F122" t="s">
        <v>420</v>
      </c>
      <c r="G122" t="s">
        <v>241</v>
      </c>
      <c r="H122" t="s">
        <v>13</v>
      </c>
      <c r="I122" t="s">
        <v>28</v>
      </c>
    </row>
    <row r="123" spans="2:9" x14ac:dyDescent="0.25">
      <c r="B123" t="s">
        <v>421</v>
      </c>
      <c r="C123" t="s">
        <v>422</v>
      </c>
      <c r="D123">
        <v>44</v>
      </c>
      <c r="E123" t="s">
        <v>16</v>
      </c>
      <c r="F123" t="s">
        <v>423</v>
      </c>
      <c r="G123" t="s">
        <v>54</v>
      </c>
      <c r="H123" t="s">
        <v>13</v>
      </c>
      <c r="I123" t="s">
        <v>19</v>
      </c>
    </row>
    <row r="124" spans="2:9" x14ac:dyDescent="0.25">
      <c r="B124" t="s">
        <v>424</v>
      </c>
      <c r="C124" t="s">
        <v>425</v>
      </c>
      <c r="D124">
        <v>62</v>
      </c>
      <c r="E124" t="s">
        <v>10</v>
      </c>
      <c r="F124" t="s">
        <v>426</v>
      </c>
      <c r="G124" t="s">
        <v>103</v>
      </c>
      <c r="H124" t="s">
        <v>13</v>
      </c>
      <c r="I124" t="s">
        <v>19</v>
      </c>
    </row>
    <row r="125" spans="2:9" x14ac:dyDescent="0.25">
      <c r="B125" t="s">
        <v>427</v>
      </c>
      <c r="C125" t="s">
        <v>428</v>
      </c>
      <c r="D125">
        <v>50</v>
      </c>
      <c r="E125" t="s">
        <v>10</v>
      </c>
      <c r="F125" t="s">
        <v>429</v>
      </c>
      <c r="G125" t="s">
        <v>12</v>
      </c>
      <c r="H125" t="s">
        <v>13</v>
      </c>
      <c r="I125" t="s">
        <v>19</v>
      </c>
    </row>
    <row r="126" spans="2:9" x14ac:dyDescent="0.25">
      <c r="B126" t="s">
        <v>430</v>
      </c>
      <c r="C126" t="s">
        <v>431</v>
      </c>
      <c r="D126">
        <v>40</v>
      </c>
      <c r="E126" t="s">
        <v>10</v>
      </c>
      <c r="F126" t="s">
        <v>432</v>
      </c>
      <c r="G126" t="s">
        <v>271</v>
      </c>
      <c r="H126" t="s">
        <v>13</v>
      </c>
      <c r="I126" t="s">
        <v>33</v>
      </c>
    </row>
    <row r="127" spans="2:9" x14ac:dyDescent="0.25">
      <c r="B127" t="s">
        <v>433</v>
      </c>
      <c r="C127" t="s">
        <v>434</v>
      </c>
      <c r="D127">
        <v>26</v>
      </c>
      <c r="E127" t="s">
        <v>10</v>
      </c>
      <c r="F127" t="s">
        <v>435</v>
      </c>
      <c r="G127" t="s">
        <v>198</v>
      </c>
      <c r="H127" t="s">
        <v>13</v>
      </c>
      <c r="I127" t="s">
        <v>28</v>
      </c>
    </row>
    <row r="128" spans="2:9" x14ac:dyDescent="0.25">
      <c r="B128" t="s">
        <v>436</v>
      </c>
      <c r="C128" t="s">
        <v>437</v>
      </c>
      <c r="D128">
        <v>64</v>
      </c>
      <c r="E128" t="s">
        <v>16</v>
      </c>
      <c r="F128" t="s">
        <v>438</v>
      </c>
      <c r="G128" t="s">
        <v>439</v>
      </c>
      <c r="H128" t="s">
        <v>13</v>
      </c>
      <c r="I128" t="s">
        <v>19</v>
      </c>
    </row>
    <row r="129" spans="2:9" x14ac:dyDescent="0.25">
      <c r="B129" t="s">
        <v>440</v>
      </c>
      <c r="C129" t="s">
        <v>441</v>
      </c>
      <c r="D129">
        <v>62</v>
      </c>
      <c r="E129" t="s">
        <v>16</v>
      </c>
      <c r="F129" t="s">
        <v>442</v>
      </c>
      <c r="G129" t="s">
        <v>137</v>
      </c>
      <c r="H129" t="s">
        <v>13</v>
      </c>
      <c r="I129" t="s">
        <v>50</v>
      </c>
    </row>
    <row r="130" spans="2:9" x14ac:dyDescent="0.25">
      <c r="B130" t="s">
        <v>443</v>
      </c>
      <c r="C130" t="s">
        <v>444</v>
      </c>
      <c r="D130">
        <v>39</v>
      </c>
      <c r="E130" t="s">
        <v>10</v>
      </c>
      <c r="F130" t="s">
        <v>445</v>
      </c>
      <c r="G130" t="s">
        <v>175</v>
      </c>
      <c r="H130" t="s">
        <v>13</v>
      </c>
      <c r="I130" t="s">
        <v>19</v>
      </c>
    </row>
    <row r="131" spans="2:9" x14ac:dyDescent="0.25">
      <c r="B131" t="s">
        <v>446</v>
      </c>
      <c r="C131" t="s">
        <v>447</v>
      </c>
      <c r="D131">
        <v>45</v>
      </c>
      <c r="E131" t="s">
        <v>10</v>
      </c>
      <c r="F131" t="s">
        <v>448</v>
      </c>
      <c r="G131" t="s">
        <v>295</v>
      </c>
      <c r="H131" t="s">
        <v>13</v>
      </c>
      <c r="I131" t="s">
        <v>33</v>
      </c>
    </row>
    <row r="132" spans="2:9" x14ac:dyDescent="0.25">
      <c r="B132" t="s">
        <v>449</v>
      </c>
      <c r="C132" t="s">
        <v>450</v>
      </c>
      <c r="D132">
        <v>43</v>
      </c>
      <c r="E132" t="s">
        <v>16</v>
      </c>
      <c r="F132" t="s">
        <v>451</v>
      </c>
      <c r="G132" t="s">
        <v>41</v>
      </c>
      <c r="H132" t="s">
        <v>13</v>
      </c>
      <c r="I132" t="s">
        <v>33</v>
      </c>
    </row>
    <row r="133" spans="2:9" x14ac:dyDescent="0.25">
      <c r="B133" t="s">
        <v>452</v>
      </c>
      <c r="C133" t="s">
        <v>453</v>
      </c>
      <c r="D133">
        <v>29</v>
      </c>
      <c r="E133" t="s">
        <v>10</v>
      </c>
      <c r="F133" t="s">
        <v>454</v>
      </c>
      <c r="G133" t="s">
        <v>171</v>
      </c>
      <c r="H133" t="s">
        <v>455</v>
      </c>
      <c r="I133" t="s">
        <v>19</v>
      </c>
    </row>
    <row r="134" spans="2:9" x14ac:dyDescent="0.25">
      <c r="B134" t="s">
        <v>456</v>
      </c>
      <c r="C134" t="s">
        <v>457</v>
      </c>
      <c r="D134">
        <v>34</v>
      </c>
      <c r="E134" t="s">
        <v>16</v>
      </c>
      <c r="F134" t="s">
        <v>458</v>
      </c>
      <c r="G134" t="s">
        <v>23</v>
      </c>
      <c r="H134" t="s">
        <v>13</v>
      </c>
      <c r="I134" t="s">
        <v>28</v>
      </c>
    </row>
    <row r="135" spans="2:9" x14ac:dyDescent="0.25">
      <c r="B135" t="s">
        <v>459</v>
      </c>
      <c r="C135" t="s">
        <v>460</v>
      </c>
      <c r="D135">
        <v>57</v>
      </c>
      <c r="E135" t="s">
        <v>16</v>
      </c>
      <c r="F135" t="s">
        <v>461</v>
      </c>
      <c r="G135" t="s">
        <v>27</v>
      </c>
      <c r="H135" t="s">
        <v>13</v>
      </c>
      <c r="I135" t="s">
        <v>50</v>
      </c>
    </row>
    <row r="136" spans="2:9" x14ac:dyDescent="0.25">
      <c r="B136" t="s">
        <v>462</v>
      </c>
      <c r="C136" t="s">
        <v>463</v>
      </c>
      <c r="D136">
        <v>62</v>
      </c>
      <c r="E136" t="s">
        <v>16</v>
      </c>
      <c r="F136" t="s">
        <v>464</v>
      </c>
      <c r="G136" t="s">
        <v>254</v>
      </c>
      <c r="H136" t="s">
        <v>13</v>
      </c>
      <c r="I136" t="s">
        <v>28</v>
      </c>
    </row>
    <row r="137" spans="2:9" x14ac:dyDescent="0.25">
      <c r="B137" t="s">
        <v>465</v>
      </c>
      <c r="C137" t="s">
        <v>466</v>
      </c>
      <c r="D137">
        <v>54</v>
      </c>
      <c r="E137" t="s">
        <v>10</v>
      </c>
      <c r="F137" t="s">
        <v>467</v>
      </c>
      <c r="G137" t="s">
        <v>77</v>
      </c>
      <c r="H137" t="s">
        <v>13</v>
      </c>
      <c r="I137" t="s">
        <v>50</v>
      </c>
    </row>
    <row r="138" spans="2:9" x14ac:dyDescent="0.25">
      <c r="B138" t="s">
        <v>468</v>
      </c>
      <c r="C138" t="s">
        <v>469</v>
      </c>
      <c r="D138">
        <v>33</v>
      </c>
      <c r="E138" t="s">
        <v>16</v>
      </c>
      <c r="F138" t="s">
        <v>470</v>
      </c>
      <c r="G138" t="s">
        <v>160</v>
      </c>
      <c r="H138" t="s">
        <v>13</v>
      </c>
      <c r="I138" t="s">
        <v>19</v>
      </c>
    </row>
    <row r="139" spans="2:9" x14ac:dyDescent="0.25">
      <c r="B139" t="s">
        <v>471</v>
      </c>
      <c r="C139" t="s">
        <v>472</v>
      </c>
      <c r="D139">
        <v>29</v>
      </c>
      <c r="E139" t="s">
        <v>10</v>
      </c>
      <c r="F139" t="s">
        <v>473</v>
      </c>
      <c r="G139" t="s">
        <v>73</v>
      </c>
      <c r="H139" t="s">
        <v>13</v>
      </c>
      <c r="I139" t="s">
        <v>33</v>
      </c>
    </row>
    <row r="140" spans="2:9" x14ac:dyDescent="0.25">
      <c r="B140" t="s">
        <v>474</v>
      </c>
      <c r="C140" t="s">
        <v>475</v>
      </c>
      <c r="D140">
        <v>55</v>
      </c>
      <c r="E140" t="s">
        <v>16</v>
      </c>
      <c r="F140" t="s">
        <v>476</v>
      </c>
      <c r="G140" t="s">
        <v>27</v>
      </c>
      <c r="H140" t="s">
        <v>13</v>
      </c>
      <c r="I140" t="s">
        <v>19</v>
      </c>
    </row>
    <row r="141" spans="2:9" x14ac:dyDescent="0.25">
      <c r="B141" t="s">
        <v>477</v>
      </c>
      <c r="C141" t="s">
        <v>478</v>
      </c>
      <c r="D141">
        <v>43</v>
      </c>
      <c r="E141" t="s">
        <v>10</v>
      </c>
      <c r="F141" t="s">
        <v>399</v>
      </c>
      <c r="G141" t="s">
        <v>291</v>
      </c>
      <c r="H141" t="s">
        <v>13</v>
      </c>
      <c r="I141" t="s">
        <v>50</v>
      </c>
    </row>
    <row r="142" spans="2:9" x14ac:dyDescent="0.25">
      <c r="B142" t="s">
        <v>479</v>
      </c>
      <c r="C142" t="s">
        <v>480</v>
      </c>
      <c r="D142">
        <v>32</v>
      </c>
      <c r="E142" t="s">
        <v>10</v>
      </c>
      <c r="F142" t="s">
        <v>481</v>
      </c>
      <c r="G142" t="s">
        <v>121</v>
      </c>
      <c r="H142" t="s">
        <v>13</v>
      </c>
      <c r="I142" t="s">
        <v>28</v>
      </c>
    </row>
    <row r="143" spans="2:9" x14ac:dyDescent="0.25">
      <c r="B143" t="s">
        <v>482</v>
      </c>
      <c r="C143" t="s">
        <v>483</v>
      </c>
      <c r="D143">
        <v>63</v>
      </c>
      <c r="E143" t="s">
        <v>16</v>
      </c>
      <c r="F143" t="s">
        <v>484</v>
      </c>
      <c r="G143" t="s">
        <v>54</v>
      </c>
      <c r="H143" t="s">
        <v>13</v>
      </c>
      <c r="I143" t="s">
        <v>50</v>
      </c>
    </row>
    <row r="144" spans="2:9" x14ac:dyDescent="0.25">
      <c r="B144" t="s">
        <v>485</v>
      </c>
      <c r="C144" t="s">
        <v>486</v>
      </c>
      <c r="D144">
        <v>30</v>
      </c>
      <c r="E144" t="s">
        <v>10</v>
      </c>
      <c r="F144" t="s">
        <v>487</v>
      </c>
      <c r="G144" t="s">
        <v>32</v>
      </c>
      <c r="H144" t="s">
        <v>455</v>
      </c>
      <c r="I144" t="s">
        <v>28</v>
      </c>
    </row>
    <row r="145" spans="2:9" x14ac:dyDescent="0.25">
      <c r="B145" t="s">
        <v>488</v>
      </c>
      <c r="C145" t="s">
        <v>489</v>
      </c>
      <c r="D145">
        <v>37</v>
      </c>
      <c r="E145" t="s">
        <v>10</v>
      </c>
      <c r="F145" t="s">
        <v>490</v>
      </c>
      <c r="G145" t="s">
        <v>69</v>
      </c>
      <c r="H145" t="s">
        <v>13</v>
      </c>
      <c r="I145" t="s">
        <v>28</v>
      </c>
    </row>
    <row r="146" spans="2:9" x14ac:dyDescent="0.25">
      <c r="B146" t="s">
        <v>491</v>
      </c>
      <c r="C146" t="s">
        <v>492</v>
      </c>
      <c r="D146">
        <v>46</v>
      </c>
      <c r="E146" t="s">
        <v>10</v>
      </c>
      <c r="F146" t="s">
        <v>493</v>
      </c>
      <c r="G146" t="s">
        <v>23</v>
      </c>
      <c r="H146" t="s">
        <v>13</v>
      </c>
      <c r="I146" t="s">
        <v>28</v>
      </c>
    </row>
    <row r="147" spans="2:9" x14ac:dyDescent="0.25">
      <c r="B147" t="s">
        <v>494</v>
      </c>
      <c r="C147" t="s">
        <v>495</v>
      </c>
      <c r="D147">
        <v>62</v>
      </c>
      <c r="E147" t="s">
        <v>16</v>
      </c>
      <c r="F147" t="s">
        <v>496</v>
      </c>
      <c r="G147" t="s">
        <v>188</v>
      </c>
      <c r="H147" t="s">
        <v>13</v>
      </c>
      <c r="I147" t="s">
        <v>28</v>
      </c>
    </row>
    <row r="148" spans="2:9" x14ac:dyDescent="0.25">
      <c r="B148" t="s">
        <v>497</v>
      </c>
      <c r="C148" t="s">
        <v>498</v>
      </c>
      <c r="D148">
        <v>46</v>
      </c>
      <c r="E148" t="s">
        <v>10</v>
      </c>
      <c r="F148" t="s">
        <v>499</v>
      </c>
      <c r="G148" t="s">
        <v>258</v>
      </c>
      <c r="H148" t="s">
        <v>13</v>
      </c>
      <c r="I148" t="s">
        <v>19</v>
      </c>
    </row>
    <row r="149" spans="2:9" x14ac:dyDescent="0.25">
      <c r="B149" t="s">
        <v>500</v>
      </c>
      <c r="C149" t="s">
        <v>501</v>
      </c>
      <c r="D149">
        <v>32</v>
      </c>
      <c r="E149" t="s">
        <v>16</v>
      </c>
      <c r="F149" t="s">
        <v>502</v>
      </c>
      <c r="G149" t="s">
        <v>321</v>
      </c>
      <c r="H149" t="s">
        <v>13</v>
      </c>
      <c r="I149" t="s">
        <v>50</v>
      </c>
    </row>
    <row r="150" spans="2:9" x14ac:dyDescent="0.25">
      <c r="B150" t="s">
        <v>503</v>
      </c>
      <c r="C150" t="s">
        <v>504</v>
      </c>
      <c r="D150">
        <v>49</v>
      </c>
      <c r="E150" t="s">
        <v>16</v>
      </c>
      <c r="F150" t="s">
        <v>505</v>
      </c>
      <c r="G150" t="s">
        <v>167</v>
      </c>
      <c r="H150" t="s">
        <v>13</v>
      </c>
      <c r="I150" t="s">
        <v>19</v>
      </c>
    </row>
    <row r="151" spans="2:9" x14ac:dyDescent="0.25">
      <c r="B151" t="s">
        <v>506</v>
      </c>
      <c r="C151" t="s">
        <v>507</v>
      </c>
      <c r="D151">
        <v>42</v>
      </c>
      <c r="E151" t="s">
        <v>16</v>
      </c>
      <c r="F151" t="s">
        <v>508</v>
      </c>
      <c r="G151" t="s">
        <v>328</v>
      </c>
      <c r="H151" t="s">
        <v>13</v>
      </c>
      <c r="I151" t="s">
        <v>28</v>
      </c>
    </row>
    <row r="152" spans="2:9" x14ac:dyDescent="0.25">
      <c r="B152" t="s">
        <v>509</v>
      </c>
      <c r="C152" t="s">
        <v>510</v>
      </c>
      <c r="D152">
        <v>33</v>
      </c>
      <c r="E152" t="s">
        <v>10</v>
      </c>
      <c r="F152" t="s">
        <v>511</v>
      </c>
      <c r="G152" t="s">
        <v>254</v>
      </c>
      <c r="H152" t="s">
        <v>13</v>
      </c>
      <c r="I152" t="s">
        <v>19</v>
      </c>
    </row>
    <row r="153" spans="2:9" x14ac:dyDescent="0.25">
      <c r="B153" t="s">
        <v>512</v>
      </c>
      <c r="C153" t="s">
        <v>513</v>
      </c>
      <c r="D153">
        <v>24</v>
      </c>
      <c r="E153" t="s">
        <v>10</v>
      </c>
      <c r="F153" t="s">
        <v>514</v>
      </c>
      <c r="G153" t="s">
        <v>317</v>
      </c>
      <c r="H153" t="s">
        <v>13</v>
      </c>
      <c r="I153" t="s">
        <v>50</v>
      </c>
    </row>
    <row r="154" spans="2:9" x14ac:dyDescent="0.25">
      <c r="B154" t="s">
        <v>515</v>
      </c>
      <c r="C154" t="s">
        <v>516</v>
      </c>
      <c r="D154">
        <v>25</v>
      </c>
      <c r="E154" t="s">
        <v>16</v>
      </c>
      <c r="F154" t="s">
        <v>517</v>
      </c>
      <c r="G154" t="s">
        <v>37</v>
      </c>
      <c r="H154" t="s">
        <v>13</v>
      </c>
      <c r="I154" t="s">
        <v>50</v>
      </c>
    </row>
    <row r="155" spans="2:9" x14ac:dyDescent="0.25">
      <c r="B155" t="s">
        <v>518</v>
      </c>
      <c r="C155" t="s">
        <v>519</v>
      </c>
      <c r="D155">
        <v>41</v>
      </c>
      <c r="E155" t="s">
        <v>16</v>
      </c>
      <c r="F155" t="s">
        <v>520</v>
      </c>
      <c r="G155" t="s">
        <v>117</v>
      </c>
      <c r="H155" t="s">
        <v>13</v>
      </c>
      <c r="I155" t="s">
        <v>19</v>
      </c>
    </row>
    <row r="156" spans="2:9" x14ac:dyDescent="0.25">
      <c r="B156" t="s">
        <v>521</v>
      </c>
      <c r="C156" t="s">
        <v>522</v>
      </c>
      <c r="D156">
        <v>31</v>
      </c>
      <c r="E156" t="s">
        <v>10</v>
      </c>
      <c r="F156" t="s">
        <v>523</v>
      </c>
      <c r="G156" t="s">
        <v>18</v>
      </c>
      <c r="H156" t="s">
        <v>13</v>
      </c>
      <c r="I156" t="s">
        <v>28</v>
      </c>
    </row>
    <row r="157" spans="2:9" x14ac:dyDescent="0.25">
      <c r="B157" t="s">
        <v>524</v>
      </c>
      <c r="C157" t="s">
        <v>525</v>
      </c>
      <c r="D157">
        <v>35</v>
      </c>
      <c r="E157" t="s">
        <v>16</v>
      </c>
      <c r="F157" t="s">
        <v>526</v>
      </c>
      <c r="G157" t="s">
        <v>175</v>
      </c>
      <c r="H157" t="s">
        <v>13</v>
      </c>
      <c r="I157" t="s">
        <v>50</v>
      </c>
    </row>
    <row r="158" spans="2:9" x14ac:dyDescent="0.25">
      <c r="B158" t="s">
        <v>527</v>
      </c>
      <c r="C158" t="s">
        <v>528</v>
      </c>
      <c r="D158">
        <v>60</v>
      </c>
      <c r="E158" t="s">
        <v>16</v>
      </c>
      <c r="F158" t="s">
        <v>529</v>
      </c>
      <c r="G158" t="s">
        <v>271</v>
      </c>
      <c r="H158" t="s">
        <v>13</v>
      </c>
      <c r="I158" t="s">
        <v>50</v>
      </c>
    </row>
    <row r="159" spans="2:9" x14ac:dyDescent="0.25">
      <c r="B159" t="s">
        <v>530</v>
      </c>
      <c r="C159" t="s">
        <v>531</v>
      </c>
      <c r="D159">
        <v>46</v>
      </c>
      <c r="E159" t="s">
        <v>10</v>
      </c>
      <c r="F159" t="s">
        <v>532</v>
      </c>
      <c r="G159" t="s">
        <v>18</v>
      </c>
      <c r="H159" t="s">
        <v>13</v>
      </c>
      <c r="I159" t="s">
        <v>28</v>
      </c>
    </row>
    <row r="160" spans="2:9" x14ac:dyDescent="0.25">
      <c r="B160" t="s">
        <v>533</v>
      </c>
      <c r="C160" t="s">
        <v>534</v>
      </c>
      <c r="D160">
        <v>59</v>
      </c>
      <c r="E160" t="s">
        <v>10</v>
      </c>
      <c r="F160" t="s">
        <v>535</v>
      </c>
      <c r="G160" t="s">
        <v>18</v>
      </c>
      <c r="H160" t="s">
        <v>13</v>
      </c>
      <c r="I160" t="s">
        <v>19</v>
      </c>
    </row>
    <row r="161" spans="2:9" x14ac:dyDescent="0.25">
      <c r="B161" t="s">
        <v>536</v>
      </c>
      <c r="C161" t="s">
        <v>537</v>
      </c>
      <c r="D161">
        <v>43</v>
      </c>
      <c r="E161" t="s">
        <v>10</v>
      </c>
      <c r="F161" t="s">
        <v>538</v>
      </c>
      <c r="G161" t="s">
        <v>175</v>
      </c>
      <c r="H161" t="s">
        <v>13</v>
      </c>
      <c r="I161" t="s">
        <v>28</v>
      </c>
    </row>
    <row r="162" spans="2:9" x14ac:dyDescent="0.25">
      <c r="B162" t="s">
        <v>539</v>
      </c>
      <c r="C162" t="s">
        <v>540</v>
      </c>
      <c r="D162">
        <v>46</v>
      </c>
      <c r="E162" t="s">
        <v>16</v>
      </c>
      <c r="F162" t="s">
        <v>541</v>
      </c>
      <c r="G162" t="s">
        <v>91</v>
      </c>
      <c r="H162" t="s">
        <v>13</v>
      </c>
      <c r="I162" t="s">
        <v>50</v>
      </c>
    </row>
    <row r="163" spans="2:9" x14ac:dyDescent="0.25">
      <c r="B163" t="s">
        <v>542</v>
      </c>
      <c r="C163" t="s">
        <v>543</v>
      </c>
      <c r="D163">
        <v>41</v>
      </c>
      <c r="E163" t="s">
        <v>16</v>
      </c>
      <c r="F163" t="s">
        <v>544</v>
      </c>
      <c r="G163" t="s">
        <v>12</v>
      </c>
      <c r="H163" t="s">
        <v>13</v>
      </c>
      <c r="I163" t="s">
        <v>19</v>
      </c>
    </row>
    <row r="164" spans="2:9" x14ac:dyDescent="0.25">
      <c r="B164" t="s">
        <v>545</v>
      </c>
      <c r="C164" t="s">
        <v>546</v>
      </c>
      <c r="D164">
        <v>18</v>
      </c>
      <c r="E164" t="s">
        <v>16</v>
      </c>
      <c r="F164" t="s">
        <v>547</v>
      </c>
      <c r="G164" t="s">
        <v>137</v>
      </c>
      <c r="H164" t="s">
        <v>13</v>
      </c>
      <c r="I164" t="s">
        <v>33</v>
      </c>
    </row>
    <row r="165" spans="2:9" x14ac:dyDescent="0.25">
      <c r="B165" t="s">
        <v>548</v>
      </c>
      <c r="C165" t="s">
        <v>549</v>
      </c>
      <c r="D165">
        <v>37</v>
      </c>
      <c r="E165" t="s">
        <v>10</v>
      </c>
      <c r="F165" t="s">
        <v>550</v>
      </c>
      <c r="G165" t="s">
        <v>241</v>
      </c>
      <c r="H165" t="s">
        <v>455</v>
      </c>
      <c r="I165" t="s">
        <v>33</v>
      </c>
    </row>
    <row r="166" spans="2:9" x14ac:dyDescent="0.25">
      <c r="B166" t="s">
        <v>551</v>
      </c>
      <c r="C166" t="s">
        <v>552</v>
      </c>
      <c r="D166">
        <v>21</v>
      </c>
      <c r="E166" t="s">
        <v>10</v>
      </c>
      <c r="F166" t="s">
        <v>553</v>
      </c>
      <c r="G166" t="s">
        <v>198</v>
      </c>
      <c r="H166" t="s">
        <v>13</v>
      </c>
      <c r="I166" t="s">
        <v>28</v>
      </c>
    </row>
    <row r="167" spans="2:9" x14ac:dyDescent="0.25">
      <c r="B167" t="s">
        <v>554</v>
      </c>
      <c r="C167" t="s">
        <v>555</v>
      </c>
      <c r="D167">
        <v>39</v>
      </c>
      <c r="E167" t="s">
        <v>16</v>
      </c>
      <c r="F167" t="s">
        <v>556</v>
      </c>
      <c r="G167" t="s">
        <v>84</v>
      </c>
      <c r="H167" t="s">
        <v>13</v>
      </c>
      <c r="I167" t="s">
        <v>33</v>
      </c>
    </row>
    <row r="168" spans="2:9" x14ac:dyDescent="0.25">
      <c r="B168" t="s">
        <v>557</v>
      </c>
      <c r="C168" t="s">
        <v>558</v>
      </c>
      <c r="D168">
        <v>47</v>
      </c>
      <c r="E168" t="s">
        <v>16</v>
      </c>
      <c r="F168" t="s">
        <v>559</v>
      </c>
      <c r="G168" t="s">
        <v>198</v>
      </c>
      <c r="H168" t="s">
        <v>13</v>
      </c>
      <c r="I168" t="s">
        <v>19</v>
      </c>
    </row>
    <row r="169" spans="2:9" x14ac:dyDescent="0.25">
      <c r="B169" t="s">
        <v>560</v>
      </c>
      <c r="C169" t="s">
        <v>561</v>
      </c>
      <c r="D169">
        <v>25</v>
      </c>
      <c r="E169" t="s">
        <v>16</v>
      </c>
      <c r="F169" t="s">
        <v>562</v>
      </c>
      <c r="G169" t="s">
        <v>160</v>
      </c>
      <c r="H169" t="s">
        <v>13</v>
      </c>
      <c r="I169" t="s">
        <v>33</v>
      </c>
    </row>
    <row r="170" spans="2:9" x14ac:dyDescent="0.25">
      <c r="B170" t="s">
        <v>563</v>
      </c>
      <c r="C170" t="s">
        <v>564</v>
      </c>
      <c r="D170">
        <v>36</v>
      </c>
      <c r="E170" t="s">
        <v>16</v>
      </c>
      <c r="F170" t="s">
        <v>565</v>
      </c>
      <c r="G170" t="s">
        <v>241</v>
      </c>
      <c r="H170" t="s">
        <v>13</v>
      </c>
      <c r="I170" t="s">
        <v>50</v>
      </c>
    </row>
    <row r="171" spans="2:9" x14ac:dyDescent="0.25">
      <c r="B171" t="s">
        <v>566</v>
      </c>
      <c r="C171" t="s">
        <v>567</v>
      </c>
      <c r="D171">
        <v>36</v>
      </c>
      <c r="E171" t="s">
        <v>16</v>
      </c>
      <c r="F171" t="s">
        <v>568</v>
      </c>
      <c r="G171" t="s">
        <v>254</v>
      </c>
      <c r="H171" t="s">
        <v>13</v>
      </c>
      <c r="I171" t="s">
        <v>19</v>
      </c>
    </row>
    <row r="172" spans="2:9" x14ac:dyDescent="0.25">
      <c r="B172" t="s">
        <v>569</v>
      </c>
      <c r="C172" t="s">
        <v>570</v>
      </c>
      <c r="D172">
        <v>64</v>
      </c>
      <c r="E172" t="s">
        <v>10</v>
      </c>
      <c r="F172" t="s">
        <v>571</v>
      </c>
      <c r="G172" t="s">
        <v>49</v>
      </c>
      <c r="H172" t="s">
        <v>13</v>
      </c>
      <c r="I172" t="s">
        <v>28</v>
      </c>
    </row>
    <row r="173" spans="2:9" x14ac:dyDescent="0.25">
      <c r="B173" t="s">
        <v>572</v>
      </c>
      <c r="C173" t="s">
        <v>573</v>
      </c>
      <c r="D173">
        <v>18</v>
      </c>
      <c r="E173" t="s">
        <v>10</v>
      </c>
      <c r="F173" t="s">
        <v>574</v>
      </c>
      <c r="G173" t="s">
        <v>117</v>
      </c>
      <c r="H173" t="s">
        <v>13</v>
      </c>
      <c r="I173" t="s">
        <v>50</v>
      </c>
    </row>
    <row r="174" spans="2:9" x14ac:dyDescent="0.25">
      <c r="B174" t="s">
        <v>575</v>
      </c>
      <c r="C174" t="s">
        <v>576</v>
      </c>
      <c r="D174">
        <v>44</v>
      </c>
      <c r="E174" t="s">
        <v>16</v>
      </c>
      <c r="F174" t="s">
        <v>577</v>
      </c>
      <c r="G174" t="s">
        <v>258</v>
      </c>
      <c r="H174" t="s">
        <v>13</v>
      </c>
      <c r="I174" t="s">
        <v>19</v>
      </c>
    </row>
    <row r="175" spans="2:9" x14ac:dyDescent="0.25">
      <c r="B175" t="s">
        <v>578</v>
      </c>
      <c r="C175" t="s">
        <v>579</v>
      </c>
      <c r="D175">
        <v>41</v>
      </c>
      <c r="E175" t="s">
        <v>16</v>
      </c>
      <c r="F175" t="s">
        <v>580</v>
      </c>
      <c r="G175" t="s">
        <v>45</v>
      </c>
      <c r="H175" t="s">
        <v>13</v>
      </c>
      <c r="I175" t="s">
        <v>28</v>
      </c>
    </row>
    <row r="176" spans="2:9" x14ac:dyDescent="0.25">
      <c r="B176" t="s">
        <v>581</v>
      </c>
      <c r="C176" t="s">
        <v>582</v>
      </c>
      <c r="D176">
        <v>41</v>
      </c>
      <c r="E176" t="s">
        <v>16</v>
      </c>
      <c r="F176" t="s">
        <v>402</v>
      </c>
      <c r="G176" t="s">
        <v>271</v>
      </c>
      <c r="H176" t="s">
        <v>583</v>
      </c>
      <c r="I176" t="s">
        <v>19</v>
      </c>
    </row>
    <row r="177" spans="2:9" x14ac:dyDescent="0.25">
      <c r="B177" t="s">
        <v>584</v>
      </c>
      <c r="C177" t="s">
        <v>585</v>
      </c>
      <c r="D177">
        <v>26</v>
      </c>
      <c r="E177" t="s">
        <v>16</v>
      </c>
      <c r="F177" t="s">
        <v>586</v>
      </c>
      <c r="G177" t="s">
        <v>175</v>
      </c>
      <c r="H177" t="s">
        <v>13</v>
      </c>
      <c r="I177" t="s">
        <v>50</v>
      </c>
    </row>
    <row r="178" spans="2:9" x14ac:dyDescent="0.25">
      <c r="B178" t="s">
        <v>587</v>
      </c>
      <c r="C178" t="s">
        <v>588</v>
      </c>
      <c r="D178">
        <v>56</v>
      </c>
      <c r="E178" t="s">
        <v>10</v>
      </c>
      <c r="F178" t="s">
        <v>589</v>
      </c>
      <c r="G178" t="s">
        <v>103</v>
      </c>
      <c r="H178" t="s">
        <v>13</v>
      </c>
      <c r="I178" t="s">
        <v>19</v>
      </c>
    </row>
    <row r="179" spans="2:9" x14ac:dyDescent="0.25">
      <c r="B179" t="s">
        <v>590</v>
      </c>
      <c r="C179" t="s">
        <v>591</v>
      </c>
      <c r="D179">
        <v>48</v>
      </c>
      <c r="E179" t="s">
        <v>10</v>
      </c>
      <c r="F179" t="s">
        <v>592</v>
      </c>
      <c r="G179" t="s">
        <v>175</v>
      </c>
      <c r="H179" t="s">
        <v>13</v>
      </c>
      <c r="I179" t="s">
        <v>33</v>
      </c>
    </row>
    <row r="180" spans="2:9" x14ac:dyDescent="0.25">
      <c r="B180" t="s">
        <v>593</v>
      </c>
      <c r="C180" t="s">
        <v>594</v>
      </c>
      <c r="D180">
        <v>55</v>
      </c>
      <c r="E180" t="s">
        <v>10</v>
      </c>
      <c r="F180" t="s">
        <v>595</v>
      </c>
      <c r="G180" t="s">
        <v>596</v>
      </c>
      <c r="H180" t="s">
        <v>13</v>
      </c>
      <c r="I180" t="s">
        <v>19</v>
      </c>
    </row>
    <row r="181" spans="2:9" x14ac:dyDescent="0.25">
      <c r="B181" t="s">
        <v>597</v>
      </c>
      <c r="C181" t="s">
        <v>598</v>
      </c>
      <c r="D181">
        <v>33</v>
      </c>
      <c r="E181" t="s">
        <v>16</v>
      </c>
      <c r="F181" t="s">
        <v>599</v>
      </c>
      <c r="G181" t="s">
        <v>321</v>
      </c>
      <c r="H181" t="s">
        <v>13</v>
      </c>
      <c r="I181" t="s">
        <v>28</v>
      </c>
    </row>
    <row r="182" spans="2:9" x14ac:dyDescent="0.25">
      <c r="B182" t="s">
        <v>600</v>
      </c>
      <c r="C182" t="s">
        <v>601</v>
      </c>
      <c r="D182">
        <v>43</v>
      </c>
      <c r="E182" t="s">
        <v>16</v>
      </c>
      <c r="F182" t="s">
        <v>602</v>
      </c>
      <c r="G182" t="s">
        <v>121</v>
      </c>
      <c r="H182" t="s">
        <v>13</v>
      </c>
      <c r="I182" t="s">
        <v>33</v>
      </c>
    </row>
    <row r="183" spans="2:9" x14ac:dyDescent="0.25">
      <c r="B183" t="s">
        <v>603</v>
      </c>
      <c r="C183" t="s">
        <v>604</v>
      </c>
      <c r="D183">
        <v>38</v>
      </c>
      <c r="E183" t="s">
        <v>10</v>
      </c>
      <c r="F183" t="s">
        <v>605</v>
      </c>
      <c r="G183" t="s">
        <v>439</v>
      </c>
      <c r="H183" t="s">
        <v>13</v>
      </c>
      <c r="I183" t="s">
        <v>28</v>
      </c>
    </row>
    <row r="184" spans="2:9" x14ac:dyDescent="0.25">
      <c r="B184" t="s">
        <v>606</v>
      </c>
      <c r="C184" t="s">
        <v>607</v>
      </c>
      <c r="D184">
        <v>60</v>
      </c>
      <c r="E184" t="s">
        <v>10</v>
      </c>
      <c r="F184" t="s">
        <v>608</v>
      </c>
      <c r="G184" t="s">
        <v>61</v>
      </c>
      <c r="H184" t="s">
        <v>13</v>
      </c>
      <c r="I184" t="s">
        <v>28</v>
      </c>
    </row>
    <row r="185" spans="2:9" x14ac:dyDescent="0.25">
      <c r="B185" t="s">
        <v>609</v>
      </c>
      <c r="C185" t="s">
        <v>610</v>
      </c>
      <c r="D185">
        <v>23</v>
      </c>
      <c r="E185" t="s">
        <v>16</v>
      </c>
      <c r="F185" t="s">
        <v>611</v>
      </c>
      <c r="G185" t="s">
        <v>99</v>
      </c>
      <c r="H185" t="s">
        <v>13</v>
      </c>
      <c r="I185" t="s">
        <v>33</v>
      </c>
    </row>
    <row r="186" spans="2:9" x14ac:dyDescent="0.25">
      <c r="B186" t="s">
        <v>612</v>
      </c>
      <c r="C186" t="s">
        <v>613</v>
      </c>
      <c r="D186">
        <v>18</v>
      </c>
      <c r="E186" t="s">
        <v>10</v>
      </c>
      <c r="F186" t="s">
        <v>614</v>
      </c>
      <c r="G186" t="s">
        <v>61</v>
      </c>
      <c r="H186" t="s">
        <v>13</v>
      </c>
      <c r="I186" t="s">
        <v>19</v>
      </c>
    </row>
    <row r="187" spans="2:9" x14ac:dyDescent="0.25">
      <c r="B187" t="s">
        <v>615</v>
      </c>
      <c r="C187" t="s">
        <v>616</v>
      </c>
      <c r="D187">
        <v>46</v>
      </c>
      <c r="E187" t="s">
        <v>16</v>
      </c>
      <c r="F187" t="s">
        <v>617</v>
      </c>
      <c r="G187" t="s">
        <v>18</v>
      </c>
      <c r="H187" t="s">
        <v>13</v>
      </c>
      <c r="I187" t="s">
        <v>33</v>
      </c>
    </row>
    <row r="188" spans="2:9" x14ac:dyDescent="0.25">
      <c r="B188" t="s">
        <v>618</v>
      </c>
      <c r="C188" t="s">
        <v>619</v>
      </c>
      <c r="D188">
        <v>54</v>
      </c>
      <c r="E188" t="s">
        <v>16</v>
      </c>
      <c r="F188" t="s">
        <v>620</v>
      </c>
      <c r="G188" t="s">
        <v>91</v>
      </c>
      <c r="H188" t="s">
        <v>13</v>
      </c>
      <c r="I188" t="s">
        <v>19</v>
      </c>
    </row>
    <row r="189" spans="2:9" x14ac:dyDescent="0.25">
      <c r="B189" t="s">
        <v>621</v>
      </c>
      <c r="C189" t="s">
        <v>622</v>
      </c>
      <c r="D189">
        <v>53</v>
      </c>
      <c r="E189" t="s">
        <v>10</v>
      </c>
      <c r="F189" t="s">
        <v>623</v>
      </c>
      <c r="G189" t="s">
        <v>117</v>
      </c>
      <c r="H189" t="s">
        <v>13</v>
      </c>
      <c r="I189" t="s">
        <v>33</v>
      </c>
    </row>
    <row r="190" spans="2:9" x14ac:dyDescent="0.25">
      <c r="B190" t="s">
        <v>624</v>
      </c>
      <c r="C190" t="s">
        <v>625</v>
      </c>
      <c r="D190">
        <v>60</v>
      </c>
      <c r="E190" t="s">
        <v>16</v>
      </c>
      <c r="F190" t="s">
        <v>626</v>
      </c>
      <c r="G190" t="s">
        <v>23</v>
      </c>
      <c r="H190" t="s">
        <v>13</v>
      </c>
      <c r="I190" t="s">
        <v>19</v>
      </c>
    </row>
    <row r="191" spans="2:9" x14ac:dyDescent="0.25">
      <c r="B191" t="s">
        <v>627</v>
      </c>
      <c r="C191" t="s">
        <v>628</v>
      </c>
      <c r="D191">
        <v>42</v>
      </c>
      <c r="E191" t="s">
        <v>10</v>
      </c>
      <c r="F191" t="s">
        <v>629</v>
      </c>
      <c r="G191" t="s">
        <v>237</v>
      </c>
      <c r="H191" t="s">
        <v>13</v>
      </c>
      <c r="I191" t="s">
        <v>33</v>
      </c>
    </row>
    <row r="192" spans="2:9" x14ac:dyDescent="0.25">
      <c r="B192" t="s">
        <v>630</v>
      </c>
      <c r="C192" t="s">
        <v>631</v>
      </c>
      <c r="D192">
        <v>29</v>
      </c>
      <c r="E192" t="s">
        <v>10</v>
      </c>
      <c r="F192" t="s">
        <v>632</v>
      </c>
      <c r="G192" t="s">
        <v>596</v>
      </c>
      <c r="H192" t="s">
        <v>13</v>
      </c>
      <c r="I192" t="s">
        <v>50</v>
      </c>
    </row>
    <row r="193" spans="2:9" x14ac:dyDescent="0.25">
      <c r="B193" t="s">
        <v>633</v>
      </c>
      <c r="C193" t="s">
        <v>634</v>
      </c>
      <c r="D193">
        <v>21</v>
      </c>
      <c r="E193" t="s">
        <v>10</v>
      </c>
      <c r="F193" t="s">
        <v>635</v>
      </c>
      <c r="G193" t="s">
        <v>61</v>
      </c>
      <c r="H193" t="s">
        <v>13</v>
      </c>
      <c r="I193" t="s">
        <v>28</v>
      </c>
    </row>
    <row r="194" spans="2:9" x14ac:dyDescent="0.25">
      <c r="B194" t="s">
        <v>636</v>
      </c>
      <c r="C194" t="s">
        <v>637</v>
      </c>
      <c r="D194">
        <v>29</v>
      </c>
      <c r="E194" t="s">
        <v>16</v>
      </c>
      <c r="F194" t="s">
        <v>638</v>
      </c>
      <c r="G194" t="s">
        <v>27</v>
      </c>
      <c r="H194" t="s">
        <v>13</v>
      </c>
      <c r="I194" t="s">
        <v>28</v>
      </c>
    </row>
    <row r="195" spans="2:9" x14ac:dyDescent="0.25">
      <c r="B195" t="s">
        <v>639</v>
      </c>
      <c r="C195" t="s">
        <v>640</v>
      </c>
      <c r="D195">
        <v>26</v>
      </c>
      <c r="E195" t="s">
        <v>10</v>
      </c>
      <c r="F195" t="s">
        <v>641</v>
      </c>
      <c r="G195" t="s">
        <v>110</v>
      </c>
      <c r="H195" t="s">
        <v>13</v>
      </c>
      <c r="I195" t="s">
        <v>50</v>
      </c>
    </row>
    <row r="196" spans="2:9" x14ac:dyDescent="0.25">
      <c r="B196" t="s">
        <v>642</v>
      </c>
      <c r="C196" t="s">
        <v>643</v>
      </c>
      <c r="D196">
        <v>38</v>
      </c>
      <c r="E196" t="s">
        <v>10</v>
      </c>
      <c r="F196" t="s">
        <v>644</v>
      </c>
      <c r="G196" t="s">
        <v>84</v>
      </c>
      <c r="H196" t="s">
        <v>13</v>
      </c>
      <c r="I196" t="s">
        <v>50</v>
      </c>
    </row>
    <row r="197" spans="2:9" x14ac:dyDescent="0.25">
      <c r="B197" t="s">
        <v>645</v>
      </c>
      <c r="C197" t="s">
        <v>646</v>
      </c>
      <c r="D197">
        <v>46</v>
      </c>
      <c r="E197" t="s">
        <v>10</v>
      </c>
      <c r="F197" t="s">
        <v>647</v>
      </c>
      <c r="G197" t="s">
        <v>54</v>
      </c>
      <c r="H197" t="s">
        <v>13</v>
      </c>
      <c r="I197" t="s">
        <v>50</v>
      </c>
    </row>
    <row r="198" spans="2:9" x14ac:dyDescent="0.25">
      <c r="B198" t="s">
        <v>648</v>
      </c>
      <c r="C198" t="s">
        <v>649</v>
      </c>
      <c r="D198">
        <v>60</v>
      </c>
      <c r="E198" t="s">
        <v>10</v>
      </c>
      <c r="F198" t="s">
        <v>650</v>
      </c>
      <c r="G198" t="s">
        <v>137</v>
      </c>
      <c r="H198" t="s">
        <v>13</v>
      </c>
      <c r="I198" t="s">
        <v>33</v>
      </c>
    </row>
    <row r="199" spans="2:9" x14ac:dyDescent="0.25">
      <c r="B199" t="s">
        <v>651</v>
      </c>
      <c r="C199" t="s">
        <v>652</v>
      </c>
      <c r="D199">
        <v>18</v>
      </c>
      <c r="E199" t="s">
        <v>16</v>
      </c>
      <c r="F199" t="s">
        <v>653</v>
      </c>
      <c r="G199" t="s">
        <v>167</v>
      </c>
      <c r="H199" t="s">
        <v>13</v>
      </c>
      <c r="I199" t="s">
        <v>19</v>
      </c>
    </row>
    <row r="200" spans="2:9" x14ac:dyDescent="0.25">
      <c r="B200" t="s">
        <v>654</v>
      </c>
      <c r="C200" t="s">
        <v>655</v>
      </c>
      <c r="D200">
        <v>45</v>
      </c>
      <c r="E200" t="s">
        <v>16</v>
      </c>
      <c r="F200" t="s">
        <v>211</v>
      </c>
      <c r="G200" t="s">
        <v>205</v>
      </c>
      <c r="H200" t="s">
        <v>13</v>
      </c>
      <c r="I200" t="s">
        <v>19</v>
      </c>
    </row>
    <row r="201" spans="2:9" x14ac:dyDescent="0.25">
      <c r="B201" t="s">
        <v>656</v>
      </c>
      <c r="C201" t="s">
        <v>657</v>
      </c>
      <c r="D201">
        <v>54</v>
      </c>
      <c r="E201" t="s">
        <v>10</v>
      </c>
      <c r="F201" t="s">
        <v>658</v>
      </c>
      <c r="G201" t="s">
        <v>175</v>
      </c>
      <c r="H201" t="s">
        <v>13</v>
      </c>
      <c r="I201" t="s">
        <v>28</v>
      </c>
    </row>
    <row r="202" spans="2:9" x14ac:dyDescent="0.25">
      <c r="B202" t="s">
        <v>659</v>
      </c>
      <c r="C202" t="s">
        <v>660</v>
      </c>
      <c r="D202">
        <v>46</v>
      </c>
      <c r="E202" t="s">
        <v>10</v>
      </c>
      <c r="F202" t="s">
        <v>661</v>
      </c>
      <c r="G202" t="s">
        <v>241</v>
      </c>
      <c r="H202" t="s">
        <v>13</v>
      </c>
      <c r="I202" t="s">
        <v>28</v>
      </c>
    </row>
    <row r="203" spans="2:9" x14ac:dyDescent="0.25">
      <c r="B203" t="s">
        <v>662</v>
      </c>
      <c r="C203" t="s">
        <v>663</v>
      </c>
      <c r="D203">
        <v>30</v>
      </c>
      <c r="E203" t="s">
        <v>10</v>
      </c>
      <c r="F203" t="s">
        <v>664</v>
      </c>
      <c r="G203" t="s">
        <v>439</v>
      </c>
      <c r="H203" t="s">
        <v>13</v>
      </c>
      <c r="I203" t="s">
        <v>19</v>
      </c>
    </row>
    <row r="204" spans="2:9" x14ac:dyDescent="0.25">
      <c r="B204" t="s">
        <v>665</v>
      </c>
      <c r="C204" t="s">
        <v>666</v>
      </c>
      <c r="D204">
        <v>25</v>
      </c>
      <c r="E204" t="s">
        <v>16</v>
      </c>
      <c r="F204" t="s">
        <v>667</v>
      </c>
      <c r="G204" t="s">
        <v>160</v>
      </c>
      <c r="H204" t="s">
        <v>13</v>
      </c>
      <c r="I204" t="s">
        <v>28</v>
      </c>
    </row>
    <row r="205" spans="2:9" x14ac:dyDescent="0.25">
      <c r="B205" t="s">
        <v>668</v>
      </c>
      <c r="C205" t="s">
        <v>669</v>
      </c>
      <c r="D205">
        <v>37</v>
      </c>
      <c r="E205" t="s">
        <v>16</v>
      </c>
      <c r="F205" t="s">
        <v>670</v>
      </c>
      <c r="G205" t="s">
        <v>65</v>
      </c>
      <c r="H205" t="s">
        <v>13</v>
      </c>
      <c r="I205" t="s">
        <v>19</v>
      </c>
    </row>
    <row r="206" spans="2:9" x14ac:dyDescent="0.25">
      <c r="B206" t="s">
        <v>671</v>
      </c>
      <c r="C206" t="s">
        <v>672</v>
      </c>
      <c r="D206">
        <v>47</v>
      </c>
      <c r="E206" t="s">
        <v>10</v>
      </c>
      <c r="F206" t="s">
        <v>673</v>
      </c>
      <c r="G206" t="s">
        <v>271</v>
      </c>
      <c r="H206" t="s">
        <v>13</v>
      </c>
      <c r="I206" t="s">
        <v>19</v>
      </c>
    </row>
    <row r="207" spans="2:9" x14ac:dyDescent="0.25">
      <c r="B207" t="s">
        <v>674</v>
      </c>
      <c r="C207" t="s">
        <v>675</v>
      </c>
      <c r="D207">
        <v>52</v>
      </c>
      <c r="E207" t="s">
        <v>10</v>
      </c>
      <c r="F207" t="s">
        <v>676</v>
      </c>
      <c r="G207" t="s">
        <v>291</v>
      </c>
      <c r="H207" t="s">
        <v>13</v>
      </c>
      <c r="I207" t="s">
        <v>19</v>
      </c>
    </row>
    <row r="208" spans="2:9" x14ac:dyDescent="0.25">
      <c r="B208" t="s">
        <v>677</v>
      </c>
      <c r="C208" t="s">
        <v>678</v>
      </c>
      <c r="D208">
        <v>44</v>
      </c>
      <c r="E208" t="s">
        <v>16</v>
      </c>
      <c r="F208" t="s">
        <v>679</v>
      </c>
      <c r="G208" t="s">
        <v>91</v>
      </c>
      <c r="H208" t="s">
        <v>13</v>
      </c>
      <c r="I208" t="s">
        <v>50</v>
      </c>
    </row>
    <row r="209" spans="2:9" x14ac:dyDescent="0.25">
      <c r="B209" t="s">
        <v>680</v>
      </c>
      <c r="C209" t="s">
        <v>681</v>
      </c>
      <c r="D209">
        <v>26</v>
      </c>
      <c r="E209" t="s">
        <v>16</v>
      </c>
      <c r="F209" t="s">
        <v>682</v>
      </c>
      <c r="G209" t="s">
        <v>241</v>
      </c>
      <c r="H209" t="s">
        <v>13</v>
      </c>
      <c r="I209" t="s">
        <v>33</v>
      </c>
    </row>
    <row r="210" spans="2:9" x14ac:dyDescent="0.25">
      <c r="B210" t="s">
        <v>683</v>
      </c>
      <c r="C210" t="s">
        <v>684</v>
      </c>
      <c r="D210">
        <v>28</v>
      </c>
      <c r="E210" t="s">
        <v>16</v>
      </c>
      <c r="F210" t="s">
        <v>685</v>
      </c>
      <c r="G210" t="s">
        <v>91</v>
      </c>
      <c r="H210" t="s">
        <v>13</v>
      </c>
      <c r="I210" t="s">
        <v>28</v>
      </c>
    </row>
    <row r="211" spans="2:9" x14ac:dyDescent="0.25">
      <c r="B211" t="s">
        <v>686</v>
      </c>
      <c r="C211" t="s">
        <v>687</v>
      </c>
      <c r="D211">
        <v>54</v>
      </c>
      <c r="E211" t="s">
        <v>10</v>
      </c>
      <c r="F211" t="s">
        <v>688</v>
      </c>
      <c r="G211" t="s">
        <v>332</v>
      </c>
      <c r="H211" t="s">
        <v>13</v>
      </c>
      <c r="I211" t="s">
        <v>19</v>
      </c>
    </row>
    <row r="212" spans="2:9" x14ac:dyDescent="0.25">
      <c r="B212" t="s">
        <v>689</v>
      </c>
      <c r="C212" t="s">
        <v>690</v>
      </c>
      <c r="D212">
        <v>50</v>
      </c>
      <c r="E212" t="s">
        <v>16</v>
      </c>
      <c r="F212" t="s">
        <v>691</v>
      </c>
      <c r="G212" t="s">
        <v>439</v>
      </c>
      <c r="H212" t="s">
        <v>13</v>
      </c>
      <c r="I212" t="s">
        <v>19</v>
      </c>
    </row>
    <row r="213" spans="2:9" x14ac:dyDescent="0.25">
      <c r="B213" t="s">
        <v>692</v>
      </c>
      <c r="C213" t="s">
        <v>693</v>
      </c>
      <c r="D213">
        <v>48</v>
      </c>
      <c r="E213" t="s">
        <v>10</v>
      </c>
      <c r="F213" t="s">
        <v>694</v>
      </c>
      <c r="G213" t="s">
        <v>84</v>
      </c>
      <c r="H213" t="s">
        <v>13</v>
      </c>
      <c r="I213" t="s">
        <v>33</v>
      </c>
    </row>
    <row r="214" spans="2:9" x14ac:dyDescent="0.25">
      <c r="B214" t="s">
        <v>695</v>
      </c>
      <c r="C214" t="s">
        <v>696</v>
      </c>
      <c r="D214">
        <v>20</v>
      </c>
      <c r="E214" t="s">
        <v>16</v>
      </c>
      <c r="F214" t="s">
        <v>697</v>
      </c>
      <c r="G214" t="s">
        <v>95</v>
      </c>
      <c r="H214" t="s">
        <v>13</v>
      </c>
      <c r="I214" t="s">
        <v>33</v>
      </c>
    </row>
    <row r="215" spans="2:9" x14ac:dyDescent="0.25">
      <c r="B215" t="s">
        <v>698</v>
      </c>
      <c r="C215" t="s">
        <v>699</v>
      </c>
      <c r="D215">
        <v>63</v>
      </c>
      <c r="E215" t="s">
        <v>16</v>
      </c>
      <c r="F215" t="s">
        <v>700</v>
      </c>
      <c r="G215" t="s">
        <v>77</v>
      </c>
      <c r="H215" t="s">
        <v>13</v>
      </c>
      <c r="I215" t="s">
        <v>19</v>
      </c>
    </row>
    <row r="216" spans="2:9" x14ac:dyDescent="0.25">
      <c r="B216" t="s">
        <v>701</v>
      </c>
      <c r="C216" t="s">
        <v>702</v>
      </c>
      <c r="D216">
        <v>42</v>
      </c>
      <c r="E216" t="s">
        <v>16</v>
      </c>
      <c r="F216" t="s">
        <v>703</v>
      </c>
      <c r="G216" t="s">
        <v>18</v>
      </c>
      <c r="H216" t="s">
        <v>13</v>
      </c>
      <c r="I216" t="s">
        <v>19</v>
      </c>
    </row>
    <row r="217" spans="2:9" x14ac:dyDescent="0.25">
      <c r="B217" t="s">
        <v>704</v>
      </c>
      <c r="C217" t="s">
        <v>705</v>
      </c>
      <c r="D217">
        <v>61</v>
      </c>
      <c r="E217" t="s">
        <v>10</v>
      </c>
      <c r="F217" t="s">
        <v>706</v>
      </c>
      <c r="G217" t="s">
        <v>69</v>
      </c>
      <c r="H217" t="s">
        <v>13</v>
      </c>
      <c r="I217" t="s">
        <v>50</v>
      </c>
    </row>
    <row r="218" spans="2:9" x14ac:dyDescent="0.25">
      <c r="B218" t="s">
        <v>707</v>
      </c>
      <c r="C218" t="s">
        <v>708</v>
      </c>
      <c r="D218">
        <v>50</v>
      </c>
      <c r="E218" t="s">
        <v>16</v>
      </c>
      <c r="F218" t="s">
        <v>709</v>
      </c>
      <c r="G218" t="s">
        <v>37</v>
      </c>
      <c r="H218" t="s">
        <v>13</v>
      </c>
      <c r="I218" t="s">
        <v>50</v>
      </c>
    </row>
    <row r="219" spans="2:9" x14ac:dyDescent="0.25">
      <c r="B219" t="s">
        <v>710</v>
      </c>
      <c r="C219" t="s">
        <v>711</v>
      </c>
      <c r="D219">
        <v>44</v>
      </c>
      <c r="E219" t="s">
        <v>10</v>
      </c>
      <c r="F219" t="s">
        <v>712</v>
      </c>
      <c r="G219" t="s">
        <v>32</v>
      </c>
      <c r="H219" t="s">
        <v>13</v>
      </c>
      <c r="I219" t="s">
        <v>19</v>
      </c>
    </row>
    <row r="220" spans="2:9" x14ac:dyDescent="0.25">
      <c r="B220" t="s">
        <v>713</v>
      </c>
      <c r="C220" t="s">
        <v>714</v>
      </c>
      <c r="D220">
        <v>42</v>
      </c>
      <c r="E220" t="s">
        <v>10</v>
      </c>
      <c r="F220" t="s">
        <v>715</v>
      </c>
      <c r="G220" t="s">
        <v>117</v>
      </c>
      <c r="H220" t="s">
        <v>13</v>
      </c>
      <c r="I220" t="s">
        <v>33</v>
      </c>
    </row>
    <row r="221" spans="2:9" x14ac:dyDescent="0.25">
      <c r="B221" t="s">
        <v>716</v>
      </c>
      <c r="C221" t="s">
        <v>717</v>
      </c>
      <c r="D221">
        <v>46</v>
      </c>
      <c r="E221" t="s">
        <v>10</v>
      </c>
      <c r="F221" t="s">
        <v>718</v>
      </c>
      <c r="G221" t="s">
        <v>32</v>
      </c>
      <c r="H221" t="s">
        <v>13</v>
      </c>
      <c r="I221" t="s">
        <v>19</v>
      </c>
    </row>
    <row r="222" spans="2:9" x14ac:dyDescent="0.25">
      <c r="B222" t="s">
        <v>719</v>
      </c>
      <c r="C222" t="s">
        <v>720</v>
      </c>
      <c r="D222">
        <v>47</v>
      </c>
      <c r="E222" t="s">
        <v>16</v>
      </c>
      <c r="F222" t="s">
        <v>721</v>
      </c>
      <c r="G222" t="s">
        <v>91</v>
      </c>
      <c r="H222" t="s">
        <v>13</v>
      </c>
      <c r="I222" t="s">
        <v>50</v>
      </c>
    </row>
    <row r="223" spans="2:9" x14ac:dyDescent="0.25">
      <c r="B223" t="s">
        <v>722</v>
      </c>
      <c r="C223" t="s">
        <v>723</v>
      </c>
      <c r="D223">
        <v>50</v>
      </c>
      <c r="E223" t="s">
        <v>16</v>
      </c>
      <c r="F223" t="s">
        <v>724</v>
      </c>
      <c r="G223" t="s">
        <v>725</v>
      </c>
      <c r="H223" t="s">
        <v>583</v>
      </c>
      <c r="I223" t="s">
        <v>28</v>
      </c>
    </row>
    <row r="224" spans="2:9" x14ac:dyDescent="0.25">
      <c r="B224" t="s">
        <v>726</v>
      </c>
      <c r="C224" t="s">
        <v>727</v>
      </c>
      <c r="D224">
        <v>38</v>
      </c>
      <c r="E224" t="s">
        <v>10</v>
      </c>
      <c r="F224" t="s">
        <v>728</v>
      </c>
      <c r="G224" t="s">
        <v>84</v>
      </c>
      <c r="H224" t="s">
        <v>13</v>
      </c>
      <c r="I224" t="s">
        <v>19</v>
      </c>
    </row>
    <row r="225" spans="2:9" x14ac:dyDescent="0.25">
      <c r="B225" t="s">
        <v>729</v>
      </c>
      <c r="C225" t="s">
        <v>730</v>
      </c>
      <c r="D225">
        <v>35</v>
      </c>
      <c r="E225" t="s">
        <v>10</v>
      </c>
      <c r="F225" t="s">
        <v>731</v>
      </c>
      <c r="G225" t="s">
        <v>237</v>
      </c>
      <c r="H225" t="s">
        <v>13</v>
      </c>
      <c r="I225" t="s">
        <v>19</v>
      </c>
    </row>
    <row r="226" spans="2:9" x14ac:dyDescent="0.25">
      <c r="B226" t="s">
        <v>732</v>
      </c>
      <c r="C226" t="s">
        <v>733</v>
      </c>
      <c r="D226">
        <v>50</v>
      </c>
      <c r="E226" t="s">
        <v>10</v>
      </c>
      <c r="F226" t="s">
        <v>734</v>
      </c>
      <c r="G226" t="s">
        <v>271</v>
      </c>
      <c r="H226" t="s">
        <v>13</v>
      </c>
      <c r="I226" t="s">
        <v>19</v>
      </c>
    </row>
    <row r="227" spans="2:9" x14ac:dyDescent="0.25">
      <c r="B227" t="s">
        <v>735</v>
      </c>
      <c r="C227" t="s">
        <v>736</v>
      </c>
      <c r="D227">
        <v>29</v>
      </c>
      <c r="E227" t="s">
        <v>10</v>
      </c>
      <c r="F227" t="s">
        <v>737</v>
      </c>
      <c r="G227" t="s">
        <v>117</v>
      </c>
      <c r="H227" t="s">
        <v>13</v>
      </c>
      <c r="I227" t="s">
        <v>33</v>
      </c>
    </row>
    <row r="228" spans="2:9" x14ac:dyDescent="0.25">
      <c r="B228" t="s">
        <v>738</v>
      </c>
      <c r="C228" t="s">
        <v>739</v>
      </c>
      <c r="D228">
        <v>46</v>
      </c>
      <c r="E228" t="s">
        <v>16</v>
      </c>
      <c r="F228" t="s">
        <v>740</v>
      </c>
      <c r="G228" t="s">
        <v>121</v>
      </c>
      <c r="H228" t="s">
        <v>13</v>
      </c>
      <c r="I228" t="s">
        <v>19</v>
      </c>
    </row>
    <row r="229" spans="2:9" x14ac:dyDescent="0.25">
      <c r="B229" t="s">
        <v>741</v>
      </c>
      <c r="C229" t="s">
        <v>742</v>
      </c>
      <c r="D229">
        <v>54</v>
      </c>
      <c r="E229" t="s">
        <v>10</v>
      </c>
      <c r="F229" t="s">
        <v>220</v>
      </c>
      <c r="G229" t="s">
        <v>167</v>
      </c>
      <c r="H229" t="s">
        <v>13</v>
      </c>
      <c r="I229" t="s">
        <v>50</v>
      </c>
    </row>
    <row r="230" spans="2:9" x14ac:dyDescent="0.25">
      <c r="B230" t="s">
        <v>743</v>
      </c>
      <c r="C230" t="s">
        <v>744</v>
      </c>
      <c r="D230">
        <v>63</v>
      </c>
      <c r="E230" t="s">
        <v>16</v>
      </c>
      <c r="F230" t="s">
        <v>745</v>
      </c>
      <c r="G230" t="s">
        <v>65</v>
      </c>
      <c r="H230" t="s">
        <v>13</v>
      </c>
      <c r="I230" t="s">
        <v>50</v>
      </c>
    </row>
    <row r="231" spans="2:9" x14ac:dyDescent="0.25">
      <c r="B231" t="s">
        <v>746</v>
      </c>
      <c r="C231" t="s">
        <v>747</v>
      </c>
      <c r="D231">
        <v>52</v>
      </c>
      <c r="E231" t="s">
        <v>16</v>
      </c>
      <c r="F231" t="s">
        <v>399</v>
      </c>
      <c r="G231" t="s">
        <v>121</v>
      </c>
      <c r="H231" t="s">
        <v>13</v>
      </c>
      <c r="I231" t="s">
        <v>50</v>
      </c>
    </row>
    <row r="232" spans="2:9" x14ac:dyDescent="0.25">
      <c r="B232" t="s">
        <v>748</v>
      </c>
      <c r="C232" t="s">
        <v>749</v>
      </c>
      <c r="D232">
        <v>32</v>
      </c>
      <c r="E232" t="s">
        <v>16</v>
      </c>
      <c r="F232" t="s">
        <v>750</v>
      </c>
      <c r="G232" t="s">
        <v>144</v>
      </c>
      <c r="H232" t="s">
        <v>13</v>
      </c>
      <c r="I232" t="s">
        <v>28</v>
      </c>
    </row>
    <row r="233" spans="2:9" x14ac:dyDescent="0.25">
      <c r="B233" t="s">
        <v>751</v>
      </c>
      <c r="C233" t="s">
        <v>752</v>
      </c>
      <c r="D233">
        <v>29</v>
      </c>
      <c r="E233" t="s">
        <v>10</v>
      </c>
      <c r="F233" t="s">
        <v>753</v>
      </c>
      <c r="G233" t="s">
        <v>254</v>
      </c>
      <c r="H233" t="s">
        <v>13</v>
      </c>
      <c r="I233" t="s">
        <v>28</v>
      </c>
    </row>
    <row r="234" spans="2:9" x14ac:dyDescent="0.25">
      <c r="B234" t="s">
        <v>754</v>
      </c>
      <c r="C234" t="s">
        <v>755</v>
      </c>
      <c r="D234">
        <v>22</v>
      </c>
      <c r="E234" t="s">
        <v>16</v>
      </c>
      <c r="F234" t="s">
        <v>756</v>
      </c>
      <c r="G234" t="s">
        <v>321</v>
      </c>
      <c r="H234" t="s">
        <v>13</v>
      </c>
      <c r="I234" t="s">
        <v>28</v>
      </c>
    </row>
    <row r="235" spans="2:9" x14ac:dyDescent="0.25">
      <c r="B235" t="s">
        <v>757</v>
      </c>
      <c r="C235" t="s">
        <v>758</v>
      </c>
      <c r="D235">
        <v>27</v>
      </c>
      <c r="E235" t="s">
        <v>16</v>
      </c>
      <c r="F235" t="s">
        <v>759</v>
      </c>
      <c r="G235" t="s">
        <v>91</v>
      </c>
      <c r="H235" t="s">
        <v>13</v>
      </c>
      <c r="I235" t="s">
        <v>19</v>
      </c>
    </row>
    <row r="236" spans="2:9" x14ac:dyDescent="0.25">
      <c r="B236" t="s">
        <v>760</v>
      </c>
      <c r="C236" t="s">
        <v>761</v>
      </c>
      <c r="D236">
        <v>59</v>
      </c>
      <c r="E236" t="s">
        <v>10</v>
      </c>
      <c r="F236" t="s">
        <v>762</v>
      </c>
      <c r="G236" t="s">
        <v>45</v>
      </c>
      <c r="H236" t="s">
        <v>13</v>
      </c>
      <c r="I236" t="s">
        <v>33</v>
      </c>
    </row>
    <row r="237" spans="2:9" x14ac:dyDescent="0.25">
      <c r="B237" t="s">
        <v>763</v>
      </c>
      <c r="C237" t="s">
        <v>764</v>
      </c>
      <c r="D237">
        <v>43</v>
      </c>
      <c r="E237" t="s">
        <v>16</v>
      </c>
      <c r="F237" t="s">
        <v>765</v>
      </c>
      <c r="G237" t="s">
        <v>65</v>
      </c>
      <c r="H237" t="s">
        <v>13</v>
      </c>
      <c r="I237" t="s">
        <v>50</v>
      </c>
    </row>
    <row r="238" spans="2:9" x14ac:dyDescent="0.25">
      <c r="B238" t="s">
        <v>766</v>
      </c>
      <c r="C238" t="s">
        <v>767</v>
      </c>
      <c r="D238">
        <v>28</v>
      </c>
      <c r="E238" t="s">
        <v>16</v>
      </c>
      <c r="F238" t="s">
        <v>768</v>
      </c>
      <c r="G238" t="s">
        <v>95</v>
      </c>
      <c r="H238" t="s">
        <v>13</v>
      </c>
      <c r="I238" t="s">
        <v>28</v>
      </c>
    </row>
    <row r="239" spans="2:9" x14ac:dyDescent="0.25">
      <c r="B239" t="s">
        <v>769</v>
      </c>
      <c r="C239" t="s">
        <v>770</v>
      </c>
      <c r="D239">
        <v>42</v>
      </c>
      <c r="E239" t="s">
        <v>16</v>
      </c>
      <c r="F239" t="s">
        <v>771</v>
      </c>
      <c r="G239" t="s">
        <v>291</v>
      </c>
      <c r="H239" t="s">
        <v>13</v>
      </c>
      <c r="I239" t="s">
        <v>28</v>
      </c>
    </row>
    <row r="240" spans="2:9" x14ac:dyDescent="0.25">
      <c r="B240" t="s">
        <v>772</v>
      </c>
      <c r="C240" t="s">
        <v>773</v>
      </c>
      <c r="D240">
        <v>41</v>
      </c>
      <c r="E240" t="s">
        <v>16</v>
      </c>
      <c r="F240" t="s">
        <v>774</v>
      </c>
      <c r="G240" t="s">
        <v>69</v>
      </c>
      <c r="H240" t="s">
        <v>13</v>
      </c>
      <c r="I240" t="s">
        <v>50</v>
      </c>
    </row>
    <row r="241" spans="2:9" x14ac:dyDescent="0.25">
      <c r="B241" t="s">
        <v>775</v>
      </c>
      <c r="C241" t="s">
        <v>776</v>
      </c>
      <c r="D241">
        <v>40</v>
      </c>
      <c r="E241" t="s">
        <v>10</v>
      </c>
      <c r="F241" t="s">
        <v>777</v>
      </c>
      <c r="G241" t="s">
        <v>45</v>
      </c>
      <c r="H241" t="s">
        <v>13</v>
      </c>
      <c r="I241" t="s">
        <v>19</v>
      </c>
    </row>
    <row r="242" spans="2:9" x14ac:dyDescent="0.25">
      <c r="B242" t="s">
        <v>778</v>
      </c>
      <c r="C242" t="s">
        <v>779</v>
      </c>
      <c r="D242">
        <v>58</v>
      </c>
      <c r="E242" t="s">
        <v>16</v>
      </c>
      <c r="F242" t="s">
        <v>780</v>
      </c>
      <c r="G242" t="s">
        <v>188</v>
      </c>
      <c r="H242" t="s">
        <v>13</v>
      </c>
      <c r="I242" t="s">
        <v>19</v>
      </c>
    </row>
    <row r="243" spans="2:9" x14ac:dyDescent="0.25">
      <c r="B243" t="s">
        <v>781</v>
      </c>
      <c r="C243" t="s">
        <v>782</v>
      </c>
      <c r="D243">
        <v>59</v>
      </c>
      <c r="E243" t="s">
        <v>16</v>
      </c>
      <c r="F243" t="s">
        <v>783</v>
      </c>
      <c r="G243" t="s">
        <v>160</v>
      </c>
      <c r="H243" t="s">
        <v>13</v>
      </c>
      <c r="I243" t="s">
        <v>19</v>
      </c>
    </row>
    <row r="244" spans="2:9" x14ac:dyDescent="0.25">
      <c r="B244" t="s">
        <v>784</v>
      </c>
      <c r="C244" t="s">
        <v>785</v>
      </c>
      <c r="D244">
        <v>31</v>
      </c>
      <c r="E244" t="s">
        <v>10</v>
      </c>
      <c r="F244" t="s">
        <v>786</v>
      </c>
      <c r="G244" t="s">
        <v>291</v>
      </c>
      <c r="H244" t="s">
        <v>13</v>
      </c>
      <c r="I244" t="s">
        <v>19</v>
      </c>
    </row>
    <row r="245" spans="2:9" x14ac:dyDescent="0.25">
      <c r="B245" t="s">
        <v>787</v>
      </c>
      <c r="C245" t="s">
        <v>788</v>
      </c>
      <c r="D245">
        <v>58</v>
      </c>
      <c r="E245" t="s">
        <v>16</v>
      </c>
      <c r="F245" t="s">
        <v>789</v>
      </c>
      <c r="G245" t="s">
        <v>171</v>
      </c>
      <c r="H245" t="s">
        <v>13</v>
      </c>
      <c r="I245" t="s">
        <v>33</v>
      </c>
    </row>
    <row r="246" spans="2:9" x14ac:dyDescent="0.25">
      <c r="B246" t="s">
        <v>790</v>
      </c>
      <c r="C246" t="s">
        <v>791</v>
      </c>
      <c r="D246">
        <v>56</v>
      </c>
      <c r="E246" t="s">
        <v>16</v>
      </c>
      <c r="F246" t="s">
        <v>792</v>
      </c>
      <c r="G246" t="s">
        <v>363</v>
      </c>
      <c r="H246" t="s">
        <v>13</v>
      </c>
      <c r="I246" t="s">
        <v>50</v>
      </c>
    </row>
    <row r="247" spans="2:9" x14ac:dyDescent="0.25">
      <c r="B247" t="s">
        <v>793</v>
      </c>
      <c r="C247" t="s">
        <v>794</v>
      </c>
      <c r="D247">
        <v>19</v>
      </c>
      <c r="E247" t="s">
        <v>10</v>
      </c>
      <c r="F247" t="s">
        <v>795</v>
      </c>
      <c r="G247" t="s">
        <v>121</v>
      </c>
      <c r="H247" t="s">
        <v>13</v>
      </c>
      <c r="I247" t="s">
        <v>28</v>
      </c>
    </row>
    <row r="248" spans="2:9" x14ac:dyDescent="0.25">
      <c r="B248" t="s">
        <v>796</v>
      </c>
      <c r="C248" t="s">
        <v>797</v>
      </c>
      <c r="D248">
        <v>57</v>
      </c>
      <c r="E248" t="s">
        <v>16</v>
      </c>
      <c r="F248" t="s">
        <v>798</v>
      </c>
      <c r="G248" t="s">
        <v>160</v>
      </c>
      <c r="H248" t="s">
        <v>13</v>
      </c>
      <c r="I248" t="s">
        <v>19</v>
      </c>
    </row>
    <row r="249" spans="2:9" x14ac:dyDescent="0.25">
      <c r="B249" t="s">
        <v>799</v>
      </c>
      <c r="C249" t="s">
        <v>800</v>
      </c>
      <c r="D249">
        <v>58</v>
      </c>
      <c r="E249" t="s">
        <v>10</v>
      </c>
      <c r="F249" t="s">
        <v>801</v>
      </c>
      <c r="G249" t="s">
        <v>295</v>
      </c>
      <c r="H249" t="s">
        <v>13</v>
      </c>
      <c r="I249" t="s">
        <v>28</v>
      </c>
    </row>
    <row r="250" spans="2:9" x14ac:dyDescent="0.25">
      <c r="B250" t="s">
        <v>802</v>
      </c>
      <c r="C250" t="s">
        <v>803</v>
      </c>
      <c r="D250">
        <v>32</v>
      </c>
      <c r="E250" t="s">
        <v>10</v>
      </c>
      <c r="F250" t="s">
        <v>804</v>
      </c>
      <c r="G250" t="s">
        <v>49</v>
      </c>
      <c r="H250" t="s">
        <v>13</v>
      </c>
      <c r="I250" t="s">
        <v>19</v>
      </c>
    </row>
    <row r="251" spans="2:9" x14ac:dyDescent="0.25">
      <c r="B251" t="s">
        <v>805</v>
      </c>
      <c r="C251" t="s">
        <v>806</v>
      </c>
      <c r="D251">
        <v>19</v>
      </c>
      <c r="E251" t="s">
        <v>10</v>
      </c>
      <c r="F251" t="s">
        <v>807</v>
      </c>
      <c r="G251" t="s">
        <v>188</v>
      </c>
      <c r="H251" t="s">
        <v>13</v>
      </c>
      <c r="I251" t="s">
        <v>50</v>
      </c>
    </row>
    <row r="252" spans="2:9" x14ac:dyDescent="0.25">
      <c r="B252" t="s">
        <v>808</v>
      </c>
      <c r="C252" t="s">
        <v>809</v>
      </c>
      <c r="D252">
        <v>41</v>
      </c>
      <c r="E252" t="s">
        <v>16</v>
      </c>
      <c r="F252" t="s">
        <v>810</v>
      </c>
      <c r="G252" t="s">
        <v>61</v>
      </c>
      <c r="H252" t="s">
        <v>13</v>
      </c>
      <c r="I252" t="s">
        <v>50</v>
      </c>
    </row>
    <row r="253" spans="2:9" x14ac:dyDescent="0.25">
      <c r="B253" t="s">
        <v>811</v>
      </c>
      <c r="C253" t="s">
        <v>812</v>
      </c>
      <c r="D253">
        <v>48</v>
      </c>
      <c r="E253" t="s">
        <v>10</v>
      </c>
      <c r="F253" t="s">
        <v>813</v>
      </c>
      <c r="G253" t="s">
        <v>95</v>
      </c>
      <c r="H253" t="s">
        <v>13</v>
      </c>
      <c r="I253" t="s">
        <v>19</v>
      </c>
    </row>
    <row r="254" spans="2:9" x14ac:dyDescent="0.25">
      <c r="B254" t="s">
        <v>814</v>
      </c>
      <c r="C254" t="s">
        <v>815</v>
      </c>
      <c r="D254">
        <v>64</v>
      </c>
      <c r="E254" t="s">
        <v>10</v>
      </c>
      <c r="F254" t="s">
        <v>816</v>
      </c>
      <c r="G254" t="s">
        <v>23</v>
      </c>
      <c r="H254" t="s">
        <v>13</v>
      </c>
      <c r="I254" t="s">
        <v>33</v>
      </c>
    </row>
    <row r="255" spans="2:9" x14ac:dyDescent="0.25">
      <c r="B255" t="s">
        <v>817</v>
      </c>
      <c r="C255" t="s">
        <v>818</v>
      </c>
      <c r="D255">
        <v>26</v>
      </c>
      <c r="E255" t="s">
        <v>10</v>
      </c>
      <c r="F255" t="s">
        <v>819</v>
      </c>
      <c r="G255" t="s">
        <v>41</v>
      </c>
      <c r="H255" t="s">
        <v>13</v>
      </c>
      <c r="I255" t="s">
        <v>33</v>
      </c>
    </row>
    <row r="256" spans="2:9" x14ac:dyDescent="0.25">
      <c r="B256" t="s">
        <v>820</v>
      </c>
      <c r="C256" t="s">
        <v>821</v>
      </c>
      <c r="D256">
        <v>32</v>
      </c>
      <c r="E256" t="s">
        <v>10</v>
      </c>
      <c r="F256" t="s">
        <v>822</v>
      </c>
      <c r="G256" t="s">
        <v>328</v>
      </c>
      <c r="H256" t="s">
        <v>13</v>
      </c>
      <c r="I256" t="s">
        <v>28</v>
      </c>
    </row>
    <row r="257" spans="2:9" x14ac:dyDescent="0.25">
      <c r="B257" t="s">
        <v>823</v>
      </c>
      <c r="C257" t="s">
        <v>824</v>
      </c>
      <c r="D257">
        <v>34</v>
      </c>
      <c r="E257" t="s">
        <v>10</v>
      </c>
      <c r="F257" t="s">
        <v>825</v>
      </c>
      <c r="G257" t="s">
        <v>167</v>
      </c>
      <c r="H257" t="s">
        <v>13</v>
      </c>
      <c r="I257" t="s">
        <v>33</v>
      </c>
    </row>
    <row r="258" spans="2:9" x14ac:dyDescent="0.25">
      <c r="B258" t="s">
        <v>826</v>
      </c>
      <c r="C258" t="s">
        <v>827</v>
      </c>
      <c r="D258">
        <v>21</v>
      </c>
      <c r="E258" t="s">
        <v>10</v>
      </c>
      <c r="F258" t="s">
        <v>828</v>
      </c>
      <c r="G258" t="s">
        <v>27</v>
      </c>
      <c r="H258" t="s">
        <v>13</v>
      </c>
      <c r="I258" t="s">
        <v>50</v>
      </c>
    </row>
    <row r="259" spans="2:9" x14ac:dyDescent="0.25">
      <c r="B259" t="s">
        <v>829</v>
      </c>
      <c r="C259" t="s">
        <v>830</v>
      </c>
      <c r="D259">
        <v>57</v>
      </c>
      <c r="E259" t="s">
        <v>10</v>
      </c>
      <c r="F259" t="s">
        <v>831</v>
      </c>
      <c r="G259" t="s">
        <v>295</v>
      </c>
      <c r="H259" t="s">
        <v>13</v>
      </c>
      <c r="I259" t="s">
        <v>19</v>
      </c>
    </row>
    <row r="260" spans="2:9" x14ac:dyDescent="0.25">
      <c r="B260" t="s">
        <v>832</v>
      </c>
      <c r="C260" t="s">
        <v>833</v>
      </c>
      <c r="D260">
        <v>42</v>
      </c>
      <c r="E260" t="s">
        <v>10</v>
      </c>
      <c r="F260" t="s">
        <v>834</v>
      </c>
      <c r="G260" t="s">
        <v>725</v>
      </c>
      <c r="H260" t="s">
        <v>13</v>
      </c>
      <c r="I260" t="s">
        <v>33</v>
      </c>
    </row>
    <row r="261" spans="2:9" x14ac:dyDescent="0.25">
      <c r="B261" t="s">
        <v>835</v>
      </c>
      <c r="C261" t="s">
        <v>836</v>
      </c>
      <c r="D261">
        <v>24</v>
      </c>
      <c r="E261" t="s">
        <v>16</v>
      </c>
      <c r="F261" t="s">
        <v>837</v>
      </c>
      <c r="G261" t="s">
        <v>363</v>
      </c>
      <c r="H261" t="s">
        <v>13</v>
      </c>
      <c r="I261" t="s">
        <v>19</v>
      </c>
    </row>
    <row r="262" spans="2:9" x14ac:dyDescent="0.25">
      <c r="B262" t="s">
        <v>838</v>
      </c>
      <c r="C262" t="s">
        <v>839</v>
      </c>
      <c r="D262">
        <v>32</v>
      </c>
      <c r="E262" t="s">
        <v>16</v>
      </c>
      <c r="F262" t="s">
        <v>840</v>
      </c>
      <c r="G262" t="s">
        <v>99</v>
      </c>
      <c r="H262" t="s">
        <v>13</v>
      </c>
      <c r="I262" t="s">
        <v>33</v>
      </c>
    </row>
    <row r="263" spans="2:9" x14ac:dyDescent="0.25">
      <c r="B263" t="s">
        <v>841</v>
      </c>
      <c r="C263" t="s">
        <v>842</v>
      </c>
      <c r="D263">
        <v>63</v>
      </c>
      <c r="E263" t="s">
        <v>16</v>
      </c>
      <c r="F263" t="s">
        <v>843</v>
      </c>
      <c r="G263" t="s">
        <v>137</v>
      </c>
      <c r="H263" t="s">
        <v>13</v>
      </c>
      <c r="I263" t="s">
        <v>19</v>
      </c>
    </row>
    <row r="264" spans="2:9" x14ac:dyDescent="0.25">
      <c r="B264" t="s">
        <v>844</v>
      </c>
      <c r="C264" t="s">
        <v>845</v>
      </c>
      <c r="D264">
        <v>27</v>
      </c>
      <c r="E264" t="s">
        <v>16</v>
      </c>
      <c r="F264" t="s">
        <v>846</v>
      </c>
      <c r="G264" t="s">
        <v>37</v>
      </c>
      <c r="H264" t="s">
        <v>13</v>
      </c>
      <c r="I264" t="s">
        <v>33</v>
      </c>
    </row>
    <row r="265" spans="2:9" x14ac:dyDescent="0.25">
      <c r="B265" t="s">
        <v>847</v>
      </c>
      <c r="C265" t="s">
        <v>848</v>
      </c>
      <c r="D265">
        <v>60</v>
      </c>
      <c r="E265" t="s">
        <v>16</v>
      </c>
      <c r="F265" t="s">
        <v>849</v>
      </c>
      <c r="G265" t="s">
        <v>69</v>
      </c>
      <c r="H265" t="s">
        <v>13</v>
      </c>
      <c r="I265" t="s">
        <v>33</v>
      </c>
    </row>
    <row r="266" spans="2:9" x14ac:dyDescent="0.25">
      <c r="B266" t="s">
        <v>850</v>
      </c>
      <c r="C266" t="s">
        <v>851</v>
      </c>
      <c r="D266">
        <v>50</v>
      </c>
      <c r="E266" t="s">
        <v>10</v>
      </c>
      <c r="F266" t="s">
        <v>852</v>
      </c>
      <c r="G266" t="s">
        <v>332</v>
      </c>
      <c r="H266" t="s">
        <v>13</v>
      </c>
      <c r="I266" t="s">
        <v>28</v>
      </c>
    </row>
    <row r="267" spans="2:9" x14ac:dyDescent="0.25">
      <c r="B267" t="s">
        <v>853</v>
      </c>
      <c r="C267" t="s">
        <v>854</v>
      </c>
      <c r="D267">
        <v>25</v>
      </c>
      <c r="E267" t="s">
        <v>10</v>
      </c>
      <c r="F267" t="s">
        <v>855</v>
      </c>
      <c r="G267" t="s">
        <v>856</v>
      </c>
      <c r="H267" t="s">
        <v>13</v>
      </c>
      <c r="I267" t="s">
        <v>50</v>
      </c>
    </row>
    <row r="268" spans="2:9" x14ac:dyDescent="0.25">
      <c r="B268" t="s">
        <v>857</v>
      </c>
      <c r="C268" t="s">
        <v>858</v>
      </c>
      <c r="D268">
        <v>38</v>
      </c>
      <c r="E268" t="s">
        <v>10</v>
      </c>
      <c r="F268" t="s">
        <v>859</v>
      </c>
      <c r="G268" t="s">
        <v>241</v>
      </c>
      <c r="H268" t="s">
        <v>13</v>
      </c>
      <c r="I268" t="s">
        <v>33</v>
      </c>
    </row>
    <row r="269" spans="2:9" x14ac:dyDescent="0.25">
      <c r="B269" t="s">
        <v>860</v>
      </c>
      <c r="C269" t="s">
        <v>861</v>
      </c>
      <c r="D269">
        <v>32</v>
      </c>
      <c r="E269" t="s">
        <v>16</v>
      </c>
      <c r="F269" t="s">
        <v>862</v>
      </c>
      <c r="G269" t="s">
        <v>596</v>
      </c>
      <c r="H269" t="s">
        <v>13</v>
      </c>
      <c r="I269" t="s">
        <v>28</v>
      </c>
    </row>
    <row r="270" spans="2:9" x14ac:dyDescent="0.25">
      <c r="B270" t="s">
        <v>863</v>
      </c>
      <c r="C270" t="s">
        <v>864</v>
      </c>
      <c r="D270">
        <v>18</v>
      </c>
      <c r="E270" t="s">
        <v>10</v>
      </c>
      <c r="F270" t="s">
        <v>792</v>
      </c>
      <c r="G270" t="s">
        <v>69</v>
      </c>
      <c r="H270" t="s">
        <v>13</v>
      </c>
      <c r="I270" t="s">
        <v>28</v>
      </c>
    </row>
    <row r="271" spans="2:9" x14ac:dyDescent="0.25">
      <c r="B271" t="s">
        <v>865</v>
      </c>
      <c r="C271" t="s">
        <v>866</v>
      </c>
      <c r="D271">
        <v>53</v>
      </c>
      <c r="E271" t="s">
        <v>16</v>
      </c>
      <c r="F271" t="s">
        <v>867</v>
      </c>
      <c r="G271" t="s">
        <v>205</v>
      </c>
      <c r="H271" t="s">
        <v>13</v>
      </c>
      <c r="I271" t="s">
        <v>28</v>
      </c>
    </row>
    <row r="272" spans="2:9" x14ac:dyDescent="0.25">
      <c r="B272" t="s">
        <v>868</v>
      </c>
      <c r="C272" t="s">
        <v>869</v>
      </c>
      <c r="D272">
        <v>45</v>
      </c>
      <c r="E272" t="s">
        <v>16</v>
      </c>
      <c r="F272" t="s">
        <v>870</v>
      </c>
      <c r="G272" t="s">
        <v>32</v>
      </c>
      <c r="H272" t="s">
        <v>13</v>
      </c>
      <c r="I272" t="s">
        <v>33</v>
      </c>
    </row>
    <row r="273" spans="2:9" x14ac:dyDescent="0.25">
      <c r="B273" t="s">
        <v>871</v>
      </c>
      <c r="C273" t="s">
        <v>872</v>
      </c>
      <c r="D273">
        <v>31</v>
      </c>
      <c r="E273" t="s">
        <v>16</v>
      </c>
      <c r="F273" t="s">
        <v>873</v>
      </c>
      <c r="G273" t="s">
        <v>332</v>
      </c>
      <c r="H273" t="s">
        <v>13</v>
      </c>
      <c r="I273" t="s">
        <v>50</v>
      </c>
    </row>
    <row r="274" spans="2:9" x14ac:dyDescent="0.25">
      <c r="B274" t="s">
        <v>874</v>
      </c>
      <c r="C274" t="s">
        <v>875</v>
      </c>
      <c r="D274">
        <v>64</v>
      </c>
      <c r="E274" t="s">
        <v>10</v>
      </c>
      <c r="F274" t="s">
        <v>876</v>
      </c>
      <c r="G274" t="s">
        <v>73</v>
      </c>
      <c r="H274" t="s">
        <v>13</v>
      </c>
      <c r="I274" t="s">
        <v>19</v>
      </c>
    </row>
    <row r="275" spans="2:9" x14ac:dyDescent="0.25">
      <c r="B275" t="s">
        <v>877</v>
      </c>
      <c r="C275" t="s">
        <v>878</v>
      </c>
      <c r="D275">
        <v>48</v>
      </c>
      <c r="E275" t="s">
        <v>16</v>
      </c>
      <c r="F275" t="s">
        <v>879</v>
      </c>
      <c r="G275" t="s">
        <v>32</v>
      </c>
      <c r="H275" t="s">
        <v>13</v>
      </c>
      <c r="I275" t="s">
        <v>50</v>
      </c>
    </row>
    <row r="276" spans="2:9" x14ac:dyDescent="0.25">
      <c r="B276" t="s">
        <v>880</v>
      </c>
      <c r="C276" t="s">
        <v>881</v>
      </c>
      <c r="D276">
        <v>23</v>
      </c>
      <c r="E276" t="s">
        <v>10</v>
      </c>
      <c r="F276" t="s">
        <v>882</v>
      </c>
      <c r="G276" t="s">
        <v>317</v>
      </c>
      <c r="H276" t="s">
        <v>13</v>
      </c>
      <c r="I276" t="s">
        <v>28</v>
      </c>
    </row>
    <row r="277" spans="2:9" x14ac:dyDescent="0.25">
      <c r="B277" t="s">
        <v>883</v>
      </c>
      <c r="C277" t="s">
        <v>884</v>
      </c>
      <c r="D277">
        <v>38</v>
      </c>
      <c r="E277" t="s">
        <v>10</v>
      </c>
      <c r="F277" t="s">
        <v>885</v>
      </c>
      <c r="G277" t="s">
        <v>175</v>
      </c>
      <c r="H277" t="s">
        <v>13</v>
      </c>
      <c r="I277" t="s">
        <v>33</v>
      </c>
    </row>
    <row r="278" spans="2:9" x14ac:dyDescent="0.25">
      <c r="B278" t="s">
        <v>886</v>
      </c>
      <c r="C278" t="s">
        <v>887</v>
      </c>
      <c r="D278">
        <v>22</v>
      </c>
      <c r="E278" t="s">
        <v>10</v>
      </c>
      <c r="F278" t="s">
        <v>888</v>
      </c>
      <c r="G278" t="s">
        <v>596</v>
      </c>
      <c r="H278" t="s">
        <v>13</v>
      </c>
      <c r="I278" t="s">
        <v>50</v>
      </c>
    </row>
    <row r="279" spans="2:9" x14ac:dyDescent="0.25">
      <c r="B279" t="s">
        <v>889</v>
      </c>
      <c r="C279" t="s">
        <v>890</v>
      </c>
      <c r="D279">
        <v>38</v>
      </c>
      <c r="E279" t="s">
        <v>10</v>
      </c>
      <c r="F279" t="s">
        <v>891</v>
      </c>
      <c r="G279" t="s">
        <v>188</v>
      </c>
      <c r="H279" t="s">
        <v>13</v>
      </c>
      <c r="I279" t="s">
        <v>50</v>
      </c>
    </row>
    <row r="280" spans="2:9" x14ac:dyDescent="0.25">
      <c r="B280" t="s">
        <v>892</v>
      </c>
      <c r="C280" t="s">
        <v>893</v>
      </c>
      <c r="D280">
        <v>22</v>
      </c>
      <c r="E280" t="s">
        <v>16</v>
      </c>
      <c r="F280" t="s">
        <v>894</v>
      </c>
      <c r="G280" t="s">
        <v>278</v>
      </c>
      <c r="H280" t="s">
        <v>13</v>
      </c>
      <c r="I280" t="s">
        <v>19</v>
      </c>
    </row>
    <row r="281" spans="2:9" x14ac:dyDescent="0.25">
      <c r="B281" t="s">
        <v>895</v>
      </c>
      <c r="C281" t="s">
        <v>896</v>
      </c>
      <c r="D281">
        <v>42</v>
      </c>
      <c r="E281" t="s">
        <v>16</v>
      </c>
      <c r="F281" t="s">
        <v>897</v>
      </c>
      <c r="G281" t="s">
        <v>221</v>
      </c>
      <c r="H281" t="s">
        <v>13</v>
      </c>
      <c r="I281" t="s">
        <v>19</v>
      </c>
    </row>
    <row r="282" spans="2:9" x14ac:dyDescent="0.25">
      <c r="B282" t="s">
        <v>898</v>
      </c>
      <c r="C282" t="s">
        <v>899</v>
      </c>
      <c r="D282">
        <v>21</v>
      </c>
      <c r="E282" t="s">
        <v>16</v>
      </c>
      <c r="F282" t="s">
        <v>900</v>
      </c>
      <c r="G282" t="s">
        <v>27</v>
      </c>
      <c r="H282" t="s">
        <v>13</v>
      </c>
      <c r="I282" t="s">
        <v>28</v>
      </c>
    </row>
    <row r="283" spans="2:9" x14ac:dyDescent="0.25">
      <c r="B283" t="s">
        <v>901</v>
      </c>
      <c r="C283" t="s">
        <v>902</v>
      </c>
      <c r="D283">
        <v>48</v>
      </c>
      <c r="E283" t="s">
        <v>10</v>
      </c>
      <c r="F283" t="s">
        <v>903</v>
      </c>
      <c r="G283" t="s">
        <v>103</v>
      </c>
      <c r="H283" t="s">
        <v>13</v>
      </c>
      <c r="I283" t="s">
        <v>28</v>
      </c>
    </row>
    <row r="284" spans="2:9" x14ac:dyDescent="0.25">
      <c r="B284" t="s">
        <v>904</v>
      </c>
      <c r="C284" t="s">
        <v>905</v>
      </c>
      <c r="D284">
        <v>59</v>
      </c>
      <c r="E284" t="s">
        <v>10</v>
      </c>
      <c r="F284" t="s">
        <v>906</v>
      </c>
      <c r="G284" t="s">
        <v>171</v>
      </c>
      <c r="H284" t="s">
        <v>13</v>
      </c>
      <c r="I284" t="s">
        <v>19</v>
      </c>
    </row>
    <row r="285" spans="2:9" x14ac:dyDescent="0.25">
      <c r="B285" t="s">
        <v>907</v>
      </c>
      <c r="C285" t="s">
        <v>908</v>
      </c>
      <c r="D285">
        <v>46</v>
      </c>
      <c r="E285" t="s">
        <v>16</v>
      </c>
      <c r="F285" t="s">
        <v>909</v>
      </c>
      <c r="G285" t="s">
        <v>91</v>
      </c>
      <c r="H285" t="s">
        <v>13</v>
      </c>
      <c r="I285" t="s">
        <v>50</v>
      </c>
    </row>
    <row r="286" spans="2:9" x14ac:dyDescent="0.25">
      <c r="B286" t="s">
        <v>910</v>
      </c>
      <c r="C286" t="s">
        <v>911</v>
      </c>
      <c r="D286">
        <v>54</v>
      </c>
      <c r="E286" t="s">
        <v>16</v>
      </c>
      <c r="F286" t="s">
        <v>912</v>
      </c>
      <c r="G286" t="s">
        <v>856</v>
      </c>
      <c r="H286" t="s">
        <v>13</v>
      </c>
      <c r="I286" t="s">
        <v>33</v>
      </c>
    </row>
    <row r="287" spans="2:9" x14ac:dyDescent="0.25">
      <c r="B287" t="s">
        <v>913</v>
      </c>
      <c r="C287" t="s">
        <v>914</v>
      </c>
      <c r="D287">
        <v>54</v>
      </c>
      <c r="E287" t="s">
        <v>10</v>
      </c>
      <c r="F287" t="s">
        <v>915</v>
      </c>
      <c r="G287" t="s">
        <v>171</v>
      </c>
      <c r="H287" t="s">
        <v>13</v>
      </c>
      <c r="I287" t="s">
        <v>50</v>
      </c>
    </row>
    <row r="288" spans="2:9" x14ac:dyDescent="0.25">
      <c r="B288" t="s">
        <v>916</v>
      </c>
      <c r="C288" t="s">
        <v>917</v>
      </c>
      <c r="D288">
        <v>46</v>
      </c>
      <c r="E288" t="s">
        <v>16</v>
      </c>
      <c r="F288" t="s">
        <v>918</v>
      </c>
      <c r="G288" t="s">
        <v>725</v>
      </c>
      <c r="H288" t="s">
        <v>13</v>
      </c>
      <c r="I288" t="s">
        <v>33</v>
      </c>
    </row>
    <row r="289" spans="2:9" x14ac:dyDescent="0.25">
      <c r="B289" t="s">
        <v>919</v>
      </c>
      <c r="C289" t="s">
        <v>920</v>
      </c>
      <c r="D289">
        <v>22</v>
      </c>
      <c r="E289" t="s">
        <v>10</v>
      </c>
      <c r="F289" t="s">
        <v>921</v>
      </c>
      <c r="G289" t="s">
        <v>41</v>
      </c>
      <c r="H289" t="s">
        <v>13</v>
      </c>
      <c r="I289" t="s">
        <v>33</v>
      </c>
    </row>
    <row r="290" spans="2:9" x14ac:dyDescent="0.25">
      <c r="B290" t="s">
        <v>922</v>
      </c>
      <c r="C290" t="s">
        <v>923</v>
      </c>
      <c r="D290">
        <v>22</v>
      </c>
      <c r="E290" t="s">
        <v>16</v>
      </c>
      <c r="F290" t="s">
        <v>924</v>
      </c>
      <c r="G290" t="s">
        <v>175</v>
      </c>
      <c r="H290" t="s">
        <v>13</v>
      </c>
      <c r="I290" t="s">
        <v>50</v>
      </c>
    </row>
    <row r="291" spans="2:9" x14ac:dyDescent="0.25">
      <c r="B291" t="s">
        <v>925</v>
      </c>
      <c r="C291" t="s">
        <v>926</v>
      </c>
      <c r="D291">
        <v>58</v>
      </c>
      <c r="E291" t="s">
        <v>10</v>
      </c>
      <c r="F291" t="s">
        <v>927</v>
      </c>
      <c r="G291" t="s">
        <v>171</v>
      </c>
      <c r="H291" t="s">
        <v>13</v>
      </c>
      <c r="I291" t="s">
        <v>50</v>
      </c>
    </row>
    <row r="292" spans="2:9" x14ac:dyDescent="0.25">
      <c r="B292" t="s">
        <v>928</v>
      </c>
      <c r="C292" t="s">
        <v>929</v>
      </c>
      <c r="D292">
        <v>45</v>
      </c>
      <c r="E292" t="s">
        <v>10</v>
      </c>
      <c r="F292" t="s">
        <v>930</v>
      </c>
      <c r="G292" t="s">
        <v>27</v>
      </c>
      <c r="H292" t="s">
        <v>13</v>
      </c>
      <c r="I292" t="s">
        <v>28</v>
      </c>
    </row>
    <row r="293" spans="2:9" x14ac:dyDescent="0.25">
      <c r="B293" t="s">
        <v>931</v>
      </c>
      <c r="C293" t="s">
        <v>932</v>
      </c>
      <c r="D293">
        <v>52</v>
      </c>
      <c r="E293" t="s">
        <v>16</v>
      </c>
      <c r="F293" t="s">
        <v>933</v>
      </c>
      <c r="G293" t="s">
        <v>291</v>
      </c>
      <c r="H293" t="s">
        <v>13</v>
      </c>
      <c r="I293" t="s">
        <v>33</v>
      </c>
    </row>
    <row r="294" spans="2:9" x14ac:dyDescent="0.25">
      <c r="B294" t="s">
        <v>934</v>
      </c>
      <c r="C294" t="s">
        <v>935</v>
      </c>
      <c r="D294">
        <v>40</v>
      </c>
      <c r="E294" t="s">
        <v>16</v>
      </c>
      <c r="F294" t="s">
        <v>936</v>
      </c>
      <c r="G294" t="s">
        <v>117</v>
      </c>
      <c r="H294" t="s">
        <v>13</v>
      </c>
      <c r="I294" t="s">
        <v>28</v>
      </c>
    </row>
    <row r="295" spans="2:9" x14ac:dyDescent="0.25">
      <c r="B295" t="s">
        <v>937</v>
      </c>
      <c r="C295" t="s">
        <v>938</v>
      </c>
      <c r="D295">
        <v>30</v>
      </c>
      <c r="E295" t="s">
        <v>10</v>
      </c>
      <c r="F295" t="s">
        <v>939</v>
      </c>
      <c r="G295" t="s">
        <v>205</v>
      </c>
      <c r="H295" t="s">
        <v>13</v>
      </c>
      <c r="I295" t="s">
        <v>33</v>
      </c>
    </row>
    <row r="296" spans="2:9" x14ac:dyDescent="0.25">
      <c r="B296" t="s">
        <v>940</v>
      </c>
      <c r="C296" t="s">
        <v>941</v>
      </c>
      <c r="D296">
        <v>56</v>
      </c>
      <c r="E296" t="s">
        <v>16</v>
      </c>
      <c r="F296" t="s">
        <v>942</v>
      </c>
      <c r="G296" t="s">
        <v>332</v>
      </c>
      <c r="H296" t="s">
        <v>13</v>
      </c>
      <c r="I296" t="s">
        <v>19</v>
      </c>
    </row>
    <row r="297" spans="2:9" x14ac:dyDescent="0.25">
      <c r="B297" t="s">
        <v>943</v>
      </c>
      <c r="C297" t="s">
        <v>944</v>
      </c>
      <c r="D297">
        <v>29</v>
      </c>
      <c r="E297" t="s">
        <v>10</v>
      </c>
      <c r="F297" t="s">
        <v>580</v>
      </c>
      <c r="G297" t="s">
        <v>69</v>
      </c>
      <c r="H297" t="s">
        <v>13</v>
      </c>
      <c r="I297" t="s">
        <v>19</v>
      </c>
    </row>
    <row r="298" spans="2:9" x14ac:dyDescent="0.25">
      <c r="B298" t="s">
        <v>945</v>
      </c>
      <c r="C298" t="s">
        <v>946</v>
      </c>
      <c r="D298">
        <v>19</v>
      </c>
      <c r="E298" t="s">
        <v>16</v>
      </c>
      <c r="F298" t="s">
        <v>947</v>
      </c>
      <c r="G298" t="s">
        <v>65</v>
      </c>
      <c r="H298" t="s">
        <v>13</v>
      </c>
      <c r="I298" t="s">
        <v>28</v>
      </c>
    </row>
    <row r="299" spans="2:9" x14ac:dyDescent="0.25">
      <c r="B299" t="s">
        <v>948</v>
      </c>
      <c r="C299" t="s">
        <v>949</v>
      </c>
      <c r="D299">
        <v>28</v>
      </c>
      <c r="E299" t="s">
        <v>16</v>
      </c>
      <c r="F299" t="s">
        <v>301</v>
      </c>
      <c r="G299" t="s">
        <v>45</v>
      </c>
      <c r="H299" t="s">
        <v>13</v>
      </c>
      <c r="I299" t="s">
        <v>28</v>
      </c>
    </row>
    <row r="300" spans="2:9" x14ac:dyDescent="0.25">
      <c r="B300" t="s">
        <v>950</v>
      </c>
      <c r="C300" t="s">
        <v>951</v>
      </c>
      <c r="D300">
        <v>47</v>
      </c>
      <c r="E300" t="s">
        <v>16</v>
      </c>
      <c r="F300" t="s">
        <v>952</v>
      </c>
      <c r="G300" t="s">
        <v>117</v>
      </c>
      <c r="H300" t="s">
        <v>13</v>
      </c>
      <c r="I300" t="s">
        <v>33</v>
      </c>
    </row>
    <row r="301" spans="2:9" x14ac:dyDescent="0.25">
      <c r="B301" t="s">
        <v>953</v>
      </c>
      <c r="C301" t="s">
        <v>954</v>
      </c>
      <c r="D301">
        <v>64</v>
      </c>
      <c r="E301" t="s">
        <v>10</v>
      </c>
      <c r="F301" t="s">
        <v>955</v>
      </c>
      <c r="G301" t="s">
        <v>439</v>
      </c>
      <c r="H301" t="s">
        <v>13</v>
      </c>
      <c r="I301" t="s">
        <v>19</v>
      </c>
    </row>
    <row r="302" spans="2:9" x14ac:dyDescent="0.25">
      <c r="B302" t="s">
        <v>956</v>
      </c>
      <c r="C302" t="s">
        <v>957</v>
      </c>
      <c r="D302">
        <v>48</v>
      </c>
      <c r="E302" t="s">
        <v>16</v>
      </c>
      <c r="F302" t="s">
        <v>958</v>
      </c>
      <c r="G302" t="s">
        <v>332</v>
      </c>
      <c r="H302" t="s">
        <v>13</v>
      </c>
      <c r="I302" t="s">
        <v>19</v>
      </c>
    </row>
    <row r="303" spans="2:9" x14ac:dyDescent="0.25">
      <c r="B303" t="s">
        <v>959</v>
      </c>
      <c r="C303" t="s">
        <v>960</v>
      </c>
      <c r="D303">
        <v>29</v>
      </c>
      <c r="E303" t="s">
        <v>10</v>
      </c>
      <c r="F303" t="s">
        <v>961</v>
      </c>
      <c r="G303" t="s">
        <v>37</v>
      </c>
      <c r="H303" t="s">
        <v>13</v>
      </c>
      <c r="I303" t="s">
        <v>33</v>
      </c>
    </row>
    <row r="304" spans="2:9" x14ac:dyDescent="0.25">
      <c r="B304" t="s">
        <v>962</v>
      </c>
      <c r="C304" t="s">
        <v>963</v>
      </c>
      <c r="D304">
        <v>50</v>
      </c>
      <c r="E304" t="s">
        <v>10</v>
      </c>
      <c r="F304" t="s">
        <v>964</v>
      </c>
      <c r="G304" t="s">
        <v>291</v>
      </c>
      <c r="H304" t="s">
        <v>13</v>
      </c>
      <c r="I304" t="s">
        <v>50</v>
      </c>
    </row>
    <row r="305" spans="2:9" x14ac:dyDescent="0.25">
      <c r="B305" t="s">
        <v>965</v>
      </c>
      <c r="C305" t="s">
        <v>966</v>
      </c>
      <c r="D305">
        <v>36</v>
      </c>
      <c r="E305" t="s">
        <v>10</v>
      </c>
      <c r="F305" t="s">
        <v>967</v>
      </c>
      <c r="G305" t="s">
        <v>137</v>
      </c>
      <c r="H305" t="s">
        <v>13</v>
      </c>
      <c r="I305" t="s">
        <v>50</v>
      </c>
    </row>
    <row r="306" spans="2:9" x14ac:dyDescent="0.25">
      <c r="B306" t="s">
        <v>968</v>
      </c>
      <c r="C306" t="s">
        <v>969</v>
      </c>
      <c r="D306">
        <v>23</v>
      </c>
      <c r="E306" t="s">
        <v>16</v>
      </c>
      <c r="F306" t="s">
        <v>970</v>
      </c>
      <c r="G306" t="s">
        <v>95</v>
      </c>
      <c r="H306" t="s">
        <v>13</v>
      </c>
      <c r="I306" t="s">
        <v>19</v>
      </c>
    </row>
    <row r="307" spans="2:9" x14ac:dyDescent="0.25">
      <c r="B307" t="s">
        <v>971</v>
      </c>
      <c r="C307" t="s">
        <v>972</v>
      </c>
      <c r="D307">
        <v>41</v>
      </c>
      <c r="E307" t="s">
        <v>10</v>
      </c>
      <c r="F307" t="s">
        <v>973</v>
      </c>
      <c r="G307" t="s">
        <v>65</v>
      </c>
      <c r="H307" t="s">
        <v>13</v>
      </c>
      <c r="I307" t="s">
        <v>33</v>
      </c>
    </row>
    <row r="308" spans="2:9" x14ac:dyDescent="0.25">
      <c r="B308" t="s">
        <v>974</v>
      </c>
      <c r="C308" t="s">
        <v>975</v>
      </c>
      <c r="D308">
        <v>64</v>
      </c>
      <c r="E308" t="s">
        <v>10</v>
      </c>
      <c r="F308" t="s">
        <v>976</v>
      </c>
      <c r="G308" t="s">
        <v>77</v>
      </c>
      <c r="H308" t="s">
        <v>13</v>
      </c>
      <c r="I308" t="s">
        <v>19</v>
      </c>
    </row>
    <row r="309" spans="2:9" x14ac:dyDescent="0.25">
      <c r="B309" t="s">
        <v>977</v>
      </c>
      <c r="C309" t="s">
        <v>978</v>
      </c>
      <c r="D309">
        <v>44</v>
      </c>
      <c r="E309" t="s">
        <v>10</v>
      </c>
      <c r="F309" t="s">
        <v>979</v>
      </c>
      <c r="G309" t="s">
        <v>241</v>
      </c>
      <c r="H309" t="s">
        <v>13</v>
      </c>
      <c r="I309" t="s">
        <v>19</v>
      </c>
    </row>
    <row r="310" spans="2:9" x14ac:dyDescent="0.25">
      <c r="B310" t="s">
        <v>980</v>
      </c>
      <c r="C310" t="s">
        <v>981</v>
      </c>
      <c r="D310">
        <v>56</v>
      </c>
      <c r="E310" t="s">
        <v>16</v>
      </c>
      <c r="F310" t="s">
        <v>982</v>
      </c>
      <c r="G310" t="s">
        <v>23</v>
      </c>
      <c r="H310" t="s">
        <v>13</v>
      </c>
      <c r="I310" t="s">
        <v>28</v>
      </c>
    </row>
    <row r="311" spans="2:9" x14ac:dyDescent="0.25">
      <c r="B311" t="s">
        <v>983</v>
      </c>
      <c r="C311" t="s">
        <v>984</v>
      </c>
      <c r="D311">
        <v>60</v>
      </c>
      <c r="E311" t="s">
        <v>16</v>
      </c>
      <c r="F311" t="s">
        <v>985</v>
      </c>
      <c r="G311" t="s">
        <v>271</v>
      </c>
      <c r="H311" t="s">
        <v>13</v>
      </c>
      <c r="I311" t="s">
        <v>50</v>
      </c>
    </row>
    <row r="312" spans="2:9" x14ac:dyDescent="0.25">
      <c r="B312" t="s">
        <v>986</v>
      </c>
      <c r="C312" t="s">
        <v>987</v>
      </c>
      <c r="D312">
        <v>41</v>
      </c>
      <c r="E312" t="s">
        <v>16</v>
      </c>
      <c r="F312" t="s">
        <v>988</v>
      </c>
      <c r="G312" t="s">
        <v>32</v>
      </c>
      <c r="H312" t="s">
        <v>13</v>
      </c>
      <c r="I312" t="s">
        <v>28</v>
      </c>
    </row>
    <row r="313" spans="2:9" x14ac:dyDescent="0.25">
      <c r="B313" t="s">
        <v>989</v>
      </c>
      <c r="C313" t="s">
        <v>990</v>
      </c>
      <c r="D313">
        <v>20</v>
      </c>
      <c r="E313" t="s">
        <v>10</v>
      </c>
      <c r="F313" t="s">
        <v>991</v>
      </c>
      <c r="G313" t="s">
        <v>175</v>
      </c>
      <c r="H313" t="s">
        <v>13</v>
      </c>
      <c r="I313" t="s">
        <v>33</v>
      </c>
    </row>
    <row r="314" spans="2:9" x14ac:dyDescent="0.25">
      <c r="B314" t="s">
        <v>992</v>
      </c>
      <c r="C314" t="s">
        <v>993</v>
      </c>
      <c r="D314">
        <v>35</v>
      </c>
      <c r="E314" t="s">
        <v>10</v>
      </c>
      <c r="F314" t="s">
        <v>994</v>
      </c>
      <c r="G314" t="s">
        <v>37</v>
      </c>
      <c r="H314" t="s">
        <v>13</v>
      </c>
      <c r="I314" t="s">
        <v>19</v>
      </c>
    </row>
    <row r="315" spans="2:9" x14ac:dyDescent="0.25">
      <c r="B315" t="s">
        <v>995</v>
      </c>
      <c r="C315" t="s">
        <v>996</v>
      </c>
      <c r="D315">
        <v>47</v>
      </c>
      <c r="E315" t="s">
        <v>16</v>
      </c>
      <c r="F315" t="s">
        <v>997</v>
      </c>
      <c r="G315" t="s">
        <v>95</v>
      </c>
      <c r="H315" t="s">
        <v>13</v>
      </c>
      <c r="I315" t="s">
        <v>33</v>
      </c>
    </row>
    <row r="316" spans="2:9" x14ac:dyDescent="0.25">
      <c r="B316" t="s">
        <v>998</v>
      </c>
      <c r="C316" t="s">
        <v>999</v>
      </c>
      <c r="D316">
        <v>62</v>
      </c>
      <c r="E316" t="s">
        <v>10</v>
      </c>
      <c r="F316" t="s">
        <v>1000</v>
      </c>
      <c r="G316" t="s">
        <v>144</v>
      </c>
      <c r="H316" t="s">
        <v>13</v>
      </c>
      <c r="I316" t="s">
        <v>19</v>
      </c>
    </row>
    <row r="317" spans="2:9" x14ac:dyDescent="0.25">
      <c r="B317" t="s">
        <v>1001</v>
      </c>
      <c r="C317" t="s">
        <v>1002</v>
      </c>
      <c r="D317">
        <v>53</v>
      </c>
      <c r="E317" t="s">
        <v>16</v>
      </c>
      <c r="F317" t="s">
        <v>1003</v>
      </c>
      <c r="G317" t="s">
        <v>77</v>
      </c>
      <c r="H317" t="s">
        <v>13</v>
      </c>
      <c r="I317" t="s">
        <v>33</v>
      </c>
    </row>
    <row r="318" spans="2:9" x14ac:dyDescent="0.25">
      <c r="B318" t="s">
        <v>1004</v>
      </c>
      <c r="C318" t="s">
        <v>1005</v>
      </c>
      <c r="D318">
        <v>49</v>
      </c>
      <c r="E318" t="s">
        <v>10</v>
      </c>
      <c r="F318" t="s">
        <v>1006</v>
      </c>
      <c r="G318" t="s">
        <v>725</v>
      </c>
      <c r="H318" t="s">
        <v>13</v>
      </c>
      <c r="I318" t="s">
        <v>33</v>
      </c>
    </row>
    <row r="319" spans="2:9" x14ac:dyDescent="0.25">
      <c r="B319" t="s">
        <v>1007</v>
      </c>
      <c r="C319" t="s">
        <v>1008</v>
      </c>
      <c r="D319">
        <v>34</v>
      </c>
      <c r="E319" t="s">
        <v>10</v>
      </c>
      <c r="F319" t="s">
        <v>1009</v>
      </c>
      <c r="G319" t="s">
        <v>144</v>
      </c>
      <c r="H319" t="s">
        <v>13</v>
      </c>
      <c r="I319" t="s">
        <v>50</v>
      </c>
    </row>
    <row r="320" spans="2:9" x14ac:dyDescent="0.25">
      <c r="B320" t="s">
        <v>1010</v>
      </c>
      <c r="C320" t="s">
        <v>1011</v>
      </c>
      <c r="D320">
        <v>64</v>
      </c>
      <c r="E320" t="s">
        <v>16</v>
      </c>
      <c r="F320" t="s">
        <v>1012</v>
      </c>
      <c r="G320" t="s">
        <v>49</v>
      </c>
      <c r="H320" t="s">
        <v>13</v>
      </c>
      <c r="I320" t="s">
        <v>50</v>
      </c>
    </row>
    <row r="321" spans="2:9" x14ac:dyDescent="0.25">
      <c r="B321" t="s">
        <v>1013</v>
      </c>
      <c r="C321" t="s">
        <v>1014</v>
      </c>
      <c r="D321">
        <v>25</v>
      </c>
      <c r="E321" t="s">
        <v>10</v>
      </c>
      <c r="F321" t="s">
        <v>1015</v>
      </c>
      <c r="G321" t="s">
        <v>65</v>
      </c>
      <c r="H321" t="s">
        <v>13</v>
      </c>
      <c r="I321" t="s">
        <v>19</v>
      </c>
    </row>
    <row r="322" spans="2:9" x14ac:dyDescent="0.25">
      <c r="B322" t="s">
        <v>1016</v>
      </c>
      <c r="C322" t="s">
        <v>1017</v>
      </c>
      <c r="D322">
        <v>54</v>
      </c>
      <c r="E322" t="s">
        <v>10</v>
      </c>
      <c r="F322" t="s">
        <v>1018</v>
      </c>
      <c r="G322" t="s">
        <v>317</v>
      </c>
      <c r="H322" t="s">
        <v>13</v>
      </c>
      <c r="I322" t="s">
        <v>19</v>
      </c>
    </row>
    <row r="323" spans="2:9" x14ac:dyDescent="0.25">
      <c r="B323" t="s">
        <v>1019</v>
      </c>
      <c r="C323" t="s">
        <v>1020</v>
      </c>
      <c r="D323">
        <v>34</v>
      </c>
      <c r="E323" t="s">
        <v>16</v>
      </c>
      <c r="F323" t="s">
        <v>1021</v>
      </c>
      <c r="G323" t="s">
        <v>271</v>
      </c>
      <c r="H323" t="s">
        <v>13</v>
      </c>
      <c r="I323" t="s">
        <v>28</v>
      </c>
    </row>
    <row r="324" spans="2:9" x14ac:dyDescent="0.25">
      <c r="B324" t="s">
        <v>1022</v>
      </c>
      <c r="C324" t="s">
        <v>1023</v>
      </c>
      <c r="D324">
        <v>21</v>
      </c>
      <c r="E324" t="s">
        <v>16</v>
      </c>
      <c r="F324" t="s">
        <v>1024</v>
      </c>
      <c r="G324" t="s">
        <v>241</v>
      </c>
      <c r="H324" t="s">
        <v>13</v>
      </c>
      <c r="I324" t="s">
        <v>28</v>
      </c>
    </row>
    <row r="325" spans="2:9" x14ac:dyDescent="0.25">
      <c r="B325" t="s">
        <v>1025</v>
      </c>
      <c r="C325" t="s">
        <v>1026</v>
      </c>
      <c r="D325">
        <v>54</v>
      </c>
      <c r="E325" t="s">
        <v>10</v>
      </c>
      <c r="F325" t="s">
        <v>1027</v>
      </c>
      <c r="G325" t="s">
        <v>856</v>
      </c>
      <c r="H325" t="s">
        <v>13</v>
      </c>
      <c r="I325" t="s">
        <v>28</v>
      </c>
    </row>
    <row r="326" spans="2:9" x14ac:dyDescent="0.25">
      <c r="B326" t="s">
        <v>1028</v>
      </c>
      <c r="C326" t="s">
        <v>1029</v>
      </c>
      <c r="D326">
        <v>64</v>
      </c>
      <c r="E326" t="s">
        <v>16</v>
      </c>
      <c r="F326" t="s">
        <v>1030</v>
      </c>
      <c r="G326" t="s">
        <v>12</v>
      </c>
      <c r="H326" t="s">
        <v>13</v>
      </c>
      <c r="I326" t="s">
        <v>19</v>
      </c>
    </row>
    <row r="327" spans="2:9" x14ac:dyDescent="0.25">
      <c r="B327" t="s">
        <v>1031</v>
      </c>
      <c r="C327" t="s">
        <v>1032</v>
      </c>
      <c r="D327">
        <v>58</v>
      </c>
      <c r="E327" t="s">
        <v>10</v>
      </c>
      <c r="F327" t="s">
        <v>1033</v>
      </c>
      <c r="G327" t="s">
        <v>99</v>
      </c>
      <c r="H327" t="s">
        <v>13</v>
      </c>
      <c r="I327" t="s">
        <v>28</v>
      </c>
    </row>
    <row r="328" spans="2:9" x14ac:dyDescent="0.25">
      <c r="B328" t="s">
        <v>1034</v>
      </c>
      <c r="C328" t="s">
        <v>1035</v>
      </c>
      <c r="D328">
        <v>60</v>
      </c>
      <c r="E328" t="s">
        <v>10</v>
      </c>
      <c r="F328" t="s">
        <v>1036</v>
      </c>
      <c r="G328" t="s">
        <v>328</v>
      </c>
      <c r="H328" t="s">
        <v>13</v>
      </c>
      <c r="I328" t="s">
        <v>28</v>
      </c>
    </row>
    <row r="329" spans="2:9" x14ac:dyDescent="0.25">
      <c r="B329" t="s">
        <v>1037</v>
      </c>
      <c r="C329" t="s">
        <v>1038</v>
      </c>
      <c r="D329">
        <v>58</v>
      </c>
      <c r="E329" t="s">
        <v>16</v>
      </c>
      <c r="F329" t="s">
        <v>1039</v>
      </c>
      <c r="G329" t="s">
        <v>221</v>
      </c>
      <c r="H329" t="s">
        <v>13</v>
      </c>
      <c r="I329" t="s">
        <v>50</v>
      </c>
    </row>
    <row r="330" spans="2:9" x14ac:dyDescent="0.25">
      <c r="B330" t="s">
        <v>1040</v>
      </c>
      <c r="C330" t="s">
        <v>1041</v>
      </c>
      <c r="D330">
        <v>62</v>
      </c>
      <c r="E330" t="s">
        <v>16</v>
      </c>
      <c r="F330" t="s">
        <v>1042</v>
      </c>
      <c r="G330" t="s">
        <v>61</v>
      </c>
      <c r="H330" t="s">
        <v>13</v>
      </c>
      <c r="I330" t="s">
        <v>28</v>
      </c>
    </row>
    <row r="331" spans="2:9" x14ac:dyDescent="0.25">
      <c r="B331" t="s">
        <v>1043</v>
      </c>
      <c r="C331" t="s">
        <v>1044</v>
      </c>
      <c r="D331">
        <v>46</v>
      </c>
      <c r="E331" t="s">
        <v>10</v>
      </c>
      <c r="F331" t="s">
        <v>1045</v>
      </c>
      <c r="G331" t="s">
        <v>205</v>
      </c>
      <c r="H331" t="s">
        <v>13</v>
      </c>
      <c r="I331" t="s">
        <v>19</v>
      </c>
    </row>
    <row r="332" spans="2:9" x14ac:dyDescent="0.25">
      <c r="B332" t="s">
        <v>1046</v>
      </c>
      <c r="C332" t="s">
        <v>1047</v>
      </c>
      <c r="D332">
        <v>62</v>
      </c>
      <c r="E332" t="s">
        <v>16</v>
      </c>
      <c r="F332" t="s">
        <v>1048</v>
      </c>
      <c r="G332" t="s">
        <v>205</v>
      </c>
      <c r="H332" t="s">
        <v>13</v>
      </c>
      <c r="I332" t="s">
        <v>28</v>
      </c>
    </row>
    <row r="333" spans="2:9" x14ac:dyDescent="0.25">
      <c r="B333" t="s">
        <v>1049</v>
      </c>
      <c r="C333" t="s">
        <v>1050</v>
      </c>
      <c r="D333">
        <v>54</v>
      </c>
      <c r="E333" t="s">
        <v>10</v>
      </c>
      <c r="F333" t="s">
        <v>1051</v>
      </c>
      <c r="G333" t="s">
        <v>198</v>
      </c>
      <c r="H333" t="s">
        <v>13</v>
      </c>
      <c r="I333" t="s">
        <v>19</v>
      </c>
    </row>
    <row r="334" spans="2:9" x14ac:dyDescent="0.25">
      <c r="B334" t="s">
        <v>1052</v>
      </c>
      <c r="C334" t="s">
        <v>1053</v>
      </c>
      <c r="D334">
        <v>38</v>
      </c>
      <c r="E334" t="s">
        <v>16</v>
      </c>
      <c r="F334" t="s">
        <v>1054</v>
      </c>
      <c r="G334" t="s">
        <v>69</v>
      </c>
      <c r="H334" t="s">
        <v>13</v>
      </c>
      <c r="I334" t="s">
        <v>28</v>
      </c>
    </row>
    <row r="335" spans="2:9" x14ac:dyDescent="0.25">
      <c r="B335" t="s">
        <v>1055</v>
      </c>
      <c r="C335" t="s">
        <v>1056</v>
      </c>
      <c r="D335">
        <v>34</v>
      </c>
      <c r="E335" t="s">
        <v>16</v>
      </c>
      <c r="F335" t="s">
        <v>1057</v>
      </c>
      <c r="G335" t="s">
        <v>103</v>
      </c>
      <c r="H335" t="s">
        <v>13</v>
      </c>
      <c r="I335" t="s">
        <v>28</v>
      </c>
    </row>
    <row r="336" spans="2:9" x14ac:dyDescent="0.25">
      <c r="B336" t="s">
        <v>1058</v>
      </c>
      <c r="C336" t="s">
        <v>1059</v>
      </c>
      <c r="D336">
        <v>64</v>
      </c>
      <c r="E336" t="s">
        <v>16</v>
      </c>
      <c r="F336" t="s">
        <v>1060</v>
      </c>
      <c r="G336" t="s">
        <v>84</v>
      </c>
      <c r="H336" t="s">
        <v>13</v>
      </c>
      <c r="I336" t="s">
        <v>50</v>
      </c>
    </row>
    <row r="337" spans="2:9" x14ac:dyDescent="0.25">
      <c r="B337" t="s">
        <v>1061</v>
      </c>
      <c r="C337" t="s">
        <v>1062</v>
      </c>
      <c r="D337">
        <v>50</v>
      </c>
      <c r="E337" t="s">
        <v>16</v>
      </c>
      <c r="F337" t="s">
        <v>1063</v>
      </c>
      <c r="G337" t="s">
        <v>171</v>
      </c>
      <c r="H337" t="s">
        <v>13</v>
      </c>
      <c r="I337" t="s">
        <v>33</v>
      </c>
    </row>
    <row r="338" spans="2:9" x14ac:dyDescent="0.25">
      <c r="B338" t="s">
        <v>1064</v>
      </c>
      <c r="C338" t="s">
        <v>1065</v>
      </c>
      <c r="D338">
        <v>37</v>
      </c>
      <c r="E338" t="s">
        <v>10</v>
      </c>
      <c r="F338" t="s">
        <v>1066</v>
      </c>
      <c r="G338" t="s">
        <v>12</v>
      </c>
      <c r="H338" t="s">
        <v>13</v>
      </c>
      <c r="I338" t="s">
        <v>19</v>
      </c>
    </row>
    <row r="339" spans="2:9" x14ac:dyDescent="0.25">
      <c r="B339" t="s">
        <v>1067</v>
      </c>
      <c r="C339" t="s">
        <v>1068</v>
      </c>
      <c r="D339">
        <v>58</v>
      </c>
      <c r="E339" t="s">
        <v>16</v>
      </c>
      <c r="F339" t="s">
        <v>1069</v>
      </c>
      <c r="G339" t="s">
        <v>37</v>
      </c>
      <c r="H339" t="s">
        <v>13</v>
      </c>
      <c r="I339" t="s">
        <v>33</v>
      </c>
    </row>
    <row r="340" spans="2:9" x14ac:dyDescent="0.25">
      <c r="B340" t="s">
        <v>1070</v>
      </c>
      <c r="C340" t="s">
        <v>1071</v>
      </c>
      <c r="D340">
        <v>40</v>
      </c>
      <c r="E340" t="s">
        <v>16</v>
      </c>
      <c r="F340" t="s">
        <v>1072</v>
      </c>
      <c r="G340" t="s">
        <v>12</v>
      </c>
      <c r="H340" t="s">
        <v>13</v>
      </c>
      <c r="I340" t="s">
        <v>28</v>
      </c>
    </row>
    <row r="341" spans="2:9" x14ac:dyDescent="0.25">
      <c r="B341" t="s">
        <v>1073</v>
      </c>
      <c r="C341" t="s">
        <v>1074</v>
      </c>
      <c r="D341">
        <v>46</v>
      </c>
      <c r="E341" t="s">
        <v>16</v>
      </c>
      <c r="F341" t="s">
        <v>1075</v>
      </c>
      <c r="G341" t="s">
        <v>171</v>
      </c>
      <c r="H341" t="s">
        <v>13</v>
      </c>
      <c r="I341" t="s">
        <v>33</v>
      </c>
    </row>
    <row r="342" spans="2:9" x14ac:dyDescent="0.25">
      <c r="B342" t="s">
        <v>1076</v>
      </c>
      <c r="C342" t="s">
        <v>1077</v>
      </c>
      <c r="D342">
        <v>52</v>
      </c>
      <c r="E342" t="s">
        <v>16</v>
      </c>
      <c r="F342" t="s">
        <v>1078</v>
      </c>
      <c r="G342" t="s">
        <v>137</v>
      </c>
      <c r="H342" t="s">
        <v>13</v>
      </c>
      <c r="I342" t="s">
        <v>19</v>
      </c>
    </row>
    <row r="343" spans="2:9" x14ac:dyDescent="0.25">
      <c r="B343" t="s">
        <v>1079</v>
      </c>
      <c r="C343" t="s">
        <v>1080</v>
      </c>
      <c r="D343">
        <v>27</v>
      </c>
      <c r="E343" t="s">
        <v>10</v>
      </c>
      <c r="F343" t="s">
        <v>1081</v>
      </c>
      <c r="G343" t="s">
        <v>278</v>
      </c>
      <c r="H343" t="s">
        <v>13</v>
      </c>
      <c r="I343" t="s">
        <v>28</v>
      </c>
    </row>
    <row r="344" spans="2:9" x14ac:dyDescent="0.25">
      <c r="B344" t="s">
        <v>1082</v>
      </c>
      <c r="C344" t="s">
        <v>1083</v>
      </c>
      <c r="D344">
        <v>56</v>
      </c>
      <c r="E344" t="s">
        <v>16</v>
      </c>
      <c r="F344" t="s">
        <v>1084</v>
      </c>
      <c r="G344" t="s">
        <v>198</v>
      </c>
      <c r="H344" t="s">
        <v>13</v>
      </c>
      <c r="I344" t="s">
        <v>28</v>
      </c>
    </row>
    <row r="345" spans="2:9" x14ac:dyDescent="0.25">
      <c r="B345" t="s">
        <v>1085</v>
      </c>
      <c r="C345" t="s">
        <v>1086</v>
      </c>
      <c r="D345">
        <v>30</v>
      </c>
      <c r="E345" t="s">
        <v>16</v>
      </c>
      <c r="F345" t="s">
        <v>1087</v>
      </c>
      <c r="G345" t="s">
        <v>171</v>
      </c>
      <c r="H345" t="s">
        <v>13</v>
      </c>
      <c r="I345" t="s">
        <v>28</v>
      </c>
    </row>
    <row r="346" spans="2:9" x14ac:dyDescent="0.25">
      <c r="B346" t="s">
        <v>1088</v>
      </c>
      <c r="C346" t="s">
        <v>1089</v>
      </c>
      <c r="D346">
        <v>38</v>
      </c>
      <c r="E346" t="s">
        <v>10</v>
      </c>
      <c r="F346" t="s">
        <v>1090</v>
      </c>
      <c r="G346" t="s">
        <v>291</v>
      </c>
      <c r="H346" t="s">
        <v>13</v>
      </c>
      <c r="I346" t="s">
        <v>28</v>
      </c>
    </row>
    <row r="347" spans="2:9" x14ac:dyDescent="0.25">
      <c r="B347" t="s">
        <v>1091</v>
      </c>
      <c r="C347" t="s">
        <v>1092</v>
      </c>
      <c r="D347">
        <v>39</v>
      </c>
      <c r="E347" t="s">
        <v>10</v>
      </c>
      <c r="F347" t="s">
        <v>1093</v>
      </c>
      <c r="G347" t="s">
        <v>237</v>
      </c>
      <c r="H347" t="s">
        <v>13</v>
      </c>
      <c r="I347" t="s">
        <v>50</v>
      </c>
    </row>
    <row r="348" spans="2:9" x14ac:dyDescent="0.25">
      <c r="B348" t="s">
        <v>1094</v>
      </c>
      <c r="C348" t="s">
        <v>1095</v>
      </c>
      <c r="D348">
        <v>33</v>
      </c>
      <c r="E348" t="s">
        <v>10</v>
      </c>
      <c r="F348" t="s">
        <v>1096</v>
      </c>
      <c r="G348" t="s">
        <v>99</v>
      </c>
      <c r="H348" t="s">
        <v>13</v>
      </c>
      <c r="I348" t="s">
        <v>28</v>
      </c>
    </row>
    <row r="349" spans="2:9" x14ac:dyDescent="0.25">
      <c r="B349" t="s">
        <v>1097</v>
      </c>
      <c r="C349" t="s">
        <v>1098</v>
      </c>
      <c r="D349">
        <v>58</v>
      </c>
      <c r="E349" t="s">
        <v>16</v>
      </c>
      <c r="F349" t="s">
        <v>1099</v>
      </c>
      <c r="G349" t="s">
        <v>241</v>
      </c>
      <c r="H349" t="s">
        <v>13</v>
      </c>
      <c r="I349" t="s">
        <v>19</v>
      </c>
    </row>
    <row r="350" spans="2:9" x14ac:dyDescent="0.25">
      <c r="B350" t="s">
        <v>1100</v>
      </c>
      <c r="C350" t="s">
        <v>1101</v>
      </c>
      <c r="D350">
        <v>39</v>
      </c>
      <c r="E350" t="s">
        <v>16</v>
      </c>
      <c r="F350" t="s">
        <v>1102</v>
      </c>
      <c r="G350" t="s">
        <v>171</v>
      </c>
      <c r="H350" t="s">
        <v>13</v>
      </c>
      <c r="I350" t="s">
        <v>50</v>
      </c>
    </row>
    <row r="351" spans="2:9" x14ac:dyDescent="0.25">
      <c r="B351" t="s">
        <v>1103</v>
      </c>
      <c r="C351" t="s">
        <v>1104</v>
      </c>
      <c r="D351">
        <v>55</v>
      </c>
      <c r="E351" t="s">
        <v>10</v>
      </c>
      <c r="F351" t="s">
        <v>1105</v>
      </c>
      <c r="G351" t="s">
        <v>54</v>
      </c>
      <c r="H351" t="s">
        <v>13</v>
      </c>
      <c r="I351" t="s">
        <v>33</v>
      </c>
    </row>
    <row r="352" spans="2:9" x14ac:dyDescent="0.25">
      <c r="B352" t="s">
        <v>1106</v>
      </c>
      <c r="C352" t="s">
        <v>1107</v>
      </c>
      <c r="D352">
        <v>31</v>
      </c>
      <c r="E352" t="s">
        <v>10</v>
      </c>
      <c r="F352" t="s">
        <v>1108</v>
      </c>
      <c r="G352" t="s">
        <v>167</v>
      </c>
      <c r="H352" t="s">
        <v>13</v>
      </c>
      <c r="I352" t="s">
        <v>28</v>
      </c>
    </row>
    <row r="353" spans="2:9" x14ac:dyDescent="0.25">
      <c r="B353" t="s">
        <v>1109</v>
      </c>
      <c r="C353" t="s">
        <v>1110</v>
      </c>
      <c r="D353">
        <v>26</v>
      </c>
      <c r="E353" t="s">
        <v>10</v>
      </c>
      <c r="F353" t="s">
        <v>1111</v>
      </c>
      <c r="G353" t="s">
        <v>271</v>
      </c>
      <c r="H353" t="s">
        <v>13</v>
      </c>
      <c r="I353" t="s">
        <v>33</v>
      </c>
    </row>
    <row r="354" spans="2:9" x14ac:dyDescent="0.25">
      <c r="B354" t="s">
        <v>1112</v>
      </c>
      <c r="C354" t="s">
        <v>1113</v>
      </c>
      <c r="D354">
        <v>25</v>
      </c>
      <c r="E354" t="s">
        <v>16</v>
      </c>
      <c r="F354" t="s">
        <v>1114</v>
      </c>
      <c r="G354" t="s">
        <v>73</v>
      </c>
      <c r="H354" t="s">
        <v>13</v>
      </c>
      <c r="I354" t="s">
        <v>28</v>
      </c>
    </row>
    <row r="355" spans="2:9" x14ac:dyDescent="0.25">
      <c r="B355" t="s">
        <v>1115</v>
      </c>
      <c r="C355" t="s">
        <v>1116</v>
      </c>
      <c r="D355">
        <v>52</v>
      </c>
      <c r="E355" t="s">
        <v>16</v>
      </c>
      <c r="F355" t="s">
        <v>1117</v>
      </c>
      <c r="G355" t="s">
        <v>328</v>
      </c>
      <c r="H355" t="s">
        <v>13</v>
      </c>
      <c r="I355" t="s">
        <v>33</v>
      </c>
    </row>
    <row r="356" spans="2:9" x14ac:dyDescent="0.25">
      <c r="B356" t="s">
        <v>1118</v>
      </c>
      <c r="C356" t="s">
        <v>1119</v>
      </c>
      <c r="D356">
        <v>56</v>
      </c>
      <c r="E356" t="s">
        <v>16</v>
      </c>
      <c r="F356" t="s">
        <v>1120</v>
      </c>
      <c r="G356" t="s">
        <v>37</v>
      </c>
      <c r="H356" t="s">
        <v>13</v>
      </c>
      <c r="I356" t="s">
        <v>19</v>
      </c>
    </row>
    <row r="357" spans="2:9" x14ac:dyDescent="0.25">
      <c r="B357" t="s">
        <v>1121</v>
      </c>
      <c r="C357" t="s">
        <v>1122</v>
      </c>
      <c r="D357">
        <v>38</v>
      </c>
      <c r="E357" t="s">
        <v>10</v>
      </c>
      <c r="F357" t="s">
        <v>1123</v>
      </c>
      <c r="G357" t="s">
        <v>171</v>
      </c>
      <c r="H357" t="s">
        <v>13</v>
      </c>
      <c r="I357" t="s">
        <v>33</v>
      </c>
    </row>
    <row r="358" spans="2:9" x14ac:dyDescent="0.25">
      <c r="B358" t="s">
        <v>1124</v>
      </c>
      <c r="C358" t="s">
        <v>1125</v>
      </c>
      <c r="D358">
        <v>20</v>
      </c>
      <c r="E358" t="s">
        <v>10</v>
      </c>
      <c r="F358" t="s">
        <v>1126</v>
      </c>
      <c r="G358" t="s">
        <v>77</v>
      </c>
      <c r="H358" t="s">
        <v>13</v>
      </c>
      <c r="I358" t="s">
        <v>50</v>
      </c>
    </row>
    <row r="359" spans="2:9" x14ac:dyDescent="0.25">
      <c r="B359" t="s">
        <v>1127</v>
      </c>
      <c r="C359" t="s">
        <v>1128</v>
      </c>
      <c r="D359">
        <v>54</v>
      </c>
      <c r="E359" t="s">
        <v>10</v>
      </c>
      <c r="F359" t="s">
        <v>1129</v>
      </c>
      <c r="G359" t="s">
        <v>291</v>
      </c>
      <c r="H359" t="s">
        <v>13</v>
      </c>
      <c r="I359" t="s">
        <v>28</v>
      </c>
    </row>
    <row r="360" spans="2:9" x14ac:dyDescent="0.25">
      <c r="B360" t="s">
        <v>1130</v>
      </c>
      <c r="C360" t="s">
        <v>1131</v>
      </c>
      <c r="D360">
        <v>41</v>
      </c>
      <c r="E360" t="s">
        <v>10</v>
      </c>
      <c r="F360" t="s">
        <v>1132</v>
      </c>
      <c r="G360" t="s">
        <v>241</v>
      </c>
      <c r="H360" t="s">
        <v>13</v>
      </c>
      <c r="I360" t="s">
        <v>50</v>
      </c>
    </row>
    <row r="361" spans="2:9" x14ac:dyDescent="0.25">
      <c r="B361" t="s">
        <v>1133</v>
      </c>
      <c r="C361" t="s">
        <v>1134</v>
      </c>
      <c r="D361">
        <v>60</v>
      </c>
      <c r="E361" t="s">
        <v>16</v>
      </c>
      <c r="F361" t="s">
        <v>1135</v>
      </c>
      <c r="G361" t="s">
        <v>317</v>
      </c>
      <c r="H361" t="s">
        <v>13</v>
      </c>
      <c r="I361" t="s">
        <v>50</v>
      </c>
    </row>
    <row r="362" spans="2:9" x14ac:dyDescent="0.25">
      <c r="B362" t="s">
        <v>1136</v>
      </c>
      <c r="C362" t="s">
        <v>1137</v>
      </c>
      <c r="D362">
        <v>32</v>
      </c>
      <c r="E362" t="s">
        <v>10</v>
      </c>
      <c r="F362" t="s">
        <v>1138</v>
      </c>
      <c r="G362" t="s">
        <v>65</v>
      </c>
      <c r="H362" t="s">
        <v>13</v>
      </c>
      <c r="I362" t="s">
        <v>33</v>
      </c>
    </row>
    <row r="363" spans="2:9" x14ac:dyDescent="0.25">
      <c r="B363" t="s">
        <v>1139</v>
      </c>
      <c r="C363" t="s">
        <v>1140</v>
      </c>
      <c r="D363">
        <v>34</v>
      </c>
      <c r="E363" t="s">
        <v>10</v>
      </c>
      <c r="F363" t="s">
        <v>1141</v>
      </c>
      <c r="G363" t="s">
        <v>295</v>
      </c>
      <c r="H363" t="s">
        <v>13</v>
      </c>
      <c r="I363" t="s">
        <v>19</v>
      </c>
    </row>
    <row r="364" spans="2:9" x14ac:dyDescent="0.25">
      <c r="B364" t="s">
        <v>1142</v>
      </c>
      <c r="C364" t="s">
        <v>1143</v>
      </c>
      <c r="D364">
        <v>64</v>
      </c>
      <c r="E364" t="s">
        <v>10</v>
      </c>
      <c r="F364" t="s">
        <v>1144</v>
      </c>
      <c r="G364" t="s">
        <v>258</v>
      </c>
      <c r="H364" t="s">
        <v>13</v>
      </c>
      <c r="I364" t="s">
        <v>19</v>
      </c>
    </row>
    <row r="365" spans="2:9" x14ac:dyDescent="0.25">
      <c r="B365" t="s">
        <v>1145</v>
      </c>
      <c r="C365" t="s">
        <v>1146</v>
      </c>
      <c r="D365">
        <v>60</v>
      </c>
      <c r="E365" t="s">
        <v>10</v>
      </c>
      <c r="F365" t="s">
        <v>1147</v>
      </c>
      <c r="G365" t="s">
        <v>167</v>
      </c>
      <c r="H365" t="s">
        <v>13</v>
      </c>
      <c r="I365" t="s">
        <v>50</v>
      </c>
    </row>
    <row r="366" spans="2:9" x14ac:dyDescent="0.25">
      <c r="B366" t="s">
        <v>1148</v>
      </c>
      <c r="C366" t="s">
        <v>1149</v>
      </c>
      <c r="D366">
        <v>23</v>
      </c>
      <c r="E366" t="s">
        <v>10</v>
      </c>
      <c r="F366" t="s">
        <v>1150</v>
      </c>
      <c r="G366" t="s">
        <v>27</v>
      </c>
      <c r="H366" t="s">
        <v>13</v>
      </c>
      <c r="I366" t="s">
        <v>28</v>
      </c>
    </row>
    <row r="367" spans="2:9" x14ac:dyDescent="0.25">
      <c r="B367" t="s">
        <v>1151</v>
      </c>
      <c r="C367" t="s">
        <v>1152</v>
      </c>
      <c r="D367">
        <v>58</v>
      </c>
      <c r="E367" t="s">
        <v>10</v>
      </c>
      <c r="F367" t="s">
        <v>1153</v>
      </c>
      <c r="G367" t="s">
        <v>137</v>
      </c>
      <c r="H367" t="s">
        <v>13</v>
      </c>
      <c r="I367" t="s">
        <v>28</v>
      </c>
    </row>
    <row r="368" spans="2:9" x14ac:dyDescent="0.25">
      <c r="B368" t="s">
        <v>1154</v>
      </c>
      <c r="C368" t="s">
        <v>1155</v>
      </c>
      <c r="D368">
        <v>63</v>
      </c>
      <c r="E368" t="s">
        <v>16</v>
      </c>
      <c r="F368" t="s">
        <v>1156</v>
      </c>
      <c r="G368" t="s">
        <v>167</v>
      </c>
      <c r="H368" t="s">
        <v>13</v>
      </c>
      <c r="I368" t="s">
        <v>19</v>
      </c>
    </row>
    <row r="369" spans="2:9" x14ac:dyDescent="0.25">
      <c r="B369" t="s">
        <v>1157</v>
      </c>
      <c r="C369" t="s">
        <v>1158</v>
      </c>
      <c r="D369">
        <v>40</v>
      </c>
      <c r="E369" t="s">
        <v>16</v>
      </c>
      <c r="F369" t="s">
        <v>1159</v>
      </c>
      <c r="G369" t="s">
        <v>23</v>
      </c>
      <c r="H369" t="s">
        <v>13</v>
      </c>
      <c r="I369" t="s">
        <v>19</v>
      </c>
    </row>
    <row r="370" spans="2:9" x14ac:dyDescent="0.25">
      <c r="B370" t="s">
        <v>1160</v>
      </c>
      <c r="C370" t="s">
        <v>1161</v>
      </c>
      <c r="D370">
        <v>51</v>
      </c>
      <c r="E370" t="s">
        <v>10</v>
      </c>
      <c r="F370" t="s">
        <v>1162</v>
      </c>
      <c r="G370" t="s">
        <v>27</v>
      </c>
      <c r="H370" t="s">
        <v>13</v>
      </c>
      <c r="I370" t="s">
        <v>28</v>
      </c>
    </row>
    <row r="371" spans="2:9" x14ac:dyDescent="0.25">
      <c r="B371" t="s">
        <v>1163</v>
      </c>
      <c r="C371" t="s">
        <v>1164</v>
      </c>
      <c r="D371">
        <v>34</v>
      </c>
      <c r="E371" t="s">
        <v>16</v>
      </c>
      <c r="F371" t="s">
        <v>1165</v>
      </c>
      <c r="G371" t="s">
        <v>61</v>
      </c>
      <c r="H371" t="s">
        <v>13</v>
      </c>
      <c r="I371" t="s">
        <v>19</v>
      </c>
    </row>
    <row r="372" spans="2:9" x14ac:dyDescent="0.25">
      <c r="B372" t="s">
        <v>1166</v>
      </c>
      <c r="C372" t="s">
        <v>1167</v>
      </c>
      <c r="D372">
        <v>20</v>
      </c>
      <c r="E372" t="s">
        <v>16</v>
      </c>
      <c r="F372" t="s">
        <v>1168</v>
      </c>
      <c r="G372" t="s">
        <v>175</v>
      </c>
      <c r="H372" t="s">
        <v>13</v>
      </c>
      <c r="I372" t="s">
        <v>19</v>
      </c>
    </row>
    <row r="373" spans="2:9" x14ac:dyDescent="0.25">
      <c r="B373" t="s">
        <v>1169</v>
      </c>
      <c r="C373" t="s">
        <v>1170</v>
      </c>
      <c r="D373">
        <v>45</v>
      </c>
      <c r="E373" t="s">
        <v>10</v>
      </c>
      <c r="F373" t="s">
        <v>1171</v>
      </c>
      <c r="G373" t="s">
        <v>258</v>
      </c>
      <c r="H373" t="s">
        <v>13</v>
      </c>
      <c r="I373" t="s">
        <v>33</v>
      </c>
    </row>
    <row r="374" spans="2:9" x14ac:dyDescent="0.25">
      <c r="B374" t="s">
        <v>1172</v>
      </c>
      <c r="C374" t="s">
        <v>1173</v>
      </c>
      <c r="D374">
        <v>21</v>
      </c>
      <c r="E374" t="s">
        <v>16</v>
      </c>
      <c r="F374" t="s">
        <v>1174</v>
      </c>
      <c r="G374" t="s">
        <v>49</v>
      </c>
      <c r="H374" t="s">
        <v>13</v>
      </c>
      <c r="I374" t="s">
        <v>19</v>
      </c>
    </row>
    <row r="375" spans="2:9" x14ac:dyDescent="0.25">
      <c r="B375" t="s">
        <v>1175</v>
      </c>
      <c r="C375" t="s">
        <v>1176</v>
      </c>
      <c r="D375">
        <v>28</v>
      </c>
      <c r="E375" t="s">
        <v>10</v>
      </c>
      <c r="F375" t="s">
        <v>1177</v>
      </c>
      <c r="G375" t="s">
        <v>27</v>
      </c>
      <c r="H375" t="s">
        <v>13</v>
      </c>
      <c r="I375" t="s">
        <v>28</v>
      </c>
    </row>
    <row r="376" spans="2:9" x14ac:dyDescent="0.25">
      <c r="B376" t="s">
        <v>1178</v>
      </c>
      <c r="C376" t="s">
        <v>1179</v>
      </c>
      <c r="D376">
        <v>37</v>
      </c>
      <c r="E376" t="s">
        <v>16</v>
      </c>
      <c r="F376" t="s">
        <v>1180</v>
      </c>
      <c r="G376" t="s">
        <v>439</v>
      </c>
      <c r="H376" t="s">
        <v>13</v>
      </c>
      <c r="I376" t="s">
        <v>50</v>
      </c>
    </row>
    <row r="377" spans="2:9" x14ac:dyDescent="0.25">
      <c r="B377" t="s">
        <v>1181</v>
      </c>
      <c r="C377" t="s">
        <v>1182</v>
      </c>
      <c r="D377">
        <v>60</v>
      </c>
      <c r="E377" t="s">
        <v>10</v>
      </c>
      <c r="F377" t="s">
        <v>1183</v>
      </c>
      <c r="G377" t="s">
        <v>103</v>
      </c>
      <c r="H377" t="s">
        <v>13</v>
      </c>
      <c r="I377" t="s">
        <v>19</v>
      </c>
    </row>
    <row r="378" spans="2:9" x14ac:dyDescent="0.25">
      <c r="B378" t="s">
        <v>1184</v>
      </c>
      <c r="C378" t="s">
        <v>1185</v>
      </c>
      <c r="D378">
        <v>26</v>
      </c>
      <c r="E378" t="s">
        <v>10</v>
      </c>
      <c r="F378" t="s">
        <v>1186</v>
      </c>
      <c r="G378" t="s">
        <v>205</v>
      </c>
      <c r="H378" t="s">
        <v>13</v>
      </c>
      <c r="I378" t="s">
        <v>19</v>
      </c>
    </row>
    <row r="379" spans="2:9" x14ac:dyDescent="0.25">
      <c r="B379" t="s">
        <v>1187</v>
      </c>
      <c r="C379" t="s">
        <v>1188</v>
      </c>
      <c r="D379">
        <v>30</v>
      </c>
      <c r="E379" t="s">
        <v>10</v>
      </c>
      <c r="F379" t="s">
        <v>1189</v>
      </c>
      <c r="G379" t="s">
        <v>171</v>
      </c>
      <c r="H379" t="s">
        <v>13</v>
      </c>
      <c r="I379" t="s">
        <v>28</v>
      </c>
    </row>
    <row r="380" spans="2:9" x14ac:dyDescent="0.25">
      <c r="B380" t="s">
        <v>1190</v>
      </c>
      <c r="C380" t="s">
        <v>1191</v>
      </c>
      <c r="D380">
        <v>39</v>
      </c>
      <c r="E380" t="s">
        <v>16</v>
      </c>
      <c r="F380" t="s">
        <v>1192</v>
      </c>
      <c r="G380" t="s">
        <v>439</v>
      </c>
      <c r="H380" t="s">
        <v>13</v>
      </c>
      <c r="I380" t="s">
        <v>50</v>
      </c>
    </row>
    <row r="381" spans="2:9" x14ac:dyDescent="0.25">
      <c r="B381" t="s">
        <v>1193</v>
      </c>
      <c r="C381" t="s">
        <v>1194</v>
      </c>
      <c r="D381">
        <v>44</v>
      </c>
      <c r="E381" t="s">
        <v>16</v>
      </c>
      <c r="F381" t="s">
        <v>1195</v>
      </c>
      <c r="G381" t="s">
        <v>95</v>
      </c>
      <c r="H381" t="s">
        <v>13</v>
      </c>
      <c r="I381" t="s">
        <v>28</v>
      </c>
    </row>
    <row r="382" spans="2:9" x14ac:dyDescent="0.25">
      <c r="B382" t="s">
        <v>1196</v>
      </c>
      <c r="C382" t="s">
        <v>1197</v>
      </c>
      <c r="D382">
        <v>34</v>
      </c>
      <c r="E382" t="s">
        <v>16</v>
      </c>
      <c r="F382" t="s">
        <v>1198</v>
      </c>
      <c r="G382" t="s">
        <v>271</v>
      </c>
      <c r="H382" t="s">
        <v>13</v>
      </c>
      <c r="I382" t="s">
        <v>50</v>
      </c>
    </row>
    <row r="383" spans="2:9" x14ac:dyDescent="0.25">
      <c r="B383" t="s">
        <v>1199</v>
      </c>
      <c r="C383" t="s">
        <v>1200</v>
      </c>
      <c r="D383">
        <v>23</v>
      </c>
      <c r="E383" t="s">
        <v>10</v>
      </c>
      <c r="F383" t="s">
        <v>1201</v>
      </c>
      <c r="G383" t="s">
        <v>221</v>
      </c>
      <c r="H383" t="s">
        <v>13</v>
      </c>
      <c r="I383" t="s">
        <v>50</v>
      </c>
    </row>
    <row r="384" spans="2:9" x14ac:dyDescent="0.25">
      <c r="B384" t="s">
        <v>1202</v>
      </c>
      <c r="C384" t="s">
        <v>1203</v>
      </c>
      <c r="D384">
        <v>50</v>
      </c>
      <c r="E384" t="s">
        <v>10</v>
      </c>
      <c r="F384" t="s">
        <v>1204</v>
      </c>
      <c r="G384" t="s">
        <v>23</v>
      </c>
      <c r="H384" t="s">
        <v>13</v>
      </c>
      <c r="I384" t="s">
        <v>33</v>
      </c>
    </row>
    <row r="385" spans="2:9" x14ac:dyDescent="0.25">
      <c r="B385" t="s">
        <v>1205</v>
      </c>
      <c r="C385" t="s">
        <v>1206</v>
      </c>
      <c r="D385">
        <v>20</v>
      </c>
      <c r="E385" t="s">
        <v>16</v>
      </c>
      <c r="F385" t="s">
        <v>1207</v>
      </c>
      <c r="G385" t="s">
        <v>32</v>
      </c>
      <c r="H385" t="s">
        <v>13</v>
      </c>
      <c r="I385" t="s">
        <v>50</v>
      </c>
    </row>
    <row r="386" spans="2:9" x14ac:dyDescent="0.25">
      <c r="B386" t="s">
        <v>1208</v>
      </c>
      <c r="C386" t="s">
        <v>1209</v>
      </c>
      <c r="D386">
        <v>27</v>
      </c>
      <c r="E386" t="s">
        <v>16</v>
      </c>
      <c r="F386" t="s">
        <v>1210</v>
      </c>
      <c r="G386" t="s">
        <v>321</v>
      </c>
      <c r="H386" t="s">
        <v>13</v>
      </c>
      <c r="I386" t="s">
        <v>33</v>
      </c>
    </row>
    <row r="387" spans="2:9" x14ac:dyDescent="0.25">
      <c r="B387" t="s">
        <v>1211</v>
      </c>
      <c r="C387" t="s">
        <v>1212</v>
      </c>
      <c r="D387">
        <v>52</v>
      </c>
      <c r="E387" t="s">
        <v>16</v>
      </c>
      <c r="F387" t="s">
        <v>1213</v>
      </c>
      <c r="G387" t="s">
        <v>271</v>
      </c>
      <c r="H387" t="s">
        <v>13</v>
      </c>
      <c r="I387" t="s">
        <v>28</v>
      </c>
    </row>
    <row r="388" spans="2:9" x14ac:dyDescent="0.25">
      <c r="B388" t="s">
        <v>1214</v>
      </c>
      <c r="C388" t="s">
        <v>1215</v>
      </c>
      <c r="D388">
        <v>60</v>
      </c>
      <c r="E388" t="s">
        <v>10</v>
      </c>
      <c r="F388" t="s">
        <v>1216</v>
      </c>
      <c r="G388" t="s">
        <v>321</v>
      </c>
      <c r="H388" t="s">
        <v>13</v>
      </c>
      <c r="I388" t="s">
        <v>50</v>
      </c>
    </row>
    <row r="389" spans="2:9" x14ac:dyDescent="0.25">
      <c r="B389" t="s">
        <v>1217</v>
      </c>
      <c r="C389" t="s">
        <v>1218</v>
      </c>
      <c r="D389">
        <v>18</v>
      </c>
      <c r="E389" t="s">
        <v>16</v>
      </c>
      <c r="F389" t="s">
        <v>1219</v>
      </c>
      <c r="G389" t="s">
        <v>144</v>
      </c>
      <c r="H389" t="s">
        <v>13</v>
      </c>
      <c r="I389" t="s">
        <v>28</v>
      </c>
    </row>
    <row r="390" spans="2:9" x14ac:dyDescent="0.25">
      <c r="B390" t="s">
        <v>1220</v>
      </c>
      <c r="C390" t="s">
        <v>1221</v>
      </c>
      <c r="D390">
        <v>28</v>
      </c>
      <c r="E390" t="s">
        <v>16</v>
      </c>
      <c r="F390" t="s">
        <v>1222</v>
      </c>
      <c r="G390" t="s">
        <v>91</v>
      </c>
      <c r="H390" t="s">
        <v>13</v>
      </c>
      <c r="I390" t="s">
        <v>33</v>
      </c>
    </row>
    <row r="391" spans="2:9" x14ac:dyDescent="0.25">
      <c r="B391" t="s">
        <v>1223</v>
      </c>
      <c r="C391" t="s">
        <v>1224</v>
      </c>
      <c r="D391">
        <v>53</v>
      </c>
      <c r="E391" t="s">
        <v>10</v>
      </c>
      <c r="F391" t="s">
        <v>1225</v>
      </c>
      <c r="G391" t="s">
        <v>117</v>
      </c>
      <c r="H391" t="s">
        <v>13</v>
      </c>
      <c r="I391" t="s">
        <v>19</v>
      </c>
    </row>
    <row r="392" spans="2:9" x14ac:dyDescent="0.25">
      <c r="B392" t="s">
        <v>1226</v>
      </c>
      <c r="C392" t="s">
        <v>1227</v>
      </c>
      <c r="D392">
        <v>50</v>
      </c>
      <c r="E392" t="s">
        <v>10</v>
      </c>
      <c r="F392" t="s">
        <v>1228</v>
      </c>
      <c r="G392" t="s">
        <v>73</v>
      </c>
      <c r="H392" t="s">
        <v>13</v>
      </c>
      <c r="I392" t="s">
        <v>19</v>
      </c>
    </row>
    <row r="393" spans="2:9" x14ac:dyDescent="0.25">
      <c r="B393" t="s">
        <v>1229</v>
      </c>
      <c r="C393" t="s">
        <v>1230</v>
      </c>
      <c r="D393">
        <v>56</v>
      </c>
      <c r="E393" t="s">
        <v>10</v>
      </c>
      <c r="F393" t="s">
        <v>1231</v>
      </c>
      <c r="G393" t="s">
        <v>295</v>
      </c>
      <c r="H393" t="s">
        <v>13</v>
      </c>
      <c r="I393" t="s">
        <v>33</v>
      </c>
    </row>
    <row r="394" spans="2:9" x14ac:dyDescent="0.25">
      <c r="B394" t="s">
        <v>1232</v>
      </c>
      <c r="C394" t="s">
        <v>1233</v>
      </c>
      <c r="D394">
        <v>40</v>
      </c>
      <c r="E394" t="s">
        <v>16</v>
      </c>
      <c r="F394" t="s">
        <v>1234</v>
      </c>
      <c r="G394" t="s">
        <v>37</v>
      </c>
      <c r="H394" t="s">
        <v>13</v>
      </c>
      <c r="I394" t="s">
        <v>28</v>
      </c>
    </row>
    <row r="395" spans="2:9" x14ac:dyDescent="0.25">
      <c r="B395" t="s">
        <v>1235</v>
      </c>
      <c r="C395" t="s">
        <v>1236</v>
      </c>
      <c r="D395">
        <v>46</v>
      </c>
      <c r="E395" t="s">
        <v>10</v>
      </c>
      <c r="F395" t="s">
        <v>1237</v>
      </c>
      <c r="G395" t="s">
        <v>117</v>
      </c>
      <c r="H395" t="s">
        <v>13</v>
      </c>
      <c r="I395" t="s">
        <v>50</v>
      </c>
    </row>
    <row r="396" spans="2:9" x14ac:dyDescent="0.25">
      <c r="B396" t="s">
        <v>1238</v>
      </c>
      <c r="C396" t="s">
        <v>1239</v>
      </c>
      <c r="D396">
        <v>46</v>
      </c>
      <c r="E396" t="s">
        <v>10</v>
      </c>
      <c r="F396" t="s">
        <v>1240</v>
      </c>
      <c r="G396" t="s">
        <v>121</v>
      </c>
      <c r="H396" t="s">
        <v>13</v>
      </c>
      <c r="I396" t="s">
        <v>28</v>
      </c>
    </row>
    <row r="397" spans="2:9" x14ac:dyDescent="0.25">
      <c r="B397" t="s">
        <v>1241</v>
      </c>
      <c r="C397" t="s">
        <v>1242</v>
      </c>
      <c r="D397">
        <v>43</v>
      </c>
      <c r="E397" t="s">
        <v>16</v>
      </c>
      <c r="F397" t="s">
        <v>1243</v>
      </c>
      <c r="G397" t="s">
        <v>171</v>
      </c>
      <c r="H397" t="s">
        <v>13</v>
      </c>
      <c r="I397" t="s">
        <v>28</v>
      </c>
    </row>
    <row r="398" spans="2:9" x14ac:dyDescent="0.25">
      <c r="B398" t="s">
        <v>1244</v>
      </c>
      <c r="C398" t="s">
        <v>1245</v>
      </c>
      <c r="D398">
        <v>50</v>
      </c>
      <c r="E398" t="s">
        <v>10</v>
      </c>
      <c r="F398" t="s">
        <v>1246</v>
      </c>
      <c r="G398" t="s">
        <v>65</v>
      </c>
      <c r="H398" t="s">
        <v>13</v>
      </c>
      <c r="I398" t="s">
        <v>50</v>
      </c>
    </row>
    <row r="399" spans="2:9" x14ac:dyDescent="0.25">
      <c r="B399" t="s">
        <v>1247</v>
      </c>
      <c r="C399" t="s">
        <v>1248</v>
      </c>
      <c r="D399">
        <v>25</v>
      </c>
      <c r="E399" t="s">
        <v>16</v>
      </c>
      <c r="F399" t="s">
        <v>1249</v>
      </c>
      <c r="G399" t="s">
        <v>61</v>
      </c>
      <c r="H399" t="s">
        <v>13</v>
      </c>
      <c r="I399" t="s">
        <v>33</v>
      </c>
    </row>
    <row r="400" spans="2:9" x14ac:dyDescent="0.25">
      <c r="B400" t="s">
        <v>1250</v>
      </c>
      <c r="C400" t="s">
        <v>1251</v>
      </c>
      <c r="D400">
        <v>62</v>
      </c>
      <c r="E400" t="s">
        <v>16</v>
      </c>
      <c r="F400" t="s">
        <v>127</v>
      </c>
      <c r="G400" t="s">
        <v>65</v>
      </c>
      <c r="H400" t="s">
        <v>13</v>
      </c>
      <c r="I400" t="s">
        <v>19</v>
      </c>
    </row>
    <row r="401" spans="2:9" x14ac:dyDescent="0.25">
      <c r="B401" t="s">
        <v>1252</v>
      </c>
      <c r="C401" t="s">
        <v>1253</v>
      </c>
      <c r="D401">
        <v>54</v>
      </c>
      <c r="E401" t="s">
        <v>10</v>
      </c>
      <c r="F401" t="s">
        <v>1254</v>
      </c>
      <c r="G401" t="s">
        <v>49</v>
      </c>
      <c r="H401" t="s">
        <v>13</v>
      </c>
      <c r="I401" t="s">
        <v>28</v>
      </c>
    </row>
    <row r="402" spans="2:9" x14ac:dyDescent="0.25">
      <c r="B402" t="s">
        <v>1255</v>
      </c>
      <c r="C402" t="s">
        <v>1256</v>
      </c>
      <c r="D402">
        <v>27</v>
      </c>
      <c r="E402" t="s">
        <v>10</v>
      </c>
      <c r="F402" t="s">
        <v>1257</v>
      </c>
      <c r="G402" t="s">
        <v>439</v>
      </c>
      <c r="H402" t="s">
        <v>13</v>
      </c>
      <c r="I402" t="s">
        <v>28</v>
      </c>
    </row>
    <row r="403" spans="2:9" x14ac:dyDescent="0.25">
      <c r="B403" t="s">
        <v>1258</v>
      </c>
      <c r="C403" t="s">
        <v>1259</v>
      </c>
      <c r="D403">
        <v>57</v>
      </c>
      <c r="E403" t="s">
        <v>16</v>
      </c>
      <c r="F403" t="s">
        <v>1260</v>
      </c>
      <c r="G403" t="s">
        <v>99</v>
      </c>
      <c r="H403" t="s">
        <v>13</v>
      </c>
      <c r="I403" t="s">
        <v>19</v>
      </c>
    </row>
    <row r="404" spans="2:9" x14ac:dyDescent="0.25">
      <c r="B404" t="s">
        <v>1261</v>
      </c>
      <c r="C404" t="s">
        <v>1262</v>
      </c>
      <c r="D404">
        <v>51</v>
      </c>
      <c r="E404" t="s">
        <v>16</v>
      </c>
      <c r="F404" t="s">
        <v>1263</v>
      </c>
      <c r="G404" t="s">
        <v>188</v>
      </c>
      <c r="H404" t="s">
        <v>13</v>
      </c>
      <c r="I404" t="s">
        <v>19</v>
      </c>
    </row>
    <row r="405" spans="2:9" x14ac:dyDescent="0.25">
      <c r="B405" t="s">
        <v>1264</v>
      </c>
      <c r="C405" t="s">
        <v>1265</v>
      </c>
      <c r="D405">
        <v>31</v>
      </c>
      <c r="E405" t="s">
        <v>10</v>
      </c>
      <c r="F405" t="s">
        <v>83</v>
      </c>
      <c r="G405" t="s">
        <v>317</v>
      </c>
      <c r="H405" t="s">
        <v>13</v>
      </c>
      <c r="I405" t="s">
        <v>28</v>
      </c>
    </row>
    <row r="406" spans="2:9" x14ac:dyDescent="0.25">
      <c r="B406" t="s">
        <v>1266</v>
      </c>
      <c r="C406" t="s">
        <v>1267</v>
      </c>
      <c r="D406">
        <v>34</v>
      </c>
      <c r="E406" t="s">
        <v>10</v>
      </c>
      <c r="F406" t="s">
        <v>1268</v>
      </c>
      <c r="G406" t="s">
        <v>332</v>
      </c>
      <c r="H406" t="s">
        <v>13</v>
      </c>
      <c r="I406" t="s">
        <v>28</v>
      </c>
    </row>
    <row r="407" spans="2:9" x14ac:dyDescent="0.25">
      <c r="B407" t="s">
        <v>1269</v>
      </c>
      <c r="C407" t="s">
        <v>1270</v>
      </c>
      <c r="D407">
        <v>22</v>
      </c>
      <c r="E407" t="s">
        <v>16</v>
      </c>
      <c r="F407" t="s">
        <v>1271</v>
      </c>
      <c r="G407" t="s">
        <v>295</v>
      </c>
      <c r="H407" t="s">
        <v>13</v>
      </c>
      <c r="I407" t="s">
        <v>33</v>
      </c>
    </row>
    <row r="408" spans="2:9" x14ac:dyDescent="0.25">
      <c r="B408" t="s">
        <v>1272</v>
      </c>
      <c r="C408" t="s">
        <v>1273</v>
      </c>
      <c r="D408">
        <v>18</v>
      </c>
      <c r="E408" t="s">
        <v>16</v>
      </c>
      <c r="F408" t="s">
        <v>1274</v>
      </c>
      <c r="G408" t="s">
        <v>332</v>
      </c>
      <c r="H408" t="s">
        <v>13</v>
      </c>
      <c r="I408" t="s">
        <v>50</v>
      </c>
    </row>
    <row r="409" spans="2:9" x14ac:dyDescent="0.25">
      <c r="B409" t="s">
        <v>1275</v>
      </c>
      <c r="C409" t="s">
        <v>1276</v>
      </c>
      <c r="D409">
        <v>23</v>
      </c>
      <c r="E409" t="s">
        <v>16</v>
      </c>
      <c r="F409" t="s">
        <v>1277</v>
      </c>
      <c r="G409" t="s">
        <v>328</v>
      </c>
      <c r="H409" t="s">
        <v>13</v>
      </c>
      <c r="I409" t="s">
        <v>50</v>
      </c>
    </row>
    <row r="410" spans="2:9" x14ac:dyDescent="0.25">
      <c r="B410" t="s">
        <v>1278</v>
      </c>
      <c r="C410" t="s">
        <v>1279</v>
      </c>
      <c r="D410">
        <v>33</v>
      </c>
      <c r="E410" t="s">
        <v>10</v>
      </c>
      <c r="F410" t="s">
        <v>1280</v>
      </c>
      <c r="G410" t="s">
        <v>144</v>
      </c>
      <c r="H410" t="s">
        <v>13</v>
      </c>
      <c r="I410" t="s">
        <v>50</v>
      </c>
    </row>
    <row r="411" spans="2:9" x14ac:dyDescent="0.25">
      <c r="B411" t="s">
        <v>1281</v>
      </c>
      <c r="C411" t="s">
        <v>1282</v>
      </c>
      <c r="D411">
        <v>36</v>
      </c>
      <c r="E411" t="s">
        <v>10</v>
      </c>
      <c r="F411" t="s">
        <v>1283</v>
      </c>
      <c r="G411" t="s">
        <v>91</v>
      </c>
      <c r="H411" t="s">
        <v>13</v>
      </c>
      <c r="I411" t="s">
        <v>50</v>
      </c>
    </row>
    <row r="412" spans="2:9" x14ac:dyDescent="0.25">
      <c r="B412" t="s">
        <v>1284</v>
      </c>
      <c r="C412" t="s">
        <v>1285</v>
      </c>
      <c r="D412">
        <v>55</v>
      </c>
      <c r="E412" t="s">
        <v>10</v>
      </c>
      <c r="F412" t="s">
        <v>1286</v>
      </c>
      <c r="G412" t="s">
        <v>856</v>
      </c>
      <c r="H412" t="s">
        <v>13</v>
      </c>
      <c r="I412" t="s">
        <v>50</v>
      </c>
    </row>
    <row r="413" spans="2:9" x14ac:dyDescent="0.25">
      <c r="B413" t="s">
        <v>1287</v>
      </c>
      <c r="C413" t="s">
        <v>1288</v>
      </c>
      <c r="D413">
        <v>48</v>
      </c>
      <c r="E413" t="s">
        <v>16</v>
      </c>
      <c r="F413" t="s">
        <v>1289</v>
      </c>
      <c r="G413" t="s">
        <v>91</v>
      </c>
      <c r="H413" t="s">
        <v>13</v>
      </c>
      <c r="I413" t="s">
        <v>28</v>
      </c>
    </row>
    <row r="414" spans="2:9" x14ac:dyDescent="0.25">
      <c r="B414" t="s">
        <v>1290</v>
      </c>
      <c r="C414" t="s">
        <v>1291</v>
      </c>
      <c r="D414">
        <v>63</v>
      </c>
      <c r="E414" t="s">
        <v>10</v>
      </c>
      <c r="F414" t="s">
        <v>1292</v>
      </c>
      <c r="G414" t="s">
        <v>27</v>
      </c>
      <c r="H414" t="s">
        <v>13</v>
      </c>
      <c r="I414" t="s">
        <v>33</v>
      </c>
    </row>
    <row r="415" spans="2:9" x14ac:dyDescent="0.25">
      <c r="B415" t="s">
        <v>1293</v>
      </c>
      <c r="C415" t="s">
        <v>1294</v>
      </c>
      <c r="D415">
        <v>23</v>
      </c>
      <c r="E415" t="s">
        <v>16</v>
      </c>
      <c r="F415" t="s">
        <v>208</v>
      </c>
      <c r="G415" t="s">
        <v>160</v>
      </c>
      <c r="H415" t="s">
        <v>13</v>
      </c>
      <c r="I415" t="s">
        <v>50</v>
      </c>
    </row>
    <row r="416" spans="2:9" x14ac:dyDescent="0.25">
      <c r="B416" t="s">
        <v>1295</v>
      </c>
      <c r="C416" t="s">
        <v>1296</v>
      </c>
      <c r="D416">
        <v>59</v>
      </c>
      <c r="E416" t="s">
        <v>16</v>
      </c>
      <c r="F416" t="s">
        <v>1297</v>
      </c>
      <c r="G416" t="s">
        <v>110</v>
      </c>
      <c r="H416" t="s">
        <v>13</v>
      </c>
      <c r="I416" t="s">
        <v>28</v>
      </c>
    </row>
    <row r="417" spans="2:9" x14ac:dyDescent="0.25">
      <c r="B417" t="s">
        <v>1298</v>
      </c>
      <c r="C417" t="s">
        <v>1299</v>
      </c>
      <c r="D417">
        <v>35</v>
      </c>
      <c r="E417" t="s">
        <v>16</v>
      </c>
      <c r="F417" t="s">
        <v>1300</v>
      </c>
      <c r="G417" t="s">
        <v>117</v>
      </c>
      <c r="H417" t="s">
        <v>13</v>
      </c>
      <c r="I417" t="s">
        <v>50</v>
      </c>
    </row>
    <row r="418" spans="2:9" x14ac:dyDescent="0.25">
      <c r="B418" t="s">
        <v>1301</v>
      </c>
      <c r="C418" t="s">
        <v>1302</v>
      </c>
      <c r="D418">
        <v>26</v>
      </c>
      <c r="E418" t="s">
        <v>16</v>
      </c>
      <c r="F418" t="s">
        <v>1303</v>
      </c>
      <c r="G418" t="s">
        <v>167</v>
      </c>
      <c r="H418" t="s">
        <v>13</v>
      </c>
      <c r="I418" t="s">
        <v>33</v>
      </c>
    </row>
    <row r="419" spans="2:9" x14ac:dyDescent="0.25">
      <c r="B419" t="s">
        <v>1304</v>
      </c>
      <c r="C419" t="s">
        <v>1305</v>
      </c>
      <c r="D419">
        <v>46</v>
      </c>
      <c r="E419" t="s">
        <v>10</v>
      </c>
      <c r="F419" t="s">
        <v>1306</v>
      </c>
      <c r="G419" t="s">
        <v>328</v>
      </c>
      <c r="H419" t="s">
        <v>13</v>
      </c>
      <c r="I419" t="s">
        <v>19</v>
      </c>
    </row>
    <row r="420" spans="2:9" x14ac:dyDescent="0.25">
      <c r="B420" t="s">
        <v>1307</v>
      </c>
      <c r="C420" t="s">
        <v>1308</v>
      </c>
      <c r="D420">
        <v>64</v>
      </c>
      <c r="E420" t="s">
        <v>16</v>
      </c>
      <c r="F420" t="s">
        <v>1309</v>
      </c>
      <c r="G420" t="s">
        <v>12</v>
      </c>
      <c r="H420" t="s">
        <v>13</v>
      </c>
      <c r="I420" t="s">
        <v>28</v>
      </c>
    </row>
    <row r="421" spans="2:9" x14ac:dyDescent="0.25">
      <c r="B421" t="s">
        <v>1310</v>
      </c>
      <c r="C421" t="s">
        <v>1311</v>
      </c>
      <c r="D421">
        <v>60</v>
      </c>
      <c r="E421" t="s">
        <v>16</v>
      </c>
      <c r="F421" t="s">
        <v>1312</v>
      </c>
      <c r="G421" t="s">
        <v>49</v>
      </c>
      <c r="H421" t="s">
        <v>13</v>
      </c>
      <c r="I421" t="s">
        <v>33</v>
      </c>
    </row>
    <row r="422" spans="2:9" x14ac:dyDescent="0.25">
      <c r="B422" t="s">
        <v>1313</v>
      </c>
      <c r="C422" t="s">
        <v>1314</v>
      </c>
      <c r="D422">
        <v>33</v>
      </c>
      <c r="E422" t="s">
        <v>10</v>
      </c>
      <c r="F422" t="s">
        <v>1315</v>
      </c>
      <c r="G422" t="s">
        <v>317</v>
      </c>
      <c r="H422" t="s">
        <v>13</v>
      </c>
      <c r="I422" t="s">
        <v>50</v>
      </c>
    </row>
    <row r="423" spans="2:9" x14ac:dyDescent="0.25">
      <c r="B423" t="s">
        <v>1316</v>
      </c>
      <c r="C423" t="s">
        <v>1317</v>
      </c>
      <c r="D423">
        <v>60</v>
      </c>
      <c r="E423" t="s">
        <v>10</v>
      </c>
      <c r="F423" t="s">
        <v>1318</v>
      </c>
      <c r="G423" t="s">
        <v>12</v>
      </c>
      <c r="H423" t="s">
        <v>13</v>
      </c>
      <c r="I423" t="s">
        <v>28</v>
      </c>
    </row>
    <row r="424" spans="2:9" x14ac:dyDescent="0.25">
      <c r="B424" t="s">
        <v>1319</v>
      </c>
      <c r="C424" t="s">
        <v>1320</v>
      </c>
      <c r="D424">
        <v>45</v>
      </c>
      <c r="E424" t="s">
        <v>16</v>
      </c>
      <c r="F424" t="s">
        <v>1321</v>
      </c>
      <c r="G424" t="s">
        <v>77</v>
      </c>
      <c r="H424" t="s">
        <v>13</v>
      </c>
      <c r="I424" t="s">
        <v>19</v>
      </c>
    </row>
    <row r="425" spans="2:9" x14ac:dyDescent="0.25">
      <c r="B425" t="s">
        <v>1322</v>
      </c>
      <c r="C425" t="s">
        <v>1323</v>
      </c>
      <c r="D425">
        <v>42</v>
      </c>
      <c r="E425" t="s">
        <v>16</v>
      </c>
      <c r="F425" t="s">
        <v>1324</v>
      </c>
      <c r="G425" t="s">
        <v>65</v>
      </c>
      <c r="H425" t="s">
        <v>13</v>
      </c>
      <c r="I425" t="s">
        <v>19</v>
      </c>
    </row>
    <row r="426" spans="2:9" x14ac:dyDescent="0.25">
      <c r="B426" t="s">
        <v>1325</v>
      </c>
      <c r="C426" t="s">
        <v>1326</v>
      </c>
      <c r="D426">
        <v>35</v>
      </c>
      <c r="E426" t="s">
        <v>10</v>
      </c>
      <c r="F426" t="s">
        <v>1327</v>
      </c>
      <c r="G426" t="s">
        <v>65</v>
      </c>
      <c r="H426" t="s">
        <v>13</v>
      </c>
      <c r="I426" t="s">
        <v>33</v>
      </c>
    </row>
    <row r="427" spans="2:9" x14ac:dyDescent="0.25">
      <c r="B427" t="s">
        <v>1328</v>
      </c>
      <c r="C427" t="s">
        <v>1329</v>
      </c>
      <c r="D427">
        <v>53</v>
      </c>
      <c r="E427" t="s">
        <v>10</v>
      </c>
      <c r="F427" t="s">
        <v>1330</v>
      </c>
      <c r="G427" t="s">
        <v>12</v>
      </c>
      <c r="H427" t="s">
        <v>13</v>
      </c>
      <c r="I427" t="s">
        <v>28</v>
      </c>
    </row>
    <row r="428" spans="2:9" x14ac:dyDescent="0.25">
      <c r="B428" t="s">
        <v>1331</v>
      </c>
      <c r="C428" t="s">
        <v>1332</v>
      </c>
      <c r="D428">
        <v>40</v>
      </c>
      <c r="E428" t="s">
        <v>10</v>
      </c>
      <c r="F428" t="s">
        <v>1333</v>
      </c>
      <c r="G428" t="s">
        <v>121</v>
      </c>
      <c r="H428" t="s">
        <v>13</v>
      </c>
      <c r="I428" t="s">
        <v>28</v>
      </c>
    </row>
    <row r="429" spans="2:9" x14ac:dyDescent="0.25">
      <c r="B429" t="s">
        <v>1334</v>
      </c>
      <c r="C429" t="s">
        <v>1335</v>
      </c>
      <c r="D429">
        <v>28</v>
      </c>
      <c r="E429" t="s">
        <v>10</v>
      </c>
      <c r="F429" t="s">
        <v>1336</v>
      </c>
      <c r="G429" t="s">
        <v>12</v>
      </c>
      <c r="H429" t="s">
        <v>13</v>
      </c>
      <c r="I429" t="s">
        <v>19</v>
      </c>
    </row>
    <row r="430" spans="2:9" x14ac:dyDescent="0.25">
      <c r="B430" t="s">
        <v>1337</v>
      </c>
      <c r="C430" t="s">
        <v>1338</v>
      </c>
      <c r="D430">
        <v>18</v>
      </c>
      <c r="E430" t="s">
        <v>16</v>
      </c>
      <c r="F430" t="s">
        <v>1339</v>
      </c>
      <c r="G430" t="s">
        <v>439</v>
      </c>
      <c r="H430" t="s">
        <v>13</v>
      </c>
      <c r="I430" t="s">
        <v>50</v>
      </c>
    </row>
    <row r="431" spans="2:9" x14ac:dyDescent="0.25">
      <c r="B431" t="s">
        <v>1340</v>
      </c>
      <c r="C431" t="s">
        <v>1341</v>
      </c>
      <c r="D431">
        <v>27</v>
      </c>
      <c r="E431" t="s">
        <v>16</v>
      </c>
      <c r="F431" t="s">
        <v>1342</v>
      </c>
      <c r="G431" t="s">
        <v>332</v>
      </c>
      <c r="H431" t="s">
        <v>13</v>
      </c>
      <c r="I431" t="s">
        <v>28</v>
      </c>
    </row>
    <row r="432" spans="2:9" x14ac:dyDescent="0.25">
      <c r="B432" t="s">
        <v>1343</v>
      </c>
      <c r="C432" t="s">
        <v>1344</v>
      </c>
      <c r="D432">
        <v>43</v>
      </c>
      <c r="E432" t="s">
        <v>10</v>
      </c>
      <c r="F432" t="s">
        <v>1345</v>
      </c>
      <c r="G432" t="s">
        <v>110</v>
      </c>
      <c r="H432" t="s">
        <v>13</v>
      </c>
      <c r="I432" t="s">
        <v>19</v>
      </c>
    </row>
    <row r="433" spans="2:9" x14ac:dyDescent="0.25">
      <c r="B433" t="s">
        <v>1346</v>
      </c>
      <c r="C433" t="s">
        <v>1347</v>
      </c>
      <c r="D433">
        <v>36</v>
      </c>
      <c r="E433" t="s">
        <v>16</v>
      </c>
      <c r="F433" t="s">
        <v>1348</v>
      </c>
      <c r="G433" t="s">
        <v>91</v>
      </c>
      <c r="H433" t="s">
        <v>13</v>
      </c>
      <c r="I433" t="s">
        <v>50</v>
      </c>
    </row>
    <row r="434" spans="2:9" x14ac:dyDescent="0.25">
      <c r="B434" t="s">
        <v>1349</v>
      </c>
      <c r="C434" t="s">
        <v>1350</v>
      </c>
      <c r="D434">
        <v>27</v>
      </c>
      <c r="E434" t="s">
        <v>10</v>
      </c>
      <c r="F434" t="s">
        <v>1351</v>
      </c>
      <c r="G434" t="s">
        <v>32</v>
      </c>
      <c r="H434" t="s">
        <v>13</v>
      </c>
      <c r="I434" t="s">
        <v>19</v>
      </c>
    </row>
    <row r="435" spans="2:9" x14ac:dyDescent="0.25">
      <c r="B435" t="s">
        <v>1352</v>
      </c>
      <c r="C435" t="s">
        <v>1353</v>
      </c>
      <c r="D435">
        <v>37</v>
      </c>
      <c r="E435" t="s">
        <v>10</v>
      </c>
      <c r="F435" t="s">
        <v>1354</v>
      </c>
      <c r="G435" t="s">
        <v>91</v>
      </c>
      <c r="H435" t="s">
        <v>13</v>
      </c>
      <c r="I435" t="s">
        <v>28</v>
      </c>
    </row>
    <row r="436" spans="2:9" x14ac:dyDescent="0.25">
      <c r="B436" t="s">
        <v>1355</v>
      </c>
      <c r="C436" t="s">
        <v>1356</v>
      </c>
      <c r="D436">
        <v>51</v>
      </c>
      <c r="E436" t="s">
        <v>16</v>
      </c>
      <c r="F436" t="s">
        <v>1357</v>
      </c>
      <c r="G436" t="s">
        <v>61</v>
      </c>
      <c r="H436" t="s">
        <v>13</v>
      </c>
      <c r="I436" t="s">
        <v>33</v>
      </c>
    </row>
    <row r="437" spans="2:9" x14ac:dyDescent="0.25">
      <c r="B437" t="s">
        <v>1358</v>
      </c>
      <c r="C437" t="s">
        <v>1359</v>
      </c>
      <c r="D437">
        <v>48</v>
      </c>
      <c r="E437" t="s">
        <v>16</v>
      </c>
      <c r="F437" t="s">
        <v>1360</v>
      </c>
      <c r="G437" t="s">
        <v>258</v>
      </c>
      <c r="H437" t="s">
        <v>13</v>
      </c>
      <c r="I437" t="s">
        <v>50</v>
      </c>
    </row>
    <row r="438" spans="2:9" x14ac:dyDescent="0.25">
      <c r="B438" t="s">
        <v>1361</v>
      </c>
      <c r="C438" t="s">
        <v>1362</v>
      </c>
      <c r="D438">
        <v>37</v>
      </c>
      <c r="E438" t="s">
        <v>16</v>
      </c>
      <c r="F438" t="s">
        <v>1363</v>
      </c>
      <c r="G438" t="s">
        <v>110</v>
      </c>
      <c r="H438" t="s">
        <v>13</v>
      </c>
      <c r="I438" t="s">
        <v>33</v>
      </c>
    </row>
    <row r="439" spans="2:9" x14ac:dyDescent="0.25">
      <c r="B439" t="s">
        <v>1364</v>
      </c>
      <c r="C439" t="s">
        <v>1365</v>
      </c>
      <c r="D439">
        <v>61</v>
      </c>
      <c r="E439" t="s">
        <v>10</v>
      </c>
      <c r="F439" t="s">
        <v>1366</v>
      </c>
      <c r="G439" t="s">
        <v>41</v>
      </c>
      <c r="H439" t="s">
        <v>13</v>
      </c>
      <c r="I439" t="s">
        <v>50</v>
      </c>
    </row>
    <row r="440" spans="2:9" x14ac:dyDescent="0.25">
      <c r="B440" t="s">
        <v>1367</v>
      </c>
      <c r="C440" t="s">
        <v>1368</v>
      </c>
      <c r="D440">
        <v>47</v>
      </c>
      <c r="E440" t="s">
        <v>16</v>
      </c>
      <c r="F440" t="s">
        <v>605</v>
      </c>
      <c r="G440" t="s">
        <v>49</v>
      </c>
      <c r="H440" t="s">
        <v>13</v>
      </c>
      <c r="I440" t="s">
        <v>19</v>
      </c>
    </row>
    <row r="441" spans="2:9" x14ac:dyDescent="0.25">
      <c r="B441" t="s">
        <v>1369</v>
      </c>
      <c r="C441" t="s">
        <v>1370</v>
      </c>
      <c r="D441">
        <v>59</v>
      </c>
      <c r="E441" t="s">
        <v>16</v>
      </c>
      <c r="F441" t="s">
        <v>1371</v>
      </c>
      <c r="G441" t="s">
        <v>241</v>
      </c>
      <c r="H441" t="s">
        <v>13</v>
      </c>
      <c r="I441" t="s">
        <v>19</v>
      </c>
    </row>
    <row r="442" spans="2:9" x14ac:dyDescent="0.25">
      <c r="B442" t="s">
        <v>1372</v>
      </c>
      <c r="C442" t="s">
        <v>1373</v>
      </c>
      <c r="D442">
        <v>53</v>
      </c>
      <c r="E442" t="s">
        <v>10</v>
      </c>
      <c r="F442" t="s">
        <v>942</v>
      </c>
      <c r="G442" t="s">
        <v>160</v>
      </c>
      <c r="H442" t="s">
        <v>13</v>
      </c>
      <c r="I442" t="s">
        <v>33</v>
      </c>
    </row>
    <row r="443" spans="2:9" x14ac:dyDescent="0.25">
      <c r="B443" t="s">
        <v>1374</v>
      </c>
      <c r="C443" t="s">
        <v>1375</v>
      </c>
      <c r="D443">
        <v>60</v>
      </c>
      <c r="E443" t="s">
        <v>10</v>
      </c>
      <c r="F443" t="s">
        <v>1376</v>
      </c>
      <c r="G443" t="s">
        <v>18</v>
      </c>
      <c r="H443" t="s">
        <v>13</v>
      </c>
      <c r="I443" t="s">
        <v>33</v>
      </c>
    </row>
    <row r="444" spans="2:9" x14ac:dyDescent="0.25">
      <c r="B444" t="s">
        <v>1377</v>
      </c>
      <c r="C444" t="s">
        <v>1378</v>
      </c>
      <c r="D444">
        <v>31</v>
      </c>
      <c r="E444" t="s">
        <v>10</v>
      </c>
      <c r="F444" t="s">
        <v>1379</v>
      </c>
      <c r="G444" t="s">
        <v>328</v>
      </c>
      <c r="H444" t="s">
        <v>13</v>
      </c>
      <c r="I444" t="s">
        <v>33</v>
      </c>
    </row>
    <row r="445" spans="2:9" x14ac:dyDescent="0.25">
      <c r="B445" t="s">
        <v>1380</v>
      </c>
      <c r="C445" t="s">
        <v>1381</v>
      </c>
      <c r="D445">
        <v>42</v>
      </c>
      <c r="E445" t="s">
        <v>16</v>
      </c>
      <c r="F445" t="s">
        <v>1382</v>
      </c>
      <c r="G445" t="s">
        <v>37</v>
      </c>
      <c r="H445" t="s">
        <v>13</v>
      </c>
      <c r="I445" t="s">
        <v>28</v>
      </c>
    </row>
    <row r="446" spans="2:9" x14ac:dyDescent="0.25">
      <c r="B446" t="s">
        <v>1383</v>
      </c>
      <c r="C446" t="s">
        <v>1384</v>
      </c>
      <c r="D446">
        <v>51</v>
      </c>
      <c r="E446" t="s">
        <v>10</v>
      </c>
      <c r="F446" t="s">
        <v>1385</v>
      </c>
      <c r="G446" t="s">
        <v>363</v>
      </c>
      <c r="H446" t="s">
        <v>13</v>
      </c>
      <c r="I446" t="s">
        <v>33</v>
      </c>
    </row>
    <row r="447" spans="2:9" x14ac:dyDescent="0.25">
      <c r="B447" t="s">
        <v>1386</v>
      </c>
      <c r="C447" t="s">
        <v>1387</v>
      </c>
      <c r="D447">
        <v>19</v>
      </c>
      <c r="E447" t="s">
        <v>10</v>
      </c>
      <c r="F447" t="s">
        <v>1388</v>
      </c>
      <c r="G447" t="s">
        <v>856</v>
      </c>
      <c r="H447" t="s">
        <v>13</v>
      </c>
      <c r="I447" t="s">
        <v>50</v>
      </c>
    </row>
    <row r="448" spans="2:9" x14ac:dyDescent="0.25">
      <c r="B448" t="s">
        <v>1389</v>
      </c>
      <c r="C448" t="s">
        <v>1390</v>
      </c>
      <c r="D448">
        <v>41</v>
      </c>
      <c r="E448" t="s">
        <v>16</v>
      </c>
      <c r="F448" t="s">
        <v>1391</v>
      </c>
      <c r="G448" t="s">
        <v>291</v>
      </c>
      <c r="H448" t="s">
        <v>13</v>
      </c>
      <c r="I448" t="s">
        <v>19</v>
      </c>
    </row>
    <row r="449" spans="2:9" x14ac:dyDescent="0.25">
      <c r="B449" t="s">
        <v>1392</v>
      </c>
      <c r="C449" t="s">
        <v>1393</v>
      </c>
      <c r="D449">
        <v>35</v>
      </c>
      <c r="E449" t="s">
        <v>10</v>
      </c>
      <c r="F449" t="s">
        <v>1394</v>
      </c>
      <c r="G449" t="s">
        <v>99</v>
      </c>
      <c r="H449" t="s">
        <v>13</v>
      </c>
      <c r="I449" t="s">
        <v>33</v>
      </c>
    </row>
    <row r="450" spans="2:9" x14ac:dyDescent="0.25">
      <c r="B450" t="s">
        <v>1395</v>
      </c>
      <c r="C450" t="s">
        <v>1396</v>
      </c>
      <c r="D450">
        <v>45</v>
      </c>
      <c r="E450" t="s">
        <v>10</v>
      </c>
      <c r="F450" t="s">
        <v>1397</v>
      </c>
      <c r="G450" t="s">
        <v>12</v>
      </c>
      <c r="H450" t="s">
        <v>13</v>
      </c>
      <c r="I450" t="s">
        <v>50</v>
      </c>
    </row>
    <row r="451" spans="2:9" x14ac:dyDescent="0.25">
      <c r="B451" t="s">
        <v>1398</v>
      </c>
      <c r="C451" t="s">
        <v>1399</v>
      </c>
      <c r="D451">
        <v>64</v>
      </c>
      <c r="E451" t="s">
        <v>16</v>
      </c>
      <c r="F451" t="s">
        <v>1400</v>
      </c>
      <c r="G451" t="s">
        <v>856</v>
      </c>
      <c r="H451" t="s">
        <v>13</v>
      </c>
      <c r="I451" t="s">
        <v>28</v>
      </c>
    </row>
    <row r="452" spans="2:9" x14ac:dyDescent="0.25">
      <c r="B452" t="s">
        <v>1401</v>
      </c>
      <c r="C452" t="s">
        <v>1402</v>
      </c>
      <c r="D452">
        <v>29</v>
      </c>
      <c r="E452" t="s">
        <v>10</v>
      </c>
      <c r="F452" t="s">
        <v>1403</v>
      </c>
      <c r="G452" t="s">
        <v>27</v>
      </c>
      <c r="H452" t="s">
        <v>13</v>
      </c>
      <c r="I452" t="s">
        <v>28</v>
      </c>
    </row>
    <row r="453" spans="2:9" x14ac:dyDescent="0.25">
      <c r="B453" t="s">
        <v>1404</v>
      </c>
      <c r="C453" t="s">
        <v>1405</v>
      </c>
      <c r="D453">
        <v>59</v>
      </c>
      <c r="E453" t="s">
        <v>10</v>
      </c>
      <c r="F453" t="s">
        <v>1406</v>
      </c>
      <c r="G453" t="s">
        <v>73</v>
      </c>
      <c r="H453" t="s">
        <v>13</v>
      </c>
      <c r="I453" t="s">
        <v>28</v>
      </c>
    </row>
    <row r="454" spans="2:9" x14ac:dyDescent="0.25">
      <c r="B454" t="s">
        <v>1407</v>
      </c>
      <c r="C454" t="s">
        <v>1408</v>
      </c>
      <c r="D454">
        <v>46</v>
      </c>
      <c r="E454" t="s">
        <v>10</v>
      </c>
      <c r="F454" t="s">
        <v>571</v>
      </c>
      <c r="G454" t="s">
        <v>237</v>
      </c>
      <c r="H454" t="s">
        <v>13</v>
      </c>
      <c r="I454" t="s">
        <v>50</v>
      </c>
    </row>
    <row r="455" spans="2:9" x14ac:dyDescent="0.25">
      <c r="B455" t="s">
        <v>1409</v>
      </c>
      <c r="C455" t="s">
        <v>1410</v>
      </c>
      <c r="D455">
        <v>60</v>
      </c>
      <c r="E455" t="s">
        <v>16</v>
      </c>
      <c r="F455" t="s">
        <v>1411</v>
      </c>
      <c r="G455" t="s">
        <v>317</v>
      </c>
      <c r="H455" t="s">
        <v>13</v>
      </c>
      <c r="I455" t="s">
        <v>28</v>
      </c>
    </row>
    <row r="456" spans="2:9" x14ac:dyDescent="0.25">
      <c r="B456" t="s">
        <v>1412</v>
      </c>
      <c r="C456" t="s">
        <v>1413</v>
      </c>
      <c r="D456">
        <v>62</v>
      </c>
      <c r="E456" t="s">
        <v>16</v>
      </c>
      <c r="F456" t="s">
        <v>1414</v>
      </c>
      <c r="G456" t="s">
        <v>103</v>
      </c>
      <c r="H456" t="s">
        <v>13</v>
      </c>
      <c r="I456" t="s">
        <v>19</v>
      </c>
    </row>
    <row r="457" spans="2:9" x14ac:dyDescent="0.25">
      <c r="B457" t="s">
        <v>1415</v>
      </c>
      <c r="C457" t="s">
        <v>1416</v>
      </c>
      <c r="D457">
        <v>60</v>
      </c>
      <c r="E457" t="s">
        <v>10</v>
      </c>
      <c r="F457" t="s">
        <v>133</v>
      </c>
      <c r="G457" t="s">
        <v>99</v>
      </c>
      <c r="H457" t="s">
        <v>13</v>
      </c>
      <c r="I457" t="s">
        <v>50</v>
      </c>
    </row>
    <row r="458" spans="2:9" x14ac:dyDescent="0.25">
      <c r="B458" t="s">
        <v>1417</v>
      </c>
      <c r="C458" t="s">
        <v>1418</v>
      </c>
      <c r="D458">
        <v>54</v>
      </c>
      <c r="E458" t="s">
        <v>10</v>
      </c>
      <c r="F458" t="s">
        <v>1419</v>
      </c>
      <c r="G458" t="s">
        <v>198</v>
      </c>
      <c r="H458" t="s">
        <v>13</v>
      </c>
      <c r="I458" t="s">
        <v>50</v>
      </c>
    </row>
    <row r="459" spans="2:9" x14ac:dyDescent="0.25">
      <c r="B459" t="s">
        <v>1420</v>
      </c>
      <c r="C459" t="s">
        <v>1421</v>
      </c>
      <c r="D459">
        <v>59</v>
      </c>
      <c r="E459" t="s">
        <v>16</v>
      </c>
      <c r="F459" t="s">
        <v>1422</v>
      </c>
      <c r="G459" t="s">
        <v>295</v>
      </c>
      <c r="H459" t="s">
        <v>13</v>
      </c>
      <c r="I459" t="s">
        <v>50</v>
      </c>
    </row>
    <row r="460" spans="2:9" x14ac:dyDescent="0.25">
      <c r="B460" t="s">
        <v>1423</v>
      </c>
      <c r="C460" t="s">
        <v>1424</v>
      </c>
      <c r="D460">
        <v>59</v>
      </c>
      <c r="E460" t="s">
        <v>10</v>
      </c>
      <c r="F460" t="s">
        <v>1425</v>
      </c>
      <c r="G460" t="s">
        <v>596</v>
      </c>
      <c r="H460" t="s">
        <v>13</v>
      </c>
      <c r="I460" t="s">
        <v>19</v>
      </c>
    </row>
    <row r="461" spans="2:9" x14ac:dyDescent="0.25">
      <c r="B461" t="s">
        <v>1426</v>
      </c>
      <c r="C461" t="s">
        <v>1427</v>
      </c>
      <c r="D461">
        <v>62</v>
      </c>
      <c r="E461" t="s">
        <v>16</v>
      </c>
      <c r="F461" t="s">
        <v>1428</v>
      </c>
      <c r="G461" t="s">
        <v>54</v>
      </c>
      <c r="H461" t="s">
        <v>13</v>
      </c>
      <c r="I461" t="s">
        <v>33</v>
      </c>
    </row>
    <row r="462" spans="2:9" x14ac:dyDescent="0.25">
      <c r="B462" t="s">
        <v>1429</v>
      </c>
      <c r="C462" t="s">
        <v>687</v>
      </c>
      <c r="D462">
        <v>29</v>
      </c>
      <c r="E462" t="s">
        <v>16</v>
      </c>
      <c r="F462" t="s">
        <v>1430</v>
      </c>
      <c r="G462" t="s">
        <v>321</v>
      </c>
      <c r="H462" t="s">
        <v>13</v>
      </c>
      <c r="I462" t="s">
        <v>50</v>
      </c>
    </row>
    <row r="463" spans="2:9" x14ac:dyDescent="0.25">
      <c r="B463" t="s">
        <v>1431</v>
      </c>
      <c r="C463" t="s">
        <v>1432</v>
      </c>
      <c r="D463">
        <v>35</v>
      </c>
      <c r="E463" t="s">
        <v>10</v>
      </c>
      <c r="F463" t="s">
        <v>1433</v>
      </c>
      <c r="G463" t="s">
        <v>271</v>
      </c>
      <c r="H463" t="s">
        <v>13</v>
      </c>
      <c r="I463" t="s">
        <v>50</v>
      </c>
    </row>
    <row r="464" spans="2:9" x14ac:dyDescent="0.25">
      <c r="B464" t="s">
        <v>1434</v>
      </c>
      <c r="C464" t="s">
        <v>1435</v>
      </c>
      <c r="D464">
        <v>60</v>
      </c>
      <c r="E464" t="s">
        <v>16</v>
      </c>
      <c r="F464" t="s">
        <v>1436</v>
      </c>
      <c r="G464" t="s">
        <v>65</v>
      </c>
      <c r="H464" t="s">
        <v>13</v>
      </c>
      <c r="I464" t="s">
        <v>33</v>
      </c>
    </row>
    <row r="465" spans="2:9" x14ac:dyDescent="0.25">
      <c r="B465" t="s">
        <v>1437</v>
      </c>
      <c r="C465" t="s">
        <v>1438</v>
      </c>
      <c r="D465">
        <v>34</v>
      </c>
      <c r="E465" t="s">
        <v>16</v>
      </c>
      <c r="F465" t="s">
        <v>1439</v>
      </c>
      <c r="G465" t="s">
        <v>45</v>
      </c>
      <c r="H465" t="s">
        <v>13</v>
      </c>
      <c r="I465" t="s">
        <v>33</v>
      </c>
    </row>
    <row r="466" spans="2:9" x14ac:dyDescent="0.25">
      <c r="B466" t="s">
        <v>1440</v>
      </c>
      <c r="C466" t="s">
        <v>1441</v>
      </c>
      <c r="D466">
        <v>36</v>
      </c>
      <c r="E466" t="s">
        <v>16</v>
      </c>
      <c r="F466" t="s">
        <v>1442</v>
      </c>
      <c r="G466" t="s">
        <v>171</v>
      </c>
      <c r="H466" t="s">
        <v>13</v>
      </c>
      <c r="I466" t="s">
        <v>28</v>
      </c>
    </row>
    <row r="467" spans="2:9" x14ac:dyDescent="0.25">
      <c r="B467" t="s">
        <v>1550</v>
      </c>
      <c r="C467" t="s">
        <v>1444</v>
      </c>
      <c r="D467">
        <v>45</v>
      </c>
      <c r="E467" t="s">
        <v>16</v>
      </c>
      <c r="F467" t="s">
        <v>1445</v>
      </c>
      <c r="G467" t="s">
        <v>77</v>
      </c>
      <c r="H467" t="s">
        <v>13</v>
      </c>
      <c r="I467" t="s">
        <v>19</v>
      </c>
    </row>
    <row r="468" spans="2:9" x14ac:dyDescent="0.25">
      <c r="B468" t="s">
        <v>1446</v>
      </c>
      <c r="C468" t="s">
        <v>1447</v>
      </c>
      <c r="D468">
        <v>28</v>
      </c>
      <c r="E468" t="s">
        <v>16</v>
      </c>
      <c r="F468" t="s">
        <v>1448</v>
      </c>
      <c r="G468" t="s">
        <v>12</v>
      </c>
      <c r="H468" t="s">
        <v>13</v>
      </c>
      <c r="I468" t="s">
        <v>33</v>
      </c>
    </row>
    <row r="469" spans="2:9" x14ac:dyDescent="0.25">
      <c r="B469" t="s">
        <v>1449</v>
      </c>
      <c r="C469" t="s">
        <v>1450</v>
      </c>
      <c r="D469">
        <v>18</v>
      </c>
      <c r="E469" t="s">
        <v>10</v>
      </c>
      <c r="F469" t="s">
        <v>1451</v>
      </c>
      <c r="G469" t="s">
        <v>205</v>
      </c>
      <c r="H469" t="s">
        <v>13</v>
      </c>
      <c r="I469" t="s">
        <v>33</v>
      </c>
    </row>
    <row r="470" spans="2:9" x14ac:dyDescent="0.25">
      <c r="B470" t="s">
        <v>1452</v>
      </c>
      <c r="C470" t="s">
        <v>1453</v>
      </c>
      <c r="D470">
        <v>63</v>
      </c>
      <c r="E470" t="s">
        <v>16</v>
      </c>
      <c r="F470" t="s">
        <v>1454</v>
      </c>
      <c r="G470" t="s">
        <v>175</v>
      </c>
      <c r="H470" t="s">
        <v>13</v>
      </c>
      <c r="I470" t="s">
        <v>50</v>
      </c>
    </row>
    <row r="471" spans="2:9" x14ac:dyDescent="0.25">
      <c r="B471" t="s">
        <v>1455</v>
      </c>
      <c r="C471" t="s">
        <v>1456</v>
      </c>
      <c r="D471">
        <v>45</v>
      </c>
      <c r="E471" t="s">
        <v>10</v>
      </c>
      <c r="F471" t="s">
        <v>1457</v>
      </c>
      <c r="G471" t="s">
        <v>175</v>
      </c>
      <c r="H471" t="s">
        <v>13</v>
      </c>
      <c r="I471" t="s">
        <v>28</v>
      </c>
    </row>
    <row r="472" spans="2:9" x14ac:dyDescent="0.25">
      <c r="B472" t="s">
        <v>1458</v>
      </c>
      <c r="C472" t="s">
        <v>1459</v>
      </c>
      <c r="D472">
        <v>19</v>
      </c>
      <c r="E472" t="s">
        <v>10</v>
      </c>
      <c r="F472" t="s">
        <v>1460</v>
      </c>
      <c r="G472" t="s">
        <v>121</v>
      </c>
      <c r="H472" t="s">
        <v>13</v>
      </c>
      <c r="I472" t="s">
        <v>50</v>
      </c>
    </row>
    <row r="473" spans="2:9" x14ac:dyDescent="0.25">
      <c r="B473" t="s">
        <v>1461</v>
      </c>
      <c r="C473" t="s">
        <v>1462</v>
      </c>
      <c r="D473">
        <v>21</v>
      </c>
      <c r="E473" t="s">
        <v>16</v>
      </c>
      <c r="F473" t="s">
        <v>1463</v>
      </c>
      <c r="G473" t="s">
        <v>49</v>
      </c>
      <c r="H473" t="s">
        <v>13</v>
      </c>
      <c r="I473" t="s">
        <v>50</v>
      </c>
    </row>
    <row r="474" spans="2:9" x14ac:dyDescent="0.25">
      <c r="B474" t="s">
        <v>1464</v>
      </c>
      <c r="C474" t="s">
        <v>1465</v>
      </c>
      <c r="D474">
        <v>42</v>
      </c>
      <c r="E474" t="s">
        <v>10</v>
      </c>
      <c r="F474" t="s">
        <v>1466</v>
      </c>
      <c r="G474" t="s">
        <v>69</v>
      </c>
      <c r="H474" t="s">
        <v>13</v>
      </c>
      <c r="I474" t="s">
        <v>19</v>
      </c>
    </row>
    <row r="475" spans="2:9" x14ac:dyDescent="0.25">
      <c r="B475" t="s">
        <v>1467</v>
      </c>
      <c r="C475" t="s">
        <v>1468</v>
      </c>
      <c r="D475">
        <v>42</v>
      </c>
      <c r="E475" t="s">
        <v>10</v>
      </c>
      <c r="F475" t="s">
        <v>1469</v>
      </c>
      <c r="G475" t="s">
        <v>725</v>
      </c>
      <c r="H475" t="s">
        <v>13</v>
      </c>
      <c r="I475" t="s">
        <v>33</v>
      </c>
    </row>
    <row r="476" spans="2:9" x14ac:dyDescent="0.25">
      <c r="B476" t="s">
        <v>1470</v>
      </c>
      <c r="C476" t="s">
        <v>1471</v>
      </c>
      <c r="D476">
        <v>53</v>
      </c>
      <c r="E476" t="s">
        <v>10</v>
      </c>
      <c r="F476" t="s">
        <v>1472</v>
      </c>
      <c r="G476" t="s">
        <v>328</v>
      </c>
      <c r="H476" t="s">
        <v>13</v>
      </c>
      <c r="I476" t="s">
        <v>28</v>
      </c>
    </row>
    <row r="477" spans="2:9" x14ac:dyDescent="0.25">
      <c r="B477" t="s">
        <v>1473</v>
      </c>
      <c r="C477" t="s">
        <v>1474</v>
      </c>
      <c r="D477">
        <v>32</v>
      </c>
      <c r="E477" t="s">
        <v>16</v>
      </c>
      <c r="F477" t="s">
        <v>1475</v>
      </c>
      <c r="G477" t="s">
        <v>41</v>
      </c>
      <c r="H477" t="s">
        <v>13</v>
      </c>
      <c r="I477" t="s">
        <v>19</v>
      </c>
    </row>
    <row r="478" spans="2:9" x14ac:dyDescent="0.25">
      <c r="B478" t="s">
        <v>1476</v>
      </c>
      <c r="C478" t="s">
        <v>1477</v>
      </c>
      <c r="D478">
        <v>18</v>
      </c>
      <c r="E478" t="s">
        <v>16</v>
      </c>
      <c r="F478" t="s">
        <v>399</v>
      </c>
      <c r="G478" t="s">
        <v>175</v>
      </c>
      <c r="H478" t="s">
        <v>13</v>
      </c>
      <c r="I478" t="s">
        <v>19</v>
      </c>
    </row>
    <row r="479" spans="2:9" x14ac:dyDescent="0.25">
      <c r="B479" t="s">
        <v>1478</v>
      </c>
      <c r="C479" t="s">
        <v>1479</v>
      </c>
      <c r="D479">
        <v>33</v>
      </c>
      <c r="E479" t="s">
        <v>16</v>
      </c>
      <c r="F479" t="s">
        <v>1480</v>
      </c>
      <c r="G479" t="s">
        <v>99</v>
      </c>
      <c r="H479" t="s">
        <v>13</v>
      </c>
      <c r="I479" t="s">
        <v>50</v>
      </c>
    </row>
    <row r="480" spans="2:9" x14ac:dyDescent="0.25">
      <c r="B480" t="s">
        <v>1481</v>
      </c>
      <c r="C480" t="s">
        <v>1482</v>
      </c>
      <c r="D480">
        <v>41</v>
      </c>
      <c r="E480" t="s">
        <v>16</v>
      </c>
      <c r="F480" t="s">
        <v>1483</v>
      </c>
      <c r="G480" t="s">
        <v>65</v>
      </c>
      <c r="H480" t="s">
        <v>13</v>
      </c>
      <c r="I480" t="s">
        <v>19</v>
      </c>
    </row>
    <row r="481" spans="2:9" x14ac:dyDescent="0.25">
      <c r="B481" t="s">
        <v>1484</v>
      </c>
      <c r="C481" t="s">
        <v>1485</v>
      </c>
      <c r="D481">
        <v>59</v>
      </c>
      <c r="E481" t="s">
        <v>10</v>
      </c>
      <c r="F481" t="s">
        <v>1486</v>
      </c>
      <c r="G481" t="s">
        <v>41</v>
      </c>
      <c r="H481" t="s">
        <v>13</v>
      </c>
      <c r="I481" t="s">
        <v>50</v>
      </c>
    </row>
    <row r="482" spans="2:9" x14ac:dyDescent="0.25">
      <c r="B482" t="s">
        <v>1487</v>
      </c>
      <c r="C482" t="s">
        <v>1488</v>
      </c>
      <c r="D482">
        <v>40</v>
      </c>
      <c r="E482" t="s">
        <v>10</v>
      </c>
      <c r="F482" t="s">
        <v>1489</v>
      </c>
      <c r="G482" t="s">
        <v>45</v>
      </c>
      <c r="H482" t="s">
        <v>13</v>
      </c>
      <c r="I482" t="s">
        <v>28</v>
      </c>
    </row>
    <row r="483" spans="2:9" x14ac:dyDescent="0.25">
      <c r="B483" t="s">
        <v>1490</v>
      </c>
      <c r="C483" t="s">
        <v>1491</v>
      </c>
      <c r="D483">
        <v>33</v>
      </c>
      <c r="E483" t="s">
        <v>10</v>
      </c>
      <c r="F483" t="s">
        <v>1492</v>
      </c>
      <c r="G483" t="s">
        <v>254</v>
      </c>
      <c r="H483" t="s">
        <v>13</v>
      </c>
      <c r="I483" t="s">
        <v>28</v>
      </c>
    </row>
    <row r="484" spans="2:9" x14ac:dyDescent="0.25">
      <c r="B484" t="s">
        <v>1493</v>
      </c>
      <c r="C484" t="s">
        <v>1494</v>
      </c>
      <c r="D484">
        <v>21</v>
      </c>
      <c r="E484" t="s">
        <v>10</v>
      </c>
      <c r="F484" t="s">
        <v>1495</v>
      </c>
      <c r="G484" t="s">
        <v>84</v>
      </c>
      <c r="H484" t="s">
        <v>13</v>
      </c>
      <c r="I484" t="s">
        <v>50</v>
      </c>
    </row>
    <row r="485" spans="2:9" x14ac:dyDescent="0.25">
      <c r="B485" t="s">
        <v>1496</v>
      </c>
      <c r="C485" t="s">
        <v>1497</v>
      </c>
      <c r="D485">
        <v>26</v>
      </c>
      <c r="E485" t="s">
        <v>10</v>
      </c>
      <c r="F485" t="s">
        <v>1498</v>
      </c>
      <c r="G485" t="s">
        <v>596</v>
      </c>
      <c r="H485" t="s">
        <v>13</v>
      </c>
      <c r="I485" t="s">
        <v>19</v>
      </c>
    </row>
    <row r="486" spans="2:9" x14ac:dyDescent="0.25">
      <c r="B486" t="s">
        <v>1499</v>
      </c>
      <c r="C486" t="s">
        <v>1285</v>
      </c>
      <c r="D486">
        <v>48</v>
      </c>
      <c r="E486" t="s">
        <v>10</v>
      </c>
      <c r="F486" t="s">
        <v>1500</v>
      </c>
      <c r="G486" t="s">
        <v>188</v>
      </c>
      <c r="H486" t="s">
        <v>13</v>
      </c>
      <c r="I486" t="s">
        <v>50</v>
      </c>
    </row>
    <row r="487" spans="2:9" x14ac:dyDescent="0.25">
      <c r="B487" t="s">
        <v>1501</v>
      </c>
      <c r="C487" t="s">
        <v>1502</v>
      </c>
      <c r="D487">
        <v>32</v>
      </c>
      <c r="E487" t="s">
        <v>10</v>
      </c>
      <c r="F487" t="s">
        <v>1503</v>
      </c>
      <c r="G487" t="s">
        <v>725</v>
      </c>
      <c r="H487" t="s">
        <v>13</v>
      </c>
      <c r="I487" t="s">
        <v>28</v>
      </c>
    </row>
    <row r="488" spans="2:9" x14ac:dyDescent="0.25">
      <c r="B488" t="s">
        <v>1504</v>
      </c>
      <c r="C488" t="s">
        <v>1505</v>
      </c>
      <c r="D488">
        <v>46</v>
      </c>
      <c r="E488" t="s">
        <v>16</v>
      </c>
      <c r="F488" t="s">
        <v>1506</v>
      </c>
      <c r="G488" t="s">
        <v>291</v>
      </c>
      <c r="H488" t="s">
        <v>13</v>
      </c>
      <c r="I488" t="s">
        <v>28</v>
      </c>
    </row>
    <row r="489" spans="2:9" x14ac:dyDescent="0.25">
      <c r="B489" t="s">
        <v>1551</v>
      </c>
      <c r="C489" t="s">
        <v>1508</v>
      </c>
      <c r="D489">
        <v>22</v>
      </c>
      <c r="E489" t="s">
        <v>16</v>
      </c>
      <c r="F489" t="s">
        <v>1509</v>
      </c>
      <c r="G489" t="s">
        <v>175</v>
      </c>
      <c r="H489" t="s">
        <v>13</v>
      </c>
      <c r="I489" t="s">
        <v>28</v>
      </c>
    </row>
    <row r="490" spans="2:9" x14ac:dyDescent="0.25">
      <c r="B490" t="s">
        <v>1510</v>
      </c>
      <c r="C490" t="s">
        <v>1511</v>
      </c>
      <c r="D490">
        <v>36</v>
      </c>
      <c r="E490" t="s">
        <v>16</v>
      </c>
      <c r="F490" t="s">
        <v>1512</v>
      </c>
      <c r="G490" t="s">
        <v>121</v>
      </c>
      <c r="H490" t="s">
        <v>13</v>
      </c>
      <c r="I490" t="s">
        <v>19</v>
      </c>
    </row>
    <row r="491" spans="2:9" x14ac:dyDescent="0.25">
      <c r="B491" t="s">
        <v>1513</v>
      </c>
      <c r="C491" t="s">
        <v>1514</v>
      </c>
      <c r="D491">
        <v>23</v>
      </c>
      <c r="E491" t="s">
        <v>16</v>
      </c>
      <c r="F491" t="s">
        <v>1515</v>
      </c>
      <c r="G491" t="s">
        <v>32</v>
      </c>
      <c r="H491" t="s">
        <v>13</v>
      </c>
      <c r="I491" t="s">
        <v>19</v>
      </c>
    </row>
    <row r="492" spans="2:9" x14ac:dyDescent="0.25">
      <c r="B492" t="s">
        <v>1516</v>
      </c>
      <c r="C492" t="s">
        <v>1517</v>
      </c>
      <c r="D492">
        <v>42</v>
      </c>
      <c r="E492" t="s">
        <v>16</v>
      </c>
      <c r="F492" t="s">
        <v>1518</v>
      </c>
      <c r="G492" t="s">
        <v>258</v>
      </c>
      <c r="H492" t="s">
        <v>13</v>
      </c>
      <c r="I492" t="s">
        <v>33</v>
      </c>
    </row>
    <row r="493" spans="2:9" x14ac:dyDescent="0.25">
      <c r="B493" t="s">
        <v>1519</v>
      </c>
      <c r="C493" t="s">
        <v>1520</v>
      </c>
      <c r="D493">
        <v>23</v>
      </c>
      <c r="E493" t="s">
        <v>10</v>
      </c>
      <c r="F493" t="s">
        <v>1521</v>
      </c>
      <c r="G493" t="s">
        <v>144</v>
      </c>
      <c r="H493" t="s">
        <v>13</v>
      </c>
      <c r="I493" t="s">
        <v>19</v>
      </c>
    </row>
    <row r="494" spans="2:9" x14ac:dyDescent="0.25">
      <c r="B494" t="s">
        <v>1552</v>
      </c>
      <c r="C494" t="s">
        <v>1523</v>
      </c>
      <c r="D494">
        <v>52</v>
      </c>
      <c r="E494" t="s">
        <v>16</v>
      </c>
      <c r="F494" t="s">
        <v>1524</v>
      </c>
      <c r="G494" t="s">
        <v>41</v>
      </c>
      <c r="H494" t="s">
        <v>13</v>
      </c>
      <c r="I494" t="s">
        <v>50</v>
      </c>
    </row>
    <row r="495" spans="2:9" x14ac:dyDescent="0.25">
      <c r="B495" t="s">
        <v>1525</v>
      </c>
      <c r="C495" t="s">
        <v>1526</v>
      </c>
      <c r="D495">
        <v>59</v>
      </c>
      <c r="E495" t="s">
        <v>16</v>
      </c>
      <c r="F495" t="s">
        <v>1527</v>
      </c>
      <c r="G495" t="s">
        <v>254</v>
      </c>
      <c r="H495" t="s">
        <v>13</v>
      </c>
      <c r="I495" t="s">
        <v>19</v>
      </c>
    </row>
    <row r="496" spans="2:9" x14ac:dyDescent="0.25">
      <c r="B496" t="s">
        <v>1528</v>
      </c>
      <c r="C496" t="s">
        <v>1529</v>
      </c>
      <c r="D496">
        <v>28</v>
      </c>
      <c r="E496" t="s">
        <v>10</v>
      </c>
      <c r="F496" t="s">
        <v>87</v>
      </c>
      <c r="G496" t="s">
        <v>23</v>
      </c>
      <c r="H496" t="s">
        <v>13</v>
      </c>
      <c r="I496" t="s">
        <v>33</v>
      </c>
    </row>
    <row r="497" spans="2:9" x14ac:dyDescent="0.25">
      <c r="B497" t="s">
        <v>1530</v>
      </c>
      <c r="C497" t="s">
        <v>1531</v>
      </c>
      <c r="D497">
        <v>21</v>
      </c>
      <c r="E497" t="s">
        <v>10</v>
      </c>
      <c r="F497" t="s">
        <v>1532</v>
      </c>
      <c r="G497" t="s">
        <v>363</v>
      </c>
      <c r="H497" t="s">
        <v>13</v>
      </c>
      <c r="I497" t="s">
        <v>50</v>
      </c>
    </row>
    <row r="498" spans="2:9" x14ac:dyDescent="0.25">
      <c r="B498" t="s">
        <v>1533</v>
      </c>
      <c r="C498" t="s">
        <v>1534</v>
      </c>
      <c r="D498">
        <v>23</v>
      </c>
      <c r="E498" t="s">
        <v>16</v>
      </c>
      <c r="F498" t="s">
        <v>1535</v>
      </c>
      <c r="G498" t="s">
        <v>95</v>
      </c>
      <c r="H498" t="s">
        <v>13</v>
      </c>
      <c r="I498" t="s">
        <v>28</v>
      </c>
    </row>
    <row r="499" spans="2:9" x14ac:dyDescent="0.25">
      <c r="B499" t="s">
        <v>1536</v>
      </c>
      <c r="C499" t="s">
        <v>1537</v>
      </c>
      <c r="D499">
        <v>56</v>
      </c>
      <c r="E499" t="s">
        <v>10</v>
      </c>
      <c r="F499" t="s">
        <v>1538</v>
      </c>
      <c r="G499" t="s">
        <v>27</v>
      </c>
      <c r="H499" t="s">
        <v>13</v>
      </c>
      <c r="I499" t="s">
        <v>28</v>
      </c>
    </row>
    <row r="500" spans="2:9" x14ac:dyDescent="0.25">
      <c r="B500" t="s">
        <v>1539</v>
      </c>
      <c r="C500" t="s">
        <v>1540</v>
      </c>
      <c r="D500">
        <v>47</v>
      </c>
      <c r="E500" t="s">
        <v>16</v>
      </c>
      <c r="F500" t="s">
        <v>1541</v>
      </c>
      <c r="G500" t="s">
        <v>61</v>
      </c>
      <c r="H500" t="s">
        <v>13</v>
      </c>
      <c r="I500" t="s">
        <v>50</v>
      </c>
    </row>
    <row r="501" spans="2:9" x14ac:dyDescent="0.25">
      <c r="B501" t="s">
        <v>1542</v>
      </c>
      <c r="C501" t="s">
        <v>1543</v>
      </c>
      <c r="D501">
        <v>35</v>
      </c>
      <c r="E501" t="s">
        <v>10</v>
      </c>
      <c r="F501" t="s">
        <v>1544</v>
      </c>
      <c r="G501" t="s">
        <v>237</v>
      </c>
      <c r="H501" t="s">
        <v>13</v>
      </c>
      <c r="I501" t="s">
        <v>33</v>
      </c>
    </row>
    <row r="502" spans="2:9" x14ac:dyDescent="0.25">
      <c r="B502" t="s">
        <v>1553</v>
      </c>
      <c r="C502" t="s">
        <v>1546</v>
      </c>
      <c r="D502">
        <v>27</v>
      </c>
      <c r="E502" t="s">
        <v>16</v>
      </c>
      <c r="F502" t="s">
        <v>1547</v>
      </c>
      <c r="G502" t="s">
        <v>37</v>
      </c>
      <c r="H502" t="s">
        <v>13</v>
      </c>
      <c r="I502" t="s">
        <v>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C40A9-05B7-4409-865B-0FD2C005ACDC}">
  <dimension ref="A1:B17"/>
  <sheetViews>
    <sheetView workbookViewId="0">
      <selection activeCell="M6" sqref="M6"/>
    </sheetView>
  </sheetViews>
  <sheetFormatPr defaultRowHeight="15" x14ac:dyDescent="0.25"/>
  <cols>
    <col min="1" max="1" width="13.140625" bestFit="1" customWidth="1"/>
    <col min="2" max="2" width="11" bestFit="1" customWidth="1"/>
  </cols>
  <sheetData>
    <row r="1" spans="1:2" x14ac:dyDescent="0.25">
      <c r="A1" s="10" t="s">
        <v>1562</v>
      </c>
      <c r="B1" t="s">
        <v>1623</v>
      </c>
    </row>
    <row r="2" spans="1:2" x14ac:dyDescent="0.25">
      <c r="A2" s="11" t="s">
        <v>28</v>
      </c>
      <c r="B2" s="22">
        <v>5137</v>
      </c>
    </row>
    <row r="3" spans="1:2" x14ac:dyDescent="0.25">
      <c r="A3" s="12" t="s">
        <v>16</v>
      </c>
      <c r="B3" s="22">
        <v>2490</v>
      </c>
    </row>
    <row r="4" spans="1:2" x14ac:dyDescent="0.25">
      <c r="A4" s="12" t="s">
        <v>10</v>
      </c>
      <c r="B4" s="22">
        <v>2647</v>
      </c>
    </row>
    <row r="5" spans="1:2" x14ac:dyDescent="0.25">
      <c r="A5" s="11" t="s">
        <v>50</v>
      </c>
      <c r="B5" s="22">
        <v>4956</v>
      </c>
    </row>
    <row r="6" spans="1:2" x14ac:dyDescent="0.25">
      <c r="A6" s="12" t="s">
        <v>16</v>
      </c>
      <c r="B6" s="22">
        <v>2849</v>
      </c>
    </row>
    <row r="7" spans="1:2" x14ac:dyDescent="0.25">
      <c r="A7" s="12" t="s">
        <v>10</v>
      </c>
      <c r="B7" s="22">
        <v>2107</v>
      </c>
    </row>
    <row r="8" spans="1:2" x14ac:dyDescent="0.25">
      <c r="A8" s="11" t="s">
        <v>19</v>
      </c>
      <c r="B8" s="22">
        <v>6265</v>
      </c>
    </row>
    <row r="9" spans="1:2" x14ac:dyDescent="0.25">
      <c r="A9" s="12" t="s">
        <v>16</v>
      </c>
      <c r="B9" s="22">
        <v>3515</v>
      </c>
    </row>
    <row r="10" spans="1:2" x14ac:dyDescent="0.25">
      <c r="A10" s="12" t="s">
        <v>10</v>
      </c>
      <c r="B10" s="22">
        <v>2750</v>
      </c>
    </row>
    <row r="11" spans="1:2" x14ac:dyDescent="0.25">
      <c r="A11" s="11" t="s">
        <v>33</v>
      </c>
      <c r="B11" s="22">
        <v>4267</v>
      </c>
    </row>
    <row r="12" spans="1:2" x14ac:dyDescent="0.25">
      <c r="A12" s="12" t="s">
        <v>16</v>
      </c>
      <c r="B12" s="22">
        <v>2060</v>
      </c>
    </row>
    <row r="13" spans="1:2" x14ac:dyDescent="0.25">
      <c r="A13" s="12" t="s">
        <v>10</v>
      </c>
      <c r="B13" s="22">
        <v>2207</v>
      </c>
    </row>
    <row r="14" spans="1:2" x14ac:dyDescent="0.25">
      <c r="A14" s="11" t="s">
        <v>1624</v>
      </c>
      <c r="B14" s="22">
        <v>156</v>
      </c>
    </row>
    <row r="15" spans="1:2" x14ac:dyDescent="0.25">
      <c r="A15" s="12" t="s">
        <v>16</v>
      </c>
      <c r="B15" s="22">
        <v>27</v>
      </c>
    </row>
    <row r="16" spans="1:2" x14ac:dyDescent="0.25">
      <c r="A16" s="12" t="s">
        <v>10</v>
      </c>
      <c r="B16" s="22">
        <v>129</v>
      </c>
    </row>
    <row r="17" spans="1:2" x14ac:dyDescent="0.25">
      <c r="A17" s="11" t="s">
        <v>1625</v>
      </c>
      <c r="B17" s="22">
        <v>20781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4647-E5BA-4DB1-81AC-C034F0FF1579}">
  <dimension ref="S1:Z501"/>
  <sheetViews>
    <sheetView tabSelected="1" topLeftCell="F19" workbookViewId="0">
      <selection activeCell="Q13" sqref="Q13"/>
    </sheetView>
  </sheetViews>
  <sheetFormatPr defaultRowHeight="15" x14ac:dyDescent="0.25"/>
  <sheetData>
    <row r="1" spans="19:26" x14ac:dyDescent="0.25"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</row>
    <row r="2" spans="19:26" x14ac:dyDescent="0.25">
      <c r="S2" t="s">
        <v>8</v>
      </c>
      <c r="T2" t="s">
        <v>9</v>
      </c>
      <c r="U2">
        <v>55</v>
      </c>
      <c r="V2" t="s">
        <v>10</v>
      </c>
      <c r="W2" t="s">
        <v>11</v>
      </c>
      <c r="X2" t="s">
        <v>12</v>
      </c>
      <c r="Y2" t="s">
        <v>13</v>
      </c>
    </row>
    <row r="3" spans="19:26" x14ac:dyDescent="0.25">
      <c r="S3" t="s">
        <v>14</v>
      </c>
      <c r="T3" t="s">
        <v>15</v>
      </c>
      <c r="U3">
        <v>26</v>
      </c>
      <c r="V3" t="s">
        <v>16</v>
      </c>
      <c r="W3" t="s">
        <v>17</v>
      </c>
      <c r="X3" t="s">
        <v>18</v>
      </c>
      <c r="Y3" t="s">
        <v>13</v>
      </c>
      <c r="Z3" t="s">
        <v>19</v>
      </c>
    </row>
    <row r="4" spans="19:26" x14ac:dyDescent="0.25">
      <c r="S4" t="s">
        <v>20</v>
      </c>
      <c r="T4" t="s">
        <v>21</v>
      </c>
      <c r="U4">
        <v>29</v>
      </c>
      <c r="V4" t="s">
        <v>16</v>
      </c>
      <c r="W4" t="s">
        <v>22</v>
      </c>
      <c r="X4" t="s">
        <v>23</v>
      </c>
      <c r="Y4" t="s">
        <v>13</v>
      </c>
      <c r="Z4" t="s">
        <v>19</v>
      </c>
    </row>
    <row r="5" spans="19:26" x14ac:dyDescent="0.25">
      <c r="S5" t="s">
        <v>24</v>
      </c>
      <c r="T5" t="s">
        <v>25</v>
      </c>
      <c r="U5">
        <v>59</v>
      </c>
      <c r="V5" t="s">
        <v>16</v>
      </c>
      <c r="W5" t="s">
        <v>26</v>
      </c>
      <c r="X5" t="s">
        <v>27</v>
      </c>
      <c r="Y5" t="s">
        <v>13</v>
      </c>
      <c r="Z5" t="s">
        <v>28</v>
      </c>
    </row>
    <row r="6" spans="19:26" x14ac:dyDescent="0.25">
      <c r="S6" t="s">
        <v>29</v>
      </c>
      <c r="T6" t="s">
        <v>30</v>
      </c>
      <c r="U6">
        <v>64</v>
      </c>
      <c r="V6" t="s">
        <v>16</v>
      </c>
      <c r="W6" t="s">
        <v>31</v>
      </c>
      <c r="X6" t="s">
        <v>32</v>
      </c>
      <c r="Y6" t="s">
        <v>13</v>
      </c>
      <c r="Z6" t="s">
        <v>33</v>
      </c>
    </row>
    <row r="7" spans="19:26" x14ac:dyDescent="0.25">
      <c r="S7" t="s">
        <v>34</v>
      </c>
      <c r="T7" t="s">
        <v>35</v>
      </c>
      <c r="U7">
        <v>24</v>
      </c>
      <c r="V7" t="s">
        <v>10</v>
      </c>
      <c r="W7" t="s">
        <v>36</v>
      </c>
      <c r="X7" t="s">
        <v>37</v>
      </c>
      <c r="Y7" t="s">
        <v>13</v>
      </c>
      <c r="Z7" t="s">
        <v>28</v>
      </c>
    </row>
    <row r="8" spans="19:26" x14ac:dyDescent="0.25">
      <c r="S8" t="s">
        <v>38</v>
      </c>
      <c r="T8" t="s">
        <v>39</v>
      </c>
      <c r="U8">
        <v>29</v>
      </c>
      <c r="V8" t="s">
        <v>16</v>
      </c>
      <c r="W8" t="s">
        <v>40</v>
      </c>
      <c r="X8" t="s">
        <v>41</v>
      </c>
      <c r="Y8" t="s">
        <v>13</v>
      </c>
      <c r="Z8" t="s">
        <v>19</v>
      </c>
    </row>
    <row r="9" spans="19:26" x14ac:dyDescent="0.25">
      <c r="S9" t="s">
        <v>42</v>
      </c>
      <c r="T9" t="s">
        <v>43</v>
      </c>
      <c r="U9">
        <v>29</v>
      </c>
      <c r="V9" t="s">
        <v>16</v>
      </c>
      <c r="W9" t="s">
        <v>44</v>
      </c>
      <c r="X9" t="s">
        <v>45</v>
      </c>
      <c r="Y9" t="s">
        <v>13</v>
      </c>
      <c r="Z9" t="s">
        <v>28</v>
      </c>
    </row>
    <row r="10" spans="19:26" x14ac:dyDescent="0.25">
      <c r="S10" t="s">
        <v>46</v>
      </c>
      <c r="T10" t="s">
        <v>47</v>
      </c>
      <c r="U10">
        <v>53</v>
      </c>
      <c r="V10" t="s">
        <v>16</v>
      </c>
      <c r="W10" t="s">
        <v>48</v>
      </c>
      <c r="X10" t="s">
        <v>49</v>
      </c>
      <c r="Y10" t="s">
        <v>13</v>
      </c>
      <c r="Z10" t="s">
        <v>50</v>
      </c>
    </row>
    <row r="11" spans="19:26" x14ac:dyDescent="0.25">
      <c r="S11" t="s">
        <v>51</v>
      </c>
      <c r="T11" t="s">
        <v>52</v>
      </c>
      <c r="U11">
        <v>64</v>
      </c>
      <c r="V11" t="s">
        <v>10</v>
      </c>
      <c r="W11" t="s">
        <v>53</v>
      </c>
      <c r="X11" t="s">
        <v>54</v>
      </c>
      <c r="Y11" t="s">
        <v>13</v>
      </c>
      <c r="Z11" t="s">
        <v>19</v>
      </c>
    </row>
    <row r="12" spans="19:26" x14ac:dyDescent="0.25">
      <c r="S12" t="s">
        <v>55</v>
      </c>
      <c r="T12" t="s">
        <v>56</v>
      </c>
      <c r="U12">
        <v>53</v>
      </c>
      <c r="V12" t="s">
        <v>10</v>
      </c>
      <c r="W12" t="s">
        <v>57</v>
      </c>
      <c r="X12" t="s">
        <v>54</v>
      </c>
      <c r="Y12" t="s">
        <v>13</v>
      </c>
      <c r="Z12" t="s">
        <v>28</v>
      </c>
    </row>
    <row r="13" spans="19:26" x14ac:dyDescent="0.25">
      <c r="S13" t="s">
        <v>58</v>
      </c>
      <c r="T13" t="s">
        <v>59</v>
      </c>
      <c r="U13">
        <v>28</v>
      </c>
      <c r="V13" t="s">
        <v>16</v>
      </c>
      <c r="W13" t="s">
        <v>60</v>
      </c>
      <c r="X13" t="s">
        <v>61</v>
      </c>
      <c r="Y13" t="s">
        <v>13</v>
      </c>
      <c r="Z13" t="s">
        <v>50</v>
      </c>
    </row>
    <row r="14" spans="19:26" x14ac:dyDescent="0.25">
      <c r="S14" t="s">
        <v>62</v>
      </c>
      <c r="T14" t="s">
        <v>63</v>
      </c>
      <c r="U14">
        <v>55</v>
      </c>
      <c r="V14" t="s">
        <v>16</v>
      </c>
      <c r="W14" t="s">
        <v>64</v>
      </c>
      <c r="X14" t="s">
        <v>65</v>
      </c>
      <c r="Y14" t="s">
        <v>13</v>
      </c>
      <c r="Z14" t="s">
        <v>19</v>
      </c>
    </row>
    <row r="15" spans="19:26" x14ac:dyDescent="0.25">
      <c r="S15" t="s">
        <v>66</v>
      </c>
      <c r="T15" t="s">
        <v>67</v>
      </c>
      <c r="U15">
        <v>32</v>
      </c>
      <c r="V15" t="s">
        <v>16</v>
      </c>
      <c r="W15" t="s">
        <v>68</v>
      </c>
      <c r="X15" t="s">
        <v>69</v>
      </c>
      <c r="Y15" t="s">
        <v>13</v>
      </c>
      <c r="Z15" t="s">
        <v>33</v>
      </c>
    </row>
    <row r="16" spans="19:26" x14ac:dyDescent="0.25">
      <c r="S16" t="s">
        <v>70</v>
      </c>
      <c r="T16" t="s">
        <v>71</v>
      </c>
      <c r="U16">
        <v>53</v>
      </c>
      <c r="V16" t="s">
        <v>16</v>
      </c>
      <c r="W16" t="s">
        <v>72</v>
      </c>
      <c r="X16" t="s">
        <v>73</v>
      </c>
      <c r="Y16" t="s">
        <v>13</v>
      </c>
      <c r="Z16" t="s">
        <v>33</v>
      </c>
    </row>
    <row r="17" spans="19:26" x14ac:dyDescent="0.25">
      <c r="S17" t="s">
        <v>74</v>
      </c>
      <c r="T17" t="s">
        <v>75</v>
      </c>
      <c r="U17">
        <v>49</v>
      </c>
      <c r="V17" t="s">
        <v>16</v>
      </c>
      <c r="W17" t="s">
        <v>76</v>
      </c>
      <c r="X17" t="s">
        <v>77</v>
      </c>
      <c r="Y17" t="s">
        <v>13</v>
      </c>
      <c r="Z17" t="s">
        <v>19</v>
      </c>
    </row>
    <row r="18" spans="19:26" x14ac:dyDescent="0.25">
      <c r="S18" t="s">
        <v>78</v>
      </c>
      <c r="T18" t="s">
        <v>79</v>
      </c>
      <c r="U18">
        <v>24</v>
      </c>
      <c r="V18" t="s">
        <v>16</v>
      </c>
      <c r="W18" t="s">
        <v>80</v>
      </c>
      <c r="X18" t="s">
        <v>54</v>
      </c>
      <c r="Y18" t="s">
        <v>13</v>
      </c>
      <c r="Z18" t="s">
        <v>28</v>
      </c>
    </row>
    <row r="19" spans="19:26" x14ac:dyDescent="0.25">
      <c r="S19" t="s">
        <v>81</v>
      </c>
      <c r="T19" t="s">
        <v>82</v>
      </c>
      <c r="U19">
        <v>60</v>
      </c>
      <c r="V19" t="s">
        <v>16</v>
      </c>
      <c r="W19" t="s">
        <v>83</v>
      </c>
      <c r="X19" t="s">
        <v>84</v>
      </c>
      <c r="Y19" t="s">
        <v>13</v>
      </c>
      <c r="Z19" t="s">
        <v>19</v>
      </c>
    </row>
    <row r="20" spans="19:26" x14ac:dyDescent="0.25">
      <c r="S20" t="s">
        <v>85</v>
      </c>
      <c r="T20" t="s">
        <v>86</v>
      </c>
      <c r="U20">
        <v>43</v>
      </c>
      <c r="V20" t="s">
        <v>10</v>
      </c>
      <c r="W20" t="s">
        <v>87</v>
      </c>
      <c r="X20" t="s">
        <v>65</v>
      </c>
      <c r="Y20" t="s">
        <v>13</v>
      </c>
    </row>
    <row r="21" spans="19:26" x14ac:dyDescent="0.25">
      <c r="S21" t="s">
        <v>88</v>
      </c>
      <c r="T21" t="s">
        <v>89</v>
      </c>
      <c r="U21">
        <v>46</v>
      </c>
      <c r="V21" t="s">
        <v>16</v>
      </c>
      <c r="W21" t="s">
        <v>90</v>
      </c>
      <c r="X21" t="s">
        <v>91</v>
      </c>
      <c r="Y21" t="s">
        <v>13</v>
      </c>
      <c r="Z21" t="s">
        <v>19</v>
      </c>
    </row>
    <row r="22" spans="19:26" x14ac:dyDescent="0.25">
      <c r="S22" t="s">
        <v>92</v>
      </c>
      <c r="T22" t="s">
        <v>93</v>
      </c>
      <c r="U22">
        <v>59</v>
      </c>
      <c r="V22" t="s">
        <v>10</v>
      </c>
      <c r="W22" t="s">
        <v>94</v>
      </c>
      <c r="X22" t="s">
        <v>95</v>
      </c>
      <c r="Y22" t="s">
        <v>13</v>
      </c>
      <c r="Z22" t="s">
        <v>33</v>
      </c>
    </row>
    <row r="23" spans="19:26" x14ac:dyDescent="0.25">
      <c r="S23" t="s">
        <v>96</v>
      </c>
      <c r="T23" t="s">
        <v>97</v>
      </c>
      <c r="U23">
        <v>36</v>
      </c>
      <c r="V23" t="s">
        <v>16</v>
      </c>
      <c r="W23" t="s">
        <v>98</v>
      </c>
      <c r="X23" t="s">
        <v>99</v>
      </c>
      <c r="Y23" t="s">
        <v>13</v>
      </c>
      <c r="Z23" t="s">
        <v>50</v>
      </c>
    </row>
    <row r="24" spans="19:26" x14ac:dyDescent="0.25">
      <c r="S24" t="s">
        <v>100</v>
      </c>
      <c r="T24" t="s">
        <v>101</v>
      </c>
      <c r="U24">
        <v>33</v>
      </c>
      <c r="V24" t="s">
        <v>16</v>
      </c>
      <c r="W24" t="s">
        <v>102</v>
      </c>
      <c r="X24" t="s">
        <v>103</v>
      </c>
      <c r="Y24" t="s">
        <v>13</v>
      </c>
      <c r="Z24" t="s">
        <v>33</v>
      </c>
    </row>
    <row r="25" spans="19:26" x14ac:dyDescent="0.25">
      <c r="S25" t="s">
        <v>104</v>
      </c>
      <c r="T25" t="s">
        <v>105</v>
      </c>
      <c r="U25">
        <v>52</v>
      </c>
      <c r="V25" t="s">
        <v>16</v>
      </c>
      <c r="W25" t="s">
        <v>106</v>
      </c>
      <c r="X25" t="s">
        <v>37</v>
      </c>
      <c r="Y25" t="s">
        <v>13</v>
      </c>
      <c r="Z25" t="s">
        <v>33</v>
      </c>
    </row>
    <row r="26" spans="19:26" x14ac:dyDescent="0.25">
      <c r="S26" t="s">
        <v>107</v>
      </c>
      <c r="T26" t="s">
        <v>108</v>
      </c>
      <c r="U26">
        <v>40</v>
      </c>
      <c r="V26" t="s">
        <v>10</v>
      </c>
      <c r="W26" t="s">
        <v>109</v>
      </c>
      <c r="X26" t="s">
        <v>110</v>
      </c>
      <c r="Y26" t="s">
        <v>13</v>
      </c>
      <c r="Z26" t="s">
        <v>19</v>
      </c>
    </row>
    <row r="27" spans="19:26" x14ac:dyDescent="0.25">
      <c r="S27" t="s">
        <v>111</v>
      </c>
      <c r="T27" t="s">
        <v>112</v>
      </c>
      <c r="U27">
        <v>59</v>
      </c>
      <c r="V27" t="s">
        <v>16</v>
      </c>
      <c r="W27" t="s">
        <v>113</v>
      </c>
      <c r="X27" t="s">
        <v>32</v>
      </c>
      <c r="Y27" t="s">
        <v>13</v>
      </c>
      <c r="Z27" t="s">
        <v>28</v>
      </c>
    </row>
    <row r="28" spans="19:26" x14ac:dyDescent="0.25">
      <c r="S28" t="s">
        <v>114</v>
      </c>
      <c r="T28" t="s">
        <v>115</v>
      </c>
      <c r="U28">
        <v>18</v>
      </c>
      <c r="V28" t="s">
        <v>16</v>
      </c>
      <c r="W28" t="s">
        <v>116</v>
      </c>
      <c r="X28" t="s">
        <v>117</v>
      </c>
      <c r="Y28" t="s">
        <v>13</v>
      </c>
      <c r="Z28" t="s">
        <v>50</v>
      </c>
    </row>
    <row r="29" spans="19:26" x14ac:dyDescent="0.25">
      <c r="S29" t="s">
        <v>118</v>
      </c>
      <c r="T29" t="s">
        <v>119</v>
      </c>
      <c r="U29">
        <v>31</v>
      </c>
      <c r="V29" t="s">
        <v>10</v>
      </c>
      <c r="W29" t="s">
        <v>120</v>
      </c>
      <c r="X29" t="s">
        <v>121</v>
      </c>
      <c r="Y29" t="s">
        <v>13</v>
      </c>
    </row>
    <row r="30" spans="19:26" x14ac:dyDescent="0.25">
      <c r="S30" t="s">
        <v>122</v>
      </c>
      <c r="T30" t="s">
        <v>123</v>
      </c>
      <c r="U30">
        <v>27</v>
      </c>
      <c r="V30" t="s">
        <v>16</v>
      </c>
      <c r="W30" t="s">
        <v>124</v>
      </c>
      <c r="X30" t="s">
        <v>91</v>
      </c>
      <c r="Y30" t="s">
        <v>13</v>
      </c>
      <c r="Z30" t="s">
        <v>19</v>
      </c>
    </row>
    <row r="31" spans="19:26" x14ac:dyDescent="0.25">
      <c r="S31" t="s">
        <v>125</v>
      </c>
      <c r="T31" t="s">
        <v>126</v>
      </c>
      <c r="U31">
        <v>54</v>
      </c>
      <c r="V31" t="s">
        <v>16</v>
      </c>
      <c r="W31" t="s">
        <v>127</v>
      </c>
      <c r="X31" t="s">
        <v>32</v>
      </c>
      <c r="Y31" t="s">
        <v>13</v>
      </c>
      <c r="Z31" t="s">
        <v>33</v>
      </c>
    </row>
    <row r="32" spans="19:26" x14ac:dyDescent="0.25">
      <c r="S32" t="s">
        <v>128</v>
      </c>
      <c r="T32" t="s">
        <v>129</v>
      </c>
      <c r="U32">
        <v>64</v>
      </c>
      <c r="V32" t="s">
        <v>16</v>
      </c>
      <c r="W32" t="s">
        <v>130</v>
      </c>
      <c r="X32" t="s">
        <v>54</v>
      </c>
      <c r="Y32" t="s">
        <v>13</v>
      </c>
      <c r="Z32" t="s">
        <v>28</v>
      </c>
    </row>
    <row r="33" spans="19:26" x14ac:dyDescent="0.25">
      <c r="S33" t="s">
        <v>131</v>
      </c>
      <c r="T33" t="s">
        <v>132</v>
      </c>
      <c r="U33">
        <v>41</v>
      </c>
      <c r="V33" t="s">
        <v>10</v>
      </c>
      <c r="W33" t="s">
        <v>133</v>
      </c>
      <c r="X33" t="s">
        <v>37</v>
      </c>
      <c r="Y33" t="s">
        <v>13</v>
      </c>
      <c r="Z33" t="s">
        <v>33</v>
      </c>
    </row>
    <row r="34" spans="19:26" x14ac:dyDescent="0.25">
      <c r="S34" t="s">
        <v>134</v>
      </c>
      <c r="T34" t="s">
        <v>135</v>
      </c>
      <c r="U34">
        <v>48</v>
      </c>
      <c r="V34" t="s">
        <v>16</v>
      </c>
      <c r="W34" t="s">
        <v>136</v>
      </c>
      <c r="X34" t="s">
        <v>137</v>
      </c>
      <c r="Y34" t="s">
        <v>13</v>
      </c>
      <c r="Z34" t="s">
        <v>50</v>
      </c>
    </row>
    <row r="35" spans="19:26" x14ac:dyDescent="0.25">
      <c r="S35" t="s">
        <v>138</v>
      </c>
      <c r="T35" t="s">
        <v>139</v>
      </c>
      <c r="U35">
        <v>25</v>
      </c>
      <c r="V35" t="s">
        <v>10</v>
      </c>
      <c r="W35" t="s">
        <v>140</v>
      </c>
      <c r="X35" t="s">
        <v>99</v>
      </c>
      <c r="Y35" t="s">
        <v>13</v>
      </c>
      <c r="Z35" t="s">
        <v>19</v>
      </c>
    </row>
    <row r="36" spans="19:26" x14ac:dyDescent="0.25">
      <c r="S36" t="s">
        <v>141</v>
      </c>
      <c r="T36" t="s">
        <v>142</v>
      </c>
      <c r="U36">
        <v>27</v>
      </c>
      <c r="V36" t="s">
        <v>16</v>
      </c>
      <c r="W36" t="s">
        <v>143</v>
      </c>
      <c r="X36" t="s">
        <v>144</v>
      </c>
      <c r="Y36" t="s">
        <v>13</v>
      </c>
      <c r="Z36" t="s">
        <v>19</v>
      </c>
    </row>
    <row r="37" spans="19:26" x14ac:dyDescent="0.25">
      <c r="S37" t="s">
        <v>145</v>
      </c>
      <c r="T37" t="s">
        <v>146</v>
      </c>
      <c r="U37">
        <v>52</v>
      </c>
      <c r="V37" t="s">
        <v>10</v>
      </c>
      <c r="W37" t="s">
        <v>147</v>
      </c>
      <c r="X37" t="s">
        <v>18</v>
      </c>
      <c r="Y37" t="s">
        <v>13</v>
      </c>
      <c r="Z37" t="s">
        <v>33</v>
      </c>
    </row>
    <row r="38" spans="19:26" x14ac:dyDescent="0.25">
      <c r="S38" t="s">
        <v>148</v>
      </c>
      <c r="T38" t="s">
        <v>149</v>
      </c>
      <c r="U38">
        <v>20</v>
      </c>
      <c r="V38" t="s">
        <v>16</v>
      </c>
      <c r="W38" t="s">
        <v>150</v>
      </c>
      <c r="X38" t="s">
        <v>84</v>
      </c>
      <c r="Y38" t="s">
        <v>13</v>
      </c>
      <c r="Z38" t="s">
        <v>50</v>
      </c>
    </row>
    <row r="39" spans="19:26" x14ac:dyDescent="0.25">
      <c r="S39" t="s">
        <v>151</v>
      </c>
      <c r="T39" t="s">
        <v>152</v>
      </c>
      <c r="U39">
        <v>27</v>
      </c>
      <c r="V39" t="s">
        <v>16</v>
      </c>
      <c r="W39" t="s">
        <v>153</v>
      </c>
      <c r="X39" t="s">
        <v>41</v>
      </c>
      <c r="Y39" t="s">
        <v>13</v>
      </c>
    </row>
    <row r="40" spans="19:26" x14ac:dyDescent="0.25">
      <c r="S40" t="s">
        <v>154</v>
      </c>
      <c r="T40" t="s">
        <v>155</v>
      </c>
      <c r="U40">
        <v>35</v>
      </c>
      <c r="V40" t="s">
        <v>16</v>
      </c>
      <c r="W40" t="s">
        <v>156</v>
      </c>
      <c r="X40" t="s">
        <v>18</v>
      </c>
      <c r="Y40" t="s">
        <v>13</v>
      </c>
      <c r="Z40" t="s">
        <v>28</v>
      </c>
    </row>
    <row r="41" spans="19:26" x14ac:dyDescent="0.25">
      <c r="S41" t="s">
        <v>157</v>
      </c>
      <c r="T41" t="s">
        <v>158</v>
      </c>
      <c r="U41">
        <v>55</v>
      </c>
      <c r="V41" t="s">
        <v>16</v>
      </c>
      <c r="W41" t="s">
        <v>159</v>
      </c>
      <c r="X41" t="s">
        <v>160</v>
      </c>
      <c r="Y41" t="s">
        <v>13</v>
      </c>
      <c r="Z41" t="s">
        <v>50</v>
      </c>
    </row>
    <row r="42" spans="19:26" x14ac:dyDescent="0.25">
      <c r="S42" t="s">
        <v>161</v>
      </c>
      <c r="T42" t="s">
        <v>162</v>
      </c>
      <c r="U42">
        <v>50</v>
      </c>
      <c r="V42" t="s">
        <v>10</v>
      </c>
      <c r="W42" t="s">
        <v>163</v>
      </c>
      <c r="X42" t="s">
        <v>65</v>
      </c>
      <c r="Y42" t="s">
        <v>13</v>
      </c>
      <c r="Z42" t="s">
        <v>50</v>
      </c>
    </row>
    <row r="43" spans="19:26" x14ac:dyDescent="0.25">
      <c r="S43" t="s">
        <v>164</v>
      </c>
      <c r="T43" t="s">
        <v>165</v>
      </c>
      <c r="U43">
        <v>21</v>
      </c>
      <c r="V43" t="s">
        <v>10</v>
      </c>
      <c r="W43" t="s">
        <v>166</v>
      </c>
      <c r="X43" t="s">
        <v>167</v>
      </c>
      <c r="Y43" t="s">
        <v>13</v>
      </c>
      <c r="Z43" t="s">
        <v>19</v>
      </c>
    </row>
    <row r="44" spans="19:26" x14ac:dyDescent="0.25">
      <c r="S44" t="s">
        <v>168</v>
      </c>
      <c r="T44" t="s">
        <v>169</v>
      </c>
      <c r="U44">
        <v>19</v>
      </c>
      <c r="V44" t="s">
        <v>10</v>
      </c>
      <c r="W44" t="s">
        <v>170</v>
      </c>
      <c r="X44" t="s">
        <v>171</v>
      </c>
      <c r="Y44" t="s">
        <v>13</v>
      </c>
      <c r="Z44" t="s">
        <v>19</v>
      </c>
    </row>
    <row r="45" spans="19:26" x14ac:dyDescent="0.25">
      <c r="S45" t="s">
        <v>172</v>
      </c>
      <c r="T45" t="s">
        <v>173</v>
      </c>
      <c r="U45">
        <v>45</v>
      </c>
      <c r="V45" t="s">
        <v>10</v>
      </c>
      <c r="W45" t="s">
        <v>174</v>
      </c>
      <c r="X45" t="s">
        <v>175</v>
      </c>
      <c r="Y45" t="s">
        <v>13</v>
      </c>
      <c r="Z45" t="s">
        <v>50</v>
      </c>
    </row>
    <row r="46" spans="19:26" x14ac:dyDescent="0.25">
      <c r="S46" t="s">
        <v>176</v>
      </c>
      <c r="T46" t="s">
        <v>177</v>
      </c>
      <c r="U46">
        <v>34</v>
      </c>
      <c r="V46" t="s">
        <v>10</v>
      </c>
      <c r="W46" t="s">
        <v>178</v>
      </c>
      <c r="X46" t="s">
        <v>103</v>
      </c>
      <c r="Y46" t="s">
        <v>13</v>
      </c>
      <c r="Z46" t="s">
        <v>28</v>
      </c>
    </row>
    <row r="47" spans="19:26" x14ac:dyDescent="0.25">
      <c r="S47" t="s">
        <v>179</v>
      </c>
      <c r="T47" t="s">
        <v>180</v>
      </c>
      <c r="U47">
        <v>54</v>
      </c>
      <c r="V47" t="s">
        <v>10</v>
      </c>
      <c r="W47" t="s">
        <v>181</v>
      </c>
      <c r="X47" t="s">
        <v>137</v>
      </c>
      <c r="Y47" t="s">
        <v>13</v>
      </c>
      <c r="Z47" t="s">
        <v>50</v>
      </c>
    </row>
    <row r="48" spans="19:26" x14ac:dyDescent="0.25">
      <c r="S48" t="s">
        <v>182</v>
      </c>
      <c r="T48" t="s">
        <v>183</v>
      </c>
      <c r="U48">
        <v>55</v>
      </c>
      <c r="V48" t="s">
        <v>16</v>
      </c>
      <c r="W48" t="s">
        <v>184</v>
      </c>
      <c r="X48" t="s">
        <v>27</v>
      </c>
      <c r="Y48" t="s">
        <v>13</v>
      </c>
      <c r="Z48" t="s">
        <v>19</v>
      </c>
    </row>
    <row r="49" spans="19:26" x14ac:dyDescent="0.25">
      <c r="S49" t="s">
        <v>185</v>
      </c>
      <c r="T49" t="s">
        <v>186</v>
      </c>
      <c r="U49">
        <v>54</v>
      </c>
      <c r="V49" t="s">
        <v>16</v>
      </c>
      <c r="W49" t="s">
        <v>187</v>
      </c>
      <c r="X49" t="s">
        <v>188</v>
      </c>
      <c r="Y49" t="s">
        <v>13</v>
      </c>
      <c r="Z49" t="s">
        <v>33</v>
      </c>
    </row>
    <row r="50" spans="19:26" x14ac:dyDescent="0.25">
      <c r="S50" t="s">
        <v>189</v>
      </c>
      <c r="T50" t="s">
        <v>190</v>
      </c>
      <c r="U50">
        <v>54</v>
      </c>
      <c r="V50" t="s">
        <v>10</v>
      </c>
      <c r="W50" t="s">
        <v>191</v>
      </c>
      <c r="X50" t="s">
        <v>12</v>
      </c>
      <c r="Y50" t="s">
        <v>13</v>
      </c>
      <c r="Z50" t="s">
        <v>19</v>
      </c>
    </row>
    <row r="51" spans="19:26" x14ac:dyDescent="0.25">
      <c r="S51" t="s">
        <v>192</v>
      </c>
      <c r="T51" t="s">
        <v>193</v>
      </c>
      <c r="U51">
        <v>45</v>
      </c>
      <c r="V51" t="s">
        <v>16</v>
      </c>
      <c r="W51" t="s">
        <v>194</v>
      </c>
      <c r="X51" t="s">
        <v>27</v>
      </c>
      <c r="Y51" t="s">
        <v>13</v>
      </c>
      <c r="Z51" t="s">
        <v>50</v>
      </c>
    </row>
    <row r="52" spans="19:26" x14ac:dyDescent="0.25">
      <c r="S52" t="s">
        <v>195</v>
      </c>
      <c r="T52" t="s">
        <v>196</v>
      </c>
      <c r="U52">
        <v>61</v>
      </c>
      <c r="V52" t="s">
        <v>16</v>
      </c>
      <c r="W52" t="s">
        <v>197</v>
      </c>
      <c r="X52" t="s">
        <v>198</v>
      </c>
      <c r="Y52" t="s">
        <v>13</v>
      </c>
      <c r="Z52" t="s">
        <v>50</v>
      </c>
    </row>
    <row r="53" spans="19:26" x14ac:dyDescent="0.25">
      <c r="S53" t="s">
        <v>199</v>
      </c>
      <c r="T53" t="s">
        <v>200</v>
      </c>
      <c r="U53">
        <v>23</v>
      </c>
      <c r="V53" t="s">
        <v>16</v>
      </c>
      <c r="W53" t="s">
        <v>201</v>
      </c>
      <c r="X53" t="s">
        <v>45</v>
      </c>
      <c r="Y53" t="s">
        <v>13</v>
      </c>
      <c r="Z53" t="s">
        <v>50</v>
      </c>
    </row>
    <row r="54" spans="19:26" x14ac:dyDescent="0.25">
      <c r="S54" t="s">
        <v>202</v>
      </c>
      <c r="T54" t="s">
        <v>203</v>
      </c>
      <c r="U54">
        <v>55</v>
      </c>
      <c r="V54" t="s">
        <v>10</v>
      </c>
      <c r="W54" t="s">
        <v>204</v>
      </c>
      <c r="X54" t="s">
        <v>205</v>
      </c>
      <c r="Y54" t="s">
        <v>13</v>
      </c>
      <c r="Z54" t="s">
        <v>28</v>
      </c>
    </row>
    <row r="55" spans="19:26" x14ac:dyDescent="0.25">
      <c r="S55" t="s">
        <v>206</v>
      </c>
      <c r="T55" t="s">
        <v>207</v>
      </c>
      <c r="U55">
        <v>37</v>
      </c>
      <c r="V55" t="s">
        <v>16</v>
      </c>
      <c r="W55" t="s">
        <v>208</v>
      </c>
      <c r="X55" t="s">
        <v>160</v>
      </c>
      <c r="Y55" t="s">
        <v>13</v>
      </c>
      <c r="Z55" t="s">
        <v>50</v>
      </c>
    </row>
    <row r="56" spans="19:26" x14ac:dyDescent="0.25">
      <c r="S56" t="s">
        <v>209</v>
      </c>
      <c r="T56" t="s">
        <v>210</v>
      </c>
      <c r="U56">
        <v>24</v>
      </c>
      <c r="V56" t="s">
        <v>10</v>
      </c>
      <c r="W56" t="s">
        <v>211</v>
      </c>
      <c r="X56" t="s">
        <v>99</v>
      </c>
      <c r="Y56" t="s">
        <v>13</v>
      </c>
      <c r="Z56" t="s">
        <v>19</v>
      </c>
    </row>
    <row r="57" spans="19:26" x14ac:dyDescent="0.25">
      <c r="S57" t="s">
        <v>212</v>
      </c>
      <c r="T57" t="s">
        <v>213</v>
      </c>
      <c r="U57">
        <v>56</v>
      </c>
      <c r="V57" t="s">
        <v>16</v>
      </c>
      <c r="W57" t="s">
        <v>214</v>
      </c>
      <c r="X57" t="s">
        <v>205</v>
      </c>
      <c r="Y57" t="s">
        <v>13</v>
      </c>
      <c r="Z57" t="s">
        <v>28</v>
      </c>
    </row>
    <row r="58" spans="19:26" x14ac:dyDescent="0.25">
      <c r="S58" t="s">
        <v>215</v>
      </c>
      <c r="T58" t="s">
        <v>216</v>
      </c>
      <c r="U58">
        <v>49</v>
      </c>
      <c r="V58" t="s">
        <v>16</v>
      </c>
      <c r="W58" t="s">
        <v>217</v>
      </c>
      <c r="X58" t="s">
        <v>54</v>
      </c>
      <c r="Y58" t="s">
        <v>13</v>
      </c>
      <c r="Z58" t="s">
        <v>50</v>
      </c>
    </row>
    <row r="59" spans="19:26" x14ac:dyDescent="0.25">
      <c r="S59" t="s">
        <v>218</v>
      </c>
      <c r="T59" t="s">
        <v>219</v>
      </c>
      <c r="U59">
        <v>43</v>
      </c>
      <c r="V59" t="s">
        <v>16</v>
      </c>
      <c r="W59" t="s">
        <v>220</v>
      </c>
      <c r="X59" t="s">
        <v>221</v>
      </c>
      <c r="Y59" t="s">
        <v>13</v>
      </c>
      <c r="Z59" t="s">
        <v>19</v>
      </c>
    </row>
    <row r="60" spans="19:26" x14ac:dyDescent="0.25">
      <c r="S60" t="s">
        <v>222</v>
      </c>
      <c r="T60" t="s">
        <v>223</v>
      </c>
      <c r="U60">
        <v>51</v>
      </c>
      <c r="V60" t="s">
        <v>10</v>
      </c>
      <c r="W60" t="s">
        <v>224</v>
      </c>
      <c r="X60" t="s">
        <v>144</v>
      </c>
      <c r="Y60" t="s">
        <v>13</v>
      </c>
      <c r="Z60" t="s">
        <v>19</v>
      </c>
    </row>
    <row r="61" spans="19:26" x14ac:dyDescent="0.25">
      <c r="S61" t="s">
        <v>225</v>
      </c>
      <c r="T61" t="s">
        <v>226</v>
      </c>
      <c r="U61">
        <v>53</v>
      </c>
      <c r="V61" t="s">
        <v>10</v>
      </c>
      <c r="W61" t="s">
        <v>227</v>
      </c>
      <c r="X61" t="s">
        <v>69</v>
      </c>
      <c r="Y61" t="s">
        <v>13</v>
      </c>
      <c r="Z61" t="s">
        <v>19</v>
      </c>
    </row>
    <row r="62" spans="19:26" x14ac:dyDescent="0.25">
      <c r="S62" t="s">
        <v>228</v>
      </c>
      <c r="T62" t="s">
        <v>229</v>
      </c>
      <c r="U62">
        <v>22</v>
      </c>
      <c r="V62" t="s">
        <v>16</v>
      </c>
      <c r="W62" t="s">
        <v>230</v>
      </c>
      <c r="X62" t="s">
        <v>167</v>
      </c>
      <c r="Y62" t="s">
        <v>13</v>
      </c>
      <c r="Z62" t="s">
        <v>33</v>
      </c>
    </row>
    <row r="63" spans="19:26" x14ac:dyDescent="0.25">
      <c r="S63" t="s">
        <v>231</v>
      </c>
      <c r="T63" t="s">
        <v>232</v>
      </c>
      <c r="U63">
        <v>23</v>
      </c>
      <c r="V63" t="s">
        <v>10</v>
      </c>
      <c r="W63" t="s">
        <v>233</v>
      </c>
      <c r="X63" t="s">
        <v>117</v>
      </c>
      <c r="Y63" t="s">
        <v>13</v>
      </c>
      <c r="Z63" t="s">
        <v>33</v>
      </c>
    </row>
    <row r="64" spans="19:26" x14ac:dyDescent="0.25">
      <c r="S64" t="s">
        <v>234</v>
      </c>
      <c r="T64" t="s">
        <v>235</v>
      </c>
      <c r="U64">
        <v>50</v>
      </c>
      <c r="V64" t="s">
        <v>10</v>
      </c>
      <c r="W64" t="s">
        <v>236</v>
      </c>
      <c r="X64" t="s">
        <v>237</v>
      </c>
      <c r="Y64" t="s">
        <v>13</v>
      </c>
      <c r="Z64" t="s">
        <v>28</v>
      </c>
    </row>
    <row r="65" spans="19:26" x14ac:dyDescent="0.25">
      <c r="S65" t="s">
        <v>238</v>
      </c>
      <c r="T65" t="s">
        <v>239</v>
      </c>
      <c r="U65">
        <v>51</v>
      </c>
      <c r="V65" t="s">
        <v>10</v>
      </c>
      <c r="W65" t="s">
        <v>240</v>
      </c>
      <c r="X65" t="s">
        <v>241</v>
      </c>
      <c r="Y65" t="s">
        <v>13</v>
      </c>
      <c r="Z65" t="s">
        <v>19</v>
      </c>
    </row>
    <row r="66" spans="19:26" x14ac:dyDescent="0.25">
      <c r="S66" t="s">
        <v>242</v>
      </c>
      <c r="T66" t="s">
        <v>243</v>
      </c>
      <c r="U66">
        <v>33</v>
      </c>
      <c r="V66" t="s">
        <v>10</v>
      </c>
      <c r="W66" t="s">
        <v>244</v>
      </c>
      <c r="X66" t="s">
        <v>137</v>
      </c>
      <c r="Y66" t="s">
        <v>13</v>
      </c>
      <c r="Z66" t="s">
        <v>50</v>
      </c>
    </row>
    <row r="67" spans="19:26" x14ac:dyDescent="0.25">
      <c r="S67" t="s">
        <v>245</v>
      </c>
      <c r="T67" t="s">
        <v>246</v>
      </c>
      <c r="U67">
        <v>21</v>
      </c>
      <c r="V67" t="s">
        <v>16</v>
      </c>
      <c r="W67" t="s">
        <v>247</v>
      </c>
      <c r="X67" t="s">
        <v>188</v>
      </c>
      <c r="Y67" t="s">
        <v>13</v>
      </c>
      <c r="Z67" t="s">
        <v>33</v>
      </c>
    </row>
    <row r="68" spans="19:26" x14ac:dyDescent="0.25">
      <c r="S68" t="s">
        <v>248</v>
      </c>
      <c r="T68" t="s">
        <v>249</v>
      </c>
      <c r="U68">
        <v>27</v>
      </c>
      <c r="V68" t="s">
        <v>16</v>
      </c>
      <c r="W68" t="s">
        <v>250</v>
      </c>
      <c r="X68" t="s">
        <v>49</v>
      </c>
      <c r="Y68" t="s">
        <v>13</v>
      </c>
      <c r="Z68" t="s">
        <v>33</v>
      </c>
    </row>
    <row r="69" spans="19:26" x14ac:dyDescent="0.25">
      <c r="S69" t="s">
        <v>251</v>
      </c>
      <c r="T69" t="s">
        <v>252</v>
      </c>
      <c r="U69">
        <v>58</v>
      </c>
      <c r="V69" t="s">
        <v>10</v>
      </c>
      <c r="W69" t="s">
        <v>253</v>
      </c>
      <c r="X69" t="s">
        <v>254</v>
      </c>
      <c r="Y69" t="s">
        <v>13</v>
      </c>
      <c r="Z69" t="s">
        <v>33</v>
      </c>
    </row>
    <row r="70" spans="19:26" x14ac:dyDescent="0.25">
      <c r="S70" t="s">
        <v>255</v>
      </c>
      <c r="T70" t="s">
        <v>256</v>
      </c>
      <c r="U70">
        <v>24</v>
      </c>
      <c r="V70" t="s">
        <v>16</v>
      </c>
      <c r="W70" t="s">
        <v>257</v>
      </c>
      <c r="X70" t="s">
        <v>258</v>
      </c>
      <c r="Y70" t="s">
        <v>13</v>
      </c>
      <c r="Z70" t="s">
        <v>33</v>
      </c>
    </row>
    <row r="71" spans="19:26" x14ac:dyDescent="0.25">
      <c r="S71" t="s">
        <v>259</v>
      </c>
      <c r="T71" t="s">
        <v>260</v>
      </c>
      <c r="U71">
        <v>24</v>
      </c>
      <c r="V71" t="s">
        <v>16</v>
      </c>
      <c r="W71" t="s">
        <v>261</v>
      </c>
      <c r="X71" t="s">
        <v>91</v>
      </c>
      <c r="Y71" t="s">
        <v>13</v>
      </c>
      <c r="Z71" t="s">
        <v>19</v>
      </c>
    </row>
    <row r="72" spans="19:26" x14ac:dyDescent="0.25">
      <c r="S72" t="s">
        <v>262</v>
      </c>
      <c r="T72" t="s">
        <v>263</v>
      </c>
      <c r="U72">
        <v>29</v>
      </c>
      <c r="V72" t="s">
        <v>16</v>
      </c>
      <c r="W72" t="s">
        <v>264</v>
      </c>
      <c r="X72" t="s">
        <v>237</v>
      </c>
      <c r="Y72" t="s">
        <v>13</v>
      </c>
      <c r="Z72" t="s">
        <v>50</v>
      </c>
    </row>
    <row r="73" spans="19:26" x14ac:dyDescent="0.25">
      <c r="S73" t="s">
        <v>265</v>
      </c>
      <c r="T73" t="s">
        <v>266</v>
      </c>
      <c r="U73">
        <v>61</v>
      </c>
      <c r="V73" t="s">
        <v>16</v>
      </c>
      <c r="W73" t="s">
        <v>267</v>
      </c>
      <c r="X73" t="s">
        <v>237</v>
      </c>
      <c r="Y73" t="s">
        <v>13</v>
      </c>
      <c r="Z73" t="s">
        <v>50</v>
      </c>
    </row>
    <row r="74" spans="19:26" x14ac:dyDescent="0.25">
      <c r="S74" t="s">
        <v>268</v>
      </c>
      <c r="T74" t="s">
        <v>269</v>
      </c>
      <c r="U74">
        <v>39</v>
      </c>
      <c r="V74" t="s">
        <v>16</v>
      </c>
      <c r="W74" t="s">
        <v>270</v>
      </c>
      <c r="X74" t="s">
        <v>271</v>
      </c>
      <c r="Y74" t="s">
        <v>13</v>
      </c>
      <c r="Z74" t="s">
        <v>50</v>
      </c>
    </row>
    <row r="75" spans="19:26" x14ac:dyDescent="0.25">
      <c r="S75" t="s">
        <v>272</v>
      </c>
      <c r="T75" t="s">
        <v>273</v>
      </c>
      <c r="U75">
        <v>56</v>
      </c>
      <c r="V75" t="s">
        <v>16</v>
      </c>
      <c r="W75" t="s">
        <v>274</v>
      </c>
      <c r="X75" t="s">
        <v>45</v>
      </c>
      <c r="Y75" t="s">
        <v>13</v>
      </c>
      <c r="Z75" t="s">
        <v>33</v>
      </c>
    </row>
    <row r="76" spans="19:26" x14ac:dyDescent="0.25">
      <c r="S76" t="s">
        <v>275</v>
      </c>
      <c r="T76" t="s">
        <v>276</v>
      </c>
      <c r="U76">
        <v>58</v>
      </c>
      <c r="V76" t="s">
        <v>10</v>
      </c>
      <c r="W76" t="s">
        <v>277</v>
      </c>
      <c r="X76" t="s">
        <v>278</v>
      </c>
      <c r="Y76" t="s">
        <v>13</v>
      </c>
      <c r="Z76" t="s">
        <v>28</v>
      </c>
    </row>
    <row r="77" spans="19:26" x14ac:dyDescent="0.25">
      <c r="S77" t="s">
        <v>279</v>
      </c>
      <c r="T77" t="s">
        <v>280</v>
      </c>
      <c r="U77">
        <v>61</v>
      </c>
      <c r="V77" t="s">
        <v>16</v>
      </c>
      <c r="W77" t="s">
        <v>281</v>
      </c>
      <c r="X77" t="s">
        <v>32</v>
      </c>
      <c r="Y77" t="s">
        <v>13</v>
      </c>
      <c r="Z77" t="s">
        <v>50</v>
      </c>
    </row>
    <row r="78" spans="19:26" x14ac:dyDescent="0.25">
      <c r="S78" t="s">
        <v>282</v>
      </c>
      <c r="T78" t="s">
        <v>283</v>
      </c>
      <c r="U78">
        <v>37</v>
      </c>
      <c r="V78" t="s">
        <v>10</v>
      </c>
      <c r="W78" t="s">
        <v>284</v>
      </c>
      <c r="X78" t="s">
        <v>99</v>
      </c>
      <c r="Y78" t="s">
        <v>13</v>
      </c>
      <c r="Z78" t="s">
        <v>50</v>
      </c>
    </row>
    <row r="79" spans="19:26" x14ac:dyDescent="0.25">
      <c r="S79" t="s">
        <v>285</v>
      </c>
      <c r="T79" t="s">
        <v>286</v>
      </c>
      <c r="U79">
        <v>29</v>
      </c>
      <c r="V79" t="s">
        <v>10</v>
      </c>
      <c r="W79" t="s">
        <v>287</v>
      </c>
      <c r="X79" t="s">
        <v>175</v>
      </c>
      <c r="Y79" t="s">
        <v>13</v>
      </c>
      <c r="Z79" t="s">
        <v>50</v>
      </c>
    </row>
    <row r="80" spans="19:26" x14ac:dyDescent="0.25">
      <c r="S80" t="s">
        <v>288</v>
      </c>
      <c r="T80" t="s">
        <v>289</v>
      </c>
      <c r="U80">
        <v>21</v>
      </c>
      <c r="V80" t="s">
        <v>10</v>
      </c>
      <c r="W80" t="s">
        <v>290</v>
      </c>
      <c r="X80" t="s">
        <v>291</v>
      </c>
      <c r="Y80" t="s">
        <v>13</v>
      </c>
      <c r="Z80" t="s">
        <v>50</v>
      </c>
    </row>
    <row r="81" spans="19:26" x14ac:dyDescent="0.25">
      <c r="S81" t="s">
        <v>292</v>
      </c>
      <c r="T81" t="s">
        <v>293</v>
      </c>
      <c r="U81">
        <v>22</v>
      </c>
      <c r="V81" t="s">
        <v>16</v>
      </c>
      <c r="W81" t="s">
        <v>294</v>
      </c>
      <c r="X81" t="s">
        <v>295</v>
      </c>
      <c r="Y81" t="s">
        <v>13</v>
      </c>
      <c r="Z81" t="s">
        <v>19</v>
      </c>
    </row>
    <row r="82" spans="19:26" x14ac:dyDescent="0.25">
      <c r="S82" t="s">
        <v>296</v>
      </c>
      <c r="T82" t="s">
        <v>297</v>
      </c>
      <c r="U82">
        <v>61</v>
      </c>
      <c r="V82" t="s">
        <v>16</v>
      </c>
      <c r="W82" t="s">
        <v>298</v>
      </c>
      <c r="X82" t="s">
        <v>237</v>
      </c>
      <c r="Y82" t="s">
        <v>13</v>
      </c>
      <c r="Z82" t="s">
        <v>28</v>
      </c>
    </row>
    <row r="83" spans="19:26" x14ac:dyDescent="0.25">
      <c r="S83" t="s">
        <v>299</v>
      </c>
      <c r="T83" t="s">
        <v>300</v>
      </c>
      <c r="U83">
        <v>34</v>
      </c>
      <c r="V83" t="s">
        <v>16</v>
      </c>
      <c r="W83" t="s">
        <v>301</v>
      </c>
      <c r="X83" t="s">
        <v>137</v>
      </c>
      <c r="Y83" t="s">
        <v>13</v>
      </c>
      <c r="Z83" t="s">
        <v>19</v>
      </c>
    </row>
    <row r="84" spans="19:26" x14ac:dyDescent="0.25">
      <c r="S84" t="s">
        <v>302</v>
      </c>
      <c r="T84" t="s">
        <v>303</v>
      </c>
      <c r="U84">
        <v>53</v>
      </c>
      <c r="V84" t="s">
        <v>10</v>
      </c>
      <c r="W84" t="s">
        <v>304</v>
      </c>
      <c r="X84" t="s">
        <v>254</v>
      </c>
      <c r="Y84" t="s">
        <v>13</v>
      </c>
      <c r="Z84" t="s">
        <v>28</v>
      </c>
    </row>
    <row r="85" spans="19:26" x14ac:dyDescent="0.25">
      <c r="S85" t="s">
        <v>305</v>
      </c>
      <c r="T85" t="s">
        <v>306</v>
      </c>
      <c r="U85">
        <v>48</v>
      </c>
      <c r="V85" t="s">
        <v>16</v>
      </c>
      <c r="W85" t="s">
        <v>307</v>
      </c>
      <c r="X85" t="s">
        <v>84</v>
      </c>
      <c r="Y85" t="s">
        <v>13</v>
      </c>
      <c r="Z85" t="s">
        <v>28</v>
      </c>
    </row>
    <row r="86" spans="19:26" x14ac:dyDescent="0.25">
      <c r="S86" t="s">
        <v>308</v>
      </c>
      <c r="T86" t="s">
        <v>309</v>
      </c>
      <c r="U86">
        <v>26</v>
      </c>
      <c r="V86" t="s">
        <v>16</v>
      </c>
      <c r="W86" t="s">
        <v>310</v>
      </c>
      <c r="X86" t="s">
        <v>258</v>
      </c>
      <c r="Y86" t="s">
        <v>13</v>
      </c>
      <c r="Z86" t="s">
        <v>19</v>
      </c>
    </row>
    <row r="87" spans="19:26" x14ac:dyDescent="0.25">
      <c r="S87" t="s">
        <v>311</v>
      </c>
      <c r="T87" t="s">
        <v>312</v>
      </c>
      <c r="U87">
        <v>36</v>
      </c>
      <c r="V87" t="s">
        <v>10</v>
      </c>
      <c r="W87" t="s">
        <v>313</v>
      </c>
      <c r="X87" t="s">
        <v>54</v>
      </c>
      <c r="Y87" t="s">
        <v>13</v>
      </c>
      <c r="Z87" t="s">
        <v>33</v>
      </c>
    </row>
    <row r="88" spans="19:26" x14ac:dyDescent="0.25">
      <c r="S88" t="s">
        <v>314</v>
      </c>
      <c r="T88" t="s">
        <v>315</v>
      </c>
      <c r="U88">
        <v>19</v>
      </c>
      <c r="V88" t="s">
        <v>16</v>
      </c>
      <c r="W88" t="s">
        <v>316</v>
      </c>
      <c r="X88" t="s">
        <v>317</v>
      </c>
      <c r="Y88" t="s">
        <v>13</v>
      </c>
      <c r="Z88" t="s">
        <v>50</v>
      </c>
    </row>
    <row r="89" spans="19:26" x14ac:dyDescent="0.25">
      <c r="S89" t="s">
        <v>318</v>
      </c>
      <c r="T89" t="s">
        <v>319</v>
      </c>
      <c r="U89">
        <v>58</v>
      </c>
      <c r="V89" t="s">
        <v>16</v>
      </c>
      <c r="W89" t="s">
        <v>320</v>
      </c>
      <c r="X89" t="s">
        <v>321</v>
      </c>
      <c r="Y89" t="s">
        <v>13</v>
      </c>
      <c r="Z89" t="s">
        <v>28</v>
      </c>
    </row>
    <row r="90" spans="19:26" x14ac:dyDescent="0.25">
      <c r="S90" t="s">
        <v>322</v>
      </c>
      <c r="T90" t="s">
        <v>323</v>
      </c>
      <c r="U90">
        <v>58</v>
      </c>
      <c r="V90" t="s">
        <v>10</v>
      </c>
      <c r="W90" t="s">
        <v>324</v>
      </c>
      <c r="X90" t="s">
        <v>295</v>
      </c>
      <c r="Y90" t="s">
        <v>13</v>
      </c>
      <c r="Z90" t="s">
        <v>33</v>
      </c>
    </row>
    <row r="91" spans="19:26" x14ac:dyDescent="0.25">
      <c r="S91" t="s">
        <v>325</v>
      </c>
      <c r="T91" t="s">
        <v>326</v>
      </c>
      <c r="U91">
        <v>43</v>
      </c>
      <c r="V91" t="s">
        <v>10</v>
      </c>
      <c r="W91" t="s">
        <v>327</v>
      </c>
      <c r="X91" t="s">
        <v>328</v>
      </c>
      <c r="Y91" t="s">
        <v>13</v>
      </c>
      <c r="Z91" t="s">
        <v>19</v>
      </c>
    </row>
    <row r="92" spans="19:26" x14ac:dyDescent="0.25">
      <c r="S92" t="s">
        <v>329</v>
      </c>
      <c r="T92" t="s">
        <v>330</v>
      </c>
      <c r="U92">
        <v>58</v>
      </c>
      <c r="V92" t="s">
        <v>16</v>
      </c>
      <c r="W92" t="s">
        <v>331</v>
      </c>
      <c r="X92" t="s">
        <v>332</v>
      </c>
      <c r="Y92" t="s">
        <v>13</v>
      </c>
      <c r="Z92" t="s">
        <v>19</v>
      </c>
    </row>
    <row r="93" spans="19:26" x14ac:dyDescent="0.25">
      <c r="S93" t="s">
        <v>333</v>
      </c>
      <c r="T93" t="s">
        <v>334</v>
      </c>
      <c r="U93">
        <v>29</v>
      </c>
      <c r="V93" t="s">
        <v>16</v>
      </c>
      <c r="W93" t="s">
        <v>335</v>
      </c>
      <c r="X93" t="s">
        <v>137</v>
      </c>
      <c r="Y93" t="s">
        <v>13</v>
      </c>
      <c r="Z93" t="s">
        <v>33</v>
      </c>
    </row>
    <row r="94" spans="19:26" x14ac:dyDescent="0.25">
      <c r="S94" t="s">
        <v>336</v>
      </c>
      <c r="T94" t="s">
        <v>337</v>
      </c>
      <c r="U94">
        <v>44</v>
      </c>
      <c r="V94" t="s">
        <v>16</v>
      </c>
      <c r="W94" t="s">
        <v>338</v>
      </c>
      <c r="X94" t="s">
        <v>241</v>
      </c>
      <c r="Y94" t="s">
        <v>13</v>
      </c>
      <c r="Z94" t="s">
        <v>19</v>
      </c>
    </row>
    <row r="95" spans="19:26" x14ac:dyDescent="0.25">
      <c r="S95" t="s">
        <v>339</v>
      </c>
      <c r="T95" t="s">
        <v>340</v>
      </c>
      <c r="U95">
        <v>28</v>
      </c>
      <c r="V95" t="s">
        <v>16</v>
      </c>
      <c r="W95" t="s">
        <v>341</v>
      </c>
      <c r="X95" t="s">
        <v>321</v>
      </c>
      <c r="Y95" t="s">
        <v>13</v>
      </c>
      <c r="Z95" t="s">
        <v>50</v>
      </c>
    </row>
    <row r="96" spans="19:26" x14ac:dyDescent="0.25">
      <c r="S96" t="s">
        <v>342</v>
      </c>
      <c r="T96" t="s">
        <v>343</v>
      </c>
      <c r="U96">
        <v>43</v>
      </c>
      <c r="V96" t="s">
        <v>16</v>
      </c>
      <c r="W96" t="s">
        <v>344</v>
      </c>
      <c r="X96" t="s">
        <v>188</v>
      </c>
      <c r="Y96" t="s">
        <v>13</v>
      </c>
      <c r="Z96" t="s">
        <v>50</v>
      </c>
    </row>
    <row r="97" spans="19:26" x14ac:dyDescent="0.25">
      <c r="S97" t="s">
        <v>345</v>
      </c>
      <c r="T97" t="s">
        <v>346</v>
      </c>
      <c r="U97">
        <v>62</v>
      </c>
      <c r="V97" t="s">
        <v>16</v>
      </c>
      <c r="W97" t="s">
        <v>347</v>
      </c>
      <c r="X97" t="s">
        <v>61</v>
      </c>
      <c r="Y97" t="s">
        <v>13</v>
      </c>
      <c r="Z97" t="s">
        <v>19</v>
      </c>
    </row>
    <row r="98" spans="19:26" x14ac:dyDescent="0.25">
      <c r="S98" t="s">
        <v>348</v>
      </c>
      <c r="T98" t="s">
        <v>349</v>
      </c>
      <c r="U98">
        <v>30</v>
      </c>
      <c r="V98" t="s">
        <v>16</v>
      </c>
      <c r="W98" t="s">
        <v>350</v>
      </c>
      <c r="X98" t="s">
        <v>332</v>
      </c>
      <c r="Y98" t="s">
        <v>13</v>
      </c>
      <c r="Z98" t="s">
        <v>19</v>
      </c>
    </row>
    <row r="99" spans="19:26" x14ac:dyDescent="0.25">
      <c r="S99" t="s">
        <v>351</v>
      </c>
      <c r="T99" t="s">
        <v>352</v>
      </c>
      <c r="U99">
        <v>36</v>
      </c>
      <c r="V99" t="s">
        <v>10</v>
      </c>
      <c r="W99" t="s">
        <v>353</v>
      </c>
      <c r="X99" t="s">
        <v>41</v>
      </c>
      <c r="Y99" t="s">
        <v>13</v>
      </c>
      <c r="Z99" t="s">
        <v>33</v>
      </c>
    </row>
    <row r="100" spans="19:26" x14ac:dyDescent="0.25">
      <c r="S100" t="s">
        <v>354</v>
      </c>
      <c r="T100" t="s">
        <v>355</v>
      </c>
      <c r="U100">
        <v>24</v>
      </c>
      <c r="V100" t="s">
        <v>10</v>
      </c>
      <c r="W100" t="s">
        <v>356</v>
      </c>
      <c r="X100" t="s">
        <v>167</v>
      </c>
      <c r="Y100" t="s">
        <v>13</v>
      </c>
      <c r="Z100" t="s">
        <v>50</v>
      </c>
    </row>
    <row r="101" spans="19:26" x14ac:dyDescent="0.25">
      <c r="S101" t="s">
        <v>357</v>
      </c>
      <c r="T101" t="s">
        <v>358</v>
      </c>
      <c r="U101">
        <v>35</v>
      </c>
      <c r="V101" t="s">
        <v>10</v>
      </c>
      <c r="W101" t="s">
        <v>359</v>
      </c>
      <c r="X101" t="s">
        <v>241</v>
      </c>
      <c r="Y101" t="s">
        <v>13</v>
      </c>
      <c r="Z101" t="s">
        <v>33</v>
      </c>
    </row>
    <row r="102" spans="19:26" x14ac:dyDescent="0.25">
      <c r="S102" t="s">
        <v>360</v>
      </c>
      <c r="T102" t="s">
        <v>361</v>
      </c>
      <c r="U102">
        <v>53</v>
      </c>
      <c r="V102" t="s">
        <v>16</v>
      </c>
      <c r="W102" t="s">
        <v>362</v>
      </c>
      <c r="X102" t="s">
        <v>363</v>
      </c>
      <c r="Y102" t="s">
        <v>13</v>
      </c>
      <c r="Z102" t="s">
        <v>19</v>
      </c>
    </row>
    <row r="103" spans="19:26" x14ac:dyDescent="0.25">
      <c r="S103" t="s">
        <v>364</v>
      </c>
      <c r="T103" t="s">
        <v>365</v>
      </c>
      <c r="U103">
        <v>29</v>
      </c>
      <c r="V103" t="s">
        <v>10</v>
      </c>
      <c r="W103" t="s">
        <v>366</v>
      </c>
      <c r="X103" t="s">
        <v>121</v>
      </c>
      <c r="Y103" t="s">
        <v>13</v>
      </c>
      <c r="Z103" t="s">
        <v>50</v>
      </c>
    </row>
    <row r="104" spans="19:26" x14ac:dyDescent="0.25">
      <c r="S104" t="s">
        <v>367</v>
      </c>
      <c r="T104" t="s">
        <v>368</v>
      </c>
      <c r="U104">
        <v>34</v>
      </c>
      <c r="V104" t="s">
        <v>16</v>
      </c>
      <c r="W104" t="s">
        <v>369</v>
      </c>
      <c r="X104" t="s">
        <v>54</v>
      </c>
      <c r="Y104" t="s">
        <v>13</v>
      </c>
      <c r="Z104" t="s">
        <v>28</v>
      </c>
    </row>
    <row r="105" spans="19:26" x14ac:dyDescent="0.25">
      <c r="S105" t="s">
        <v>370</v>
      </c>
      <c r="T105" t="s">
        <v>371</v>
      </c>
      <c r="U105">
        <v>21</v>
      </c>
      <c r="V105" t="s">
        <v>10</v>
      </c>
      <c r="W105" t="s">
        <v>372</v>
      </c>
      <c r="X105" t="s">
        <v>171</v>
      </c>
      <c r="Y105" t="s">
        <v>13</v>
      </c>
      <c r="Z105" t="s">
        <v>28</v>
      </c>
    </row>
    <row r="106" spans="19:26" x14ac:dyDescent="0.25">
      <c r="S106" t="s">
        <v>373</v>
      </c>
      <c r="T106" t="s">
        <v>374</v>
      </c>
      <c r="U106">
        <v>64</v>
      </c>
      <c r="V106" t="s">
        <v>10</v>
      </c>
      <c r="W106" t="s">
        <v>375</v>
      </c>
      <c r="X106" t="s">
        <v>84</v>
      </c>
      <c r="Y106" t="s">
        <v>13</v>
      </c>
      <c r="Z106" t="s">
        <v>33</v>
      </c>
    </row>
    <row r="107" spans="19:26" x14ac:dyDescent="0.25">
      <c r="S107" t="s">
        <v>376</v>
      </c>
      <c r="T107" t="s">
        <v>377</v>
      </c>
      <c r="U107">
        <v>50</v>
      </c>
      <c r="V107" t="s">
        <v>16</v>
      </c>
      <c r="W107" t="s">
        <v>378</v>
      </c>
      <c r="X107" t="s">
        <v>254</v>
      </c>
      <c r="Y107" t="s">
        <v>13</v>
      </c>
      <c r="Z107" t="s">
        <v>50</v>
      </c>
    </row>
    <row r="108" spans="19:26" x14ac:dyDescent="0.25">
      <c r="S108" t="s">
        <v>379</v>
      </c>
      <c r="T108" t="s">
        <v>380</v>
      </c>
      <c r="U108">
        <v>53</v>
      </c>
      <c r="V108" t="s">
        <v>16</v>
      </c>
      <c r="W108" t="s">
        <v>381</v>
      </c>
      <c r="X108" t="s">
        <v>221</v>
      </c>
      <c r="Y108" t="s">
        <v>13</v>
      </c>
      <c r="Z108" t="s">
        <v>28</v>
      </c>
    </row>
    <row r="109" spans="19:26" x14ac:dyDescent="0.25">
      <c r="S109" t="s">
        <v>382</v>
      </c>
      <c r="T109" t="s">
        <v>383</v>
      </c>
      <c r="U109">
        <v>62</v>
      </c>
      <c r="V109" t="s">
        <v>16</v>
      </c>
      <c r="W109" t="s">
        <v>384</v>
      </c>
      <c r="X109" t="s">
        <v>18</v>
      </c>
      <c r="Y109" t="s">
        <v>13</v>
      </c>
      <c r="Z109" t="s">
        <v>19</v>
      </c>
    </row>
    <row r="110" spans="19:26" x14ac:dyDescent="0.25">
      <c r="S110" t="s">
        <v>385</v>
      </c>
      <c r="T110" t="s">
        <v>386</v>
      </c>
      <c r="U110">
        <v>38</v>
      </c>
      <c r="V110" t="s">
        <v>10</v>
      </c>
      <c r="W110" t="s">
        <v>387</v>
      </c>
      <c r="X110" t="s">
        <v>49</v>
      </c>
      <c r="Y110" t="s">
        <v>13</v>
      </c>
      <c r="Z110" t="s">
        <v>28</v>
      </c>
    </row>
    <row r="111" spans="19:26" x14ac:dyDescent="0.25">
      <c r="S111" t="s">
        <v>388</v>
      </c>
      <c r="T111" t="s">
        <v>389</v>
      </c>
      <c r="U111">
        <v>27</v>
      </c>
      <c r="V111" t="s">
        <v>10</v>
      </c>
      <c r="W111" t="s">
        <v>390</v>
      </c>
      <c r="X111" t="s">
        <v>45</v>
      </c>
      <c r="Y111" t="s">
        <v>13</v>
      </c>
      <c r="Z111" t="s">
        <v>33</v>
      </c>
    </row>
    <row r="112" spans="19:26" x14ac:dyDescent="0.25">
      <c r="S112" t="s">
        <v>391</v>
      </c>
      <c r="T112" t="s">
        <v>392</v>
      </c>
      <c r="U112">
        <v>40</v>
      </c>
      <c r="V112" t="s">
        <v>16</v>
      </c>
      <c r="W112" t="s">
        <v>393</v>
      </c>
      <c r="X112" t="s">
        <v>144</v>
      </c>
      <c r="Y112" t="s">
        <v>13</v>
      </c>
      <c r="Z112" t="s">
        <v>50</v>
      </c>
    </row>
    <row r="113" spans="19:26" x14ac:dyDescent="0.25">
      <c r="S113" t="s">
        <v>394</v>
      </c>
      <c r="T113" t="s">
        <v>395</v>
      </c>
      <c r="U113">
        <v>18</v>
      </c>
      <c r="V113" t="s">
        <v>16</v>
      </c>
      <c r="W113" t="s">
        <v>396</v>
      </c>
      <c r="X113" t="s">
        <v>137</v>
      </c>
      <c r="Y113" t="s">
        <v>13</v>
      </c>
      <c r="Z113" t="s">
        <v>19</v>
      </c>
    </row>
    <row r="114" spans="19:26" x14ac:dyDescent="0.25">
      <c r="S114" t="s">
        <v>397</v>
      </c>
      <c r="T114" t="s">
        <v>398</v>
      </c>
      <c r="U114">
        <v>27</v>
      </c>
      <c r="V114" t="s">
        <v>16</v>
      </c>
      <c r="W114" t="s">
        <v>399</v>
      </c>
      <c r="X114" t="s">
        <v>160</v>
      </c>
      <c r="Y114" t="s">
        <v>13</v>
      </c>
      <c r="Z114" t="s">
        <v>33</v>
      </c>
    </row>
    <row r="115" spans="19:26" x14ac:dyDescent="0.25">
      <c r="S115" t="s">
        <v>400</v>
      </c>
      <c r="T115" t="s">
        <v>401</v>
      </c>
      <c r="U115">
        <v>51</v>
      </c>
      <c r="V115" t="s">
        <v>10</v>
      </c>
      <c r="W115" t="s">
        <v>402</v>
      </c>
      <c r="X115" t="s">
        <v>237</v>
      </c>
      <c r="Y115" t="s">
        <v>13</v>
      </c>
      <c r="Z115" t="s">
        <v>50</v>
      </c>
    </row>
    <row r="116" spans="19:26" x14ac:dyDescent="0.25">
      <c r="S116" t="s">
        <v>403</v>
      </c>
      <c r="T116" t="s">
        <v>404</v>
      </c>
      <c r="U116">
        <v>30</v>
      </c>
      <c r="V116" t="s">
        <v>10</v>
      </c>
      <c r="W116" t="s">
        <v>405</v>
      </c>
      <c r="X116" t="s">
        <v>188</v>
      </c>
      <c r="Y116" t="s">
        <v>13</v>
      </c>
      <c r="Z116" t="s">
        <v>28</v>
      </c>
    </row>
    <row r="117" spans="19:26" x14ac:dyDescent="0.25">
      <c r="S117" t="s">
        <v>406</v>
      </c>
      <c r="T117" t="s">
        <v>407</v>
      </c>
      <c r="U117">
        <v>53</v>
      </c>
      <c r="V117" t="s">
        <v>16</v>
      </c>
      <c r="W117" t="s">
        <v>408</v>
      </c>
      <c r="X117" t="s">
        <v>18</v>
      </c>
      <c r="Y117" t="s">
        <v>13</v>
      </c>
      <c r="Z117" t="s">
        <v>19</v>
      </c>
    </row>
    <row r="118" spans="19:26" x14ac:dyDescent="0.25">
      <c r="S118" t="s">
        <v>409</v>
      </c>
      <c r="T118" t="s">
        <v>410</v>
      </c>
      <c r="U118">
        <v>18</v>
      </c>
      <c r="V118" t="s">
        <v>16</v>
      </c>
      <c r="W118" t="s">
        <v>411</v>
      </c>
      <c r="X118" t="s">
        <v>221</v>
      </c>
      <c r="Y118" t="s">
        <v>13</v>
      </c>
      <c r="Z118" t="s">
        <v>19</v>
      </c>
    </row>
    <row r="119" spans="19:26" x14ac:dyDescent="0.25">
      <c r="S119" t="s">
        <v>412</v>
      </c>
      <c r="T119" t="s">
        <v>413</v>
      </c>
      <c r="U119">
        <v>21</v>
      </c>
      <c r="V119" t="s">
        <v>16</v>
      </c>
      <c r="W119" t="s">
        <v>414</v>
      </c>
      <c r="X119" t="s">
        <v>77</v>
      </c>
      <c r="Y119" t="s">
        <v>13</v>
      </c>
      <c r="Z119" t="s">
        <v>19</v>
      </c>
    </row>
    <row r="120" spans="19:26" x14ac:dyDescent="0.25">
      <c r="S120" t="s">
        <v>415</v>
      </c>
      <c r="T120" t="s">
        <v>416</v>
      </c>
      <c r="U120">
        <v>36</v>
      </c>
      <c r="V120" t="s">
        <v>10</v>
      </c>
      <c r="W120" t="s">
        <v>417</v>
      </c>
      <c r="X120" t="s">
        <v>73</v>
      </c>
      <c r="Y120" t="s">
        <v>13</v>
      </c>
      <c r="Z120" t="s">
        <v>19</v>
      </c>
    </row>
    <row r="121" spans="19:26" x14ac:dyDescent="0.25">
      <c r="S121" t="s">
        <v>418</v>
      </c>
      <c r="T121" t="s">
        <v>419</v>
      </c>
      <c r="U121">
        <v>40</v>
      </c>
      <c r="V121" t="s">
        <v>10</v>
      </c>
      <c r="W121" t="s">
        <v>420</v>
      </c>
      <c r="X121" t="s">
        <v>241</v>
      </c>
      <c r="Y121" t="s">
        <v>13</v>
      </c>
      <c r="Z121" t="s">
        <v>28</v>
      </c>
    </row>
    <row r="122" spans="19:26" x14ac:dyDescent="0.25">
      <c r="S122" t="s">
        <v>421</v>
      </c>
      <c r="T122" t="s">
        <v>422</v>
      </c>
      <c r="U122">
        <v>44</v>
      </c>
      <c r="V122" t="s">
        <v>16</v>
      </c>
      <c r="W122" t="s">
        <v>423</v>
      </c>
      <c r="X122" t="s">
        <v>54</v>
      </c>
      <c r="Y122" t="s">
        <v>13</v>
      </c>
      <c r="Z122" t="s">
        <v>19</v>
      </c>
    </row>
    <row r="123" spans="19:26" x14ac:dyDescent="0.25">
      <c r="S123" t="s">
        <v>424</v>
      </c>
      <c r="T123" t="s">
        <v>425</v>
      </c>
      <c r="U123">
        <v>62</v>
      </c>
      <c r="V123" t="s">
        <v>10</v>
      </c>
      <c r="W123" t="s">
        <v>426</v>
      </c>
      <c r="X123" t="s">
        <v>103</v>
      </c>
      <c r="Y123" t="s">
        <v>13</v>
      </c>
      <c r="Z123" t="s">
        <v>19</v>
      </c>
    </row>
    <row r="124" spans="19:26" x14ac:dyDescent="0.25">
      <c r="S124" t="s">
        <v>427</v>
      </c>
      <c r="T124" t="s">
        <v>428</v>
      </c>
      <c r="U124">
        <v>50</v>
      </c>
      <c r="V124" t="s">
        <v>10</v>
      </c>
      <c r="W124" t="s">
        <v>429</v>
      </c>
      <c r="X124" t="s">
        <v>12</v>
      </c>
      <c r="Y124" t="s">
        <v>13</v>
      </c>
      <c r="Z124" t="s">
        <v>19</v>
      </c>
    </row>
    <row r="125" spans="19:26" x14ac:dyDescent="0.25">
      <c r="S125" t="s">
        <v>430</v>
      </c>
      <c r="T125" t="s">
        <v>431</v>
      </c>
      <c r="U125">
        <v>40</v>
      </c>
      <c r="V125" t="s">
        <v>10</v>
      </c>
      <c r="W125" t="s">
        <v>432</v>
      </c>
      <c r="X125" t="s">
        <v>271</v>
      </c>
      <c r="Y125" t="s">
        <v>13</v>
      </c>
      <c r="Z125" t="s">
        <v>33</v>
      </c>
    </row>
    <row r="126" spans="19:26" x14ac:dyDescent="0.25">
      <c r="S126" t="s">
        <v>433</v>
      </c>
      <c r="T126" t="s">
        <v>434</v>
      </c>
      <c r="U126">
        <v>26</v>
      </c>
      <c r="V126" t="s">
        <v>10</v>
      </c>
      <c r="W126" t="s">
        <v>435</v>
      </c>
      <c r="X126" t="s">
        <v>198</v>
      </c>
      <c r="Y126" t="s">
        <v>13</v>
      </c>
      <c r="Z126" t="s">
        <v>28</v>
      </c>
    </row>
    <row r="127" spans="19:26" x14ac:dyDescent="0.25">
      <c r="S127" t="s">
        <v>436</v>
      </c>
      <c r="T127" t="s">
        <v>437</v>
      </c>
      <c r="U127">
        <v>64</v>
      </c>
      <c r="V127" t="s">
        <v>16</v>
      </c>
      <c r="W127" t="s">
        <v>438</v>
      </c>
      <c r="X127" t="s">
        <v>439</v>
      </c>
      <c r="Y127" t="s">
        <v>13</v>
      </c>
      <c r="Z127" t="s">
        <v>19</v>
      </c>
    </row>
    <row r="128" spans="19:26" x14ac:dyDescent="0.25">
      <c r="S128" t="s">
        <v>440</v>
      </c>
      <c r="T128" t="s">
        <v>441</v>
      </c>
      <c r="U128">
        <v>62</v>
      </c>
      <c r="V128" t="s">
        <v>16</v>
      </c>
      <c r="W128" t="s">
        <v>442</v>
      </c>
      <c r="X128" t="s">
        <v>137</v>
      </c>
      <c r="Y128" t="s">
        <v>13</v>
      </c>
      <c r="Z128" t="s">
        <v>50</v>
      </c>
    </row>
    <row r="129" spans="19:26" x14ac:dyDescent="0.25">
      <c r="S129" t="s">
        <v>443</v>
      </c>
      <c r="T129" t="s">
        <v>444</v>
      </c>
      <c r="U129">
        <v>39</v>
      </c>
      <c r="V129" t="s">
        <v>10</v>
      </c>
      <c r="W129" t="s">
        <v>445</v>
      </c>
      <c r="X129" t="s">
        <v>175</v>
      </c>
      <c r="Y129" t="s">
        <v>13</v>
      </c>
      <c r="Z129" t="s">
        <v>19</v>
      </c>
    </row>
    <row r="130" spans="19:26" x14ac:dyDescent="0.25">
      <c r="S130" t="s">
        <v>446</v>
      </c>
      <c r="T130" t="s">
        <v>447</v>
      </c>
      <c r="U130">
        <v>45</v>
      </c>
      <c r="V130" t="s">
        <v>10</v>
      </c>
      <c r="W130" t="s">
        <v>448</v>
      </c>
      <c r="X130" t="s">
        <v>295</v>
      </c>
      <c r="Y130" t="s">
        <v>13</v>
      </c>
      <c r="Z130" t="s">
        <v>33</v>
      </c>
    </row>
    <row r="131" spans="19:26" x14ac:dyDescent="0.25">
      <c r="S131" t="s">
        <v>449</v>
      </c>
      <c r="T131" t="s">
        <v>450</v>
      </c>
      <c r="U131">
        <v>43</v>
      </c>
      <c r="V131" t="s">
        <v>16</v>
      </c>
      <c r="W131" t="s">
        <v>451</v>
      </c>
      <c r="X131" t="s">
        <v>41</v>
      </c>
      <c r="Y131" t="s">
        <v>13</v>
      </c>
      <c r="Z131" t="s">
        <v>33</v>
      </c>
    </row>
    <row r="132" spans="19:26" x14ac:dyDescent="0.25">
      <c r="S132" t="s">
        <v>452</v>
      </c>
      <c r="T132" t="s">
        <v>453</v>
      </c>
      <c r="U132">
        <v>29</v>
      </c>
      <c r="V132" t="s">
        <v>10</v>
      </c>
      <c r="W132" t="s">
        <v>454</v>
      </c>
      <c r="X132" t="s">
        <v>171</v>
      </c>
      <c r="Y132" t="s">
        <v>455</v>
      </c>
      <c r="Z132" t="s">
        <v>19</v>
      </c>
    </row>
    <row r="133" spans="19:26" x14ac:dyDescent="0.25">
      <c r="S133" t="s">
        <v>456</v>
      </c>
      <c r="T133" t="s">
        <v>457</v>
      </c>
      <c r="U133">
        <v>34</v>
      </c>
      <c r="V133" t="s">
        <v>16</v>
      </c>
      <c r="W133" t="s">
        <v>458</v>
      </c>
      <c r="X133" t="s">
        <v>23</v>
      </c>
      <c r="Y133" t="s">
        <v>13</v>
      </c>
      <c r="Z133" t="s">
        <v>28</v>
      </c>
    </row>
    <row r="134" spans="19:26" x14ac:dyDescent="0.25">
      <c r="S134" t="s">
        <v>459</v>
      </c>
      <c r="T134" t="s">
        <v>460</v>
      </c>
      <c r="U134">
        <v>57</v>
      </c>
      <c r="V134" t="s">
        <v>16</v>
      </c>
      <c r="W134" t="s">
        <v>461</v>
      </c>
      <c r="X134" t="s">
        <v>27</v>
      </c>
      <c r="Y134" t="s">
        <v>13</v>
      </c>
      <c r="Z134" t="s">
        <v>50</v>
      </c>
    </row>
    <row r="135" spans="19:26" x14ac:dyDescent="0.25">
      <c r="S135" t="s">
        <v>462</v>
      </c>
      <c r="T135" t="s">
        <v>463</v>
      </c>
      <c r="U135">
        <v>62</v>
      </c>
      <c r="V135" t="s">
        <v>16</v>
      </c>
      <c r="W135" t="s">
        <v>464</v>
      </c>
      <c r="X135" t="s">
        <v>254</v>
      </c>
      <c r="Y135" t="s">
        <v>13</v>
      </c>
      <c r="Z135" t="s">
        <v>28</v>
      </c>
    </row>
    <row r="136" spans="19:26" x14ac:dyDescent="0.25">
      <c r="S136" t="s">
        <v>465</v>
      </c>
      <c r="T136" t="s">
        <v>466</v>
      </c>
      <c r="U136">
        <v>54</v>
      </c>
      <c r="V136" t="s">
        <v>10</v>
      </c>
      <c r="W136" t="s">
        <v>467</v>
      </c>
      <c r="X136" t="s">
        <v>77</v>
      </c>
      <c r="Y136" t="s">
        <v>13</v>
      </c>
      <c r="Z136" t="s">
        <v>50</v>
      </c>
    </row>
    <row r="137" spans="19:26" x14ac:dyDescent="0.25">
      <c r="S137" t="s">
        <v>468</v>
      </c>
      <c r="T137" t="s">
        <v>469</v>
      </c>
      <c r="U137">
        <v>33</v>
      </c>
      <c r="V137" t="s">
        <v>16</v>
      </c>
      <c r="W137" t="s">
        <v>470</v>
      </c>
      <c r="X137" t="s">
        <v>160</v>
      </c>
      <c r="Y137" t="s">
        <v>13</v>
      </c>
      <c r="Z137" t="s">
        <v>19</v>
      </c>
    </row>
    <row r="138" spans="19:26" x14ac:dyDescent="0.25">
      <c r="S138" t="s">
        <v>471</v>
      </c>
      <c r="T138" t="s">
        <v>472</v>
      </c>
      <c r="U138">
        <v>29</v>
      </c>
      <c r="V138" t="s">
        <v>10</v>
      </c>
      <c r="W138" t="s">
        <v>473</v>
      </c>
      <c r="X138" t="s">
        <v>73</v>
      </c>
      <c r="Y138" t="s">
        <v>13</v>
      </c>
      <c r="Z138" t="s">
        <v>33</v>
      </c>
    </row>
    <row r="139" spans="19:26" x14ac:dyDescent="0.25">
      <c r="S139" t="s">
        <v>474</v>
      </c>
      <c r="T139" t="s">
        <v>475</v>
      </c>
      <c r="U139">
        <v>55</v>
      </c>
      <c r="V139" t="s">
        <v>16</v>
      </c>
      <c r="W139" t="s">
        <v>476</v>
      </c>
      <c r="X139" t="s">
        <v>27</v>
      </c>
      <c r="Y139" t="s">
        <v>13</v>
      </c>
      <c r="Z139" t="s">
        <v>19</v>
      </c>
    </row>
    <row r="140" spans="19:26" x14ac:dyDescent="0.25">
      <c r="S140" t="s">
        <v>477</v>
      </c>
      <c r="T140" t="s">
        <v>478</v>
      </c>
      <c r="U140">
        <v>43</v>
      </c>
      <c r="V140" t="s">
        <v>10</v>
      </c>
      <c r="W140" t="s">
        <v>399</v>
      </c>
      <c r="X140" t="s">
        <v>291</v>
      </c>
      <c r="Y140" t="s">
        <v>13</v>
      </c>
      <c r="Z140" t="s">
        <v>50</v>
      </c>
    </row>
    <row r="141" spans="19:26" x14ac:dyDescent="0.25">
      <c r="S141" t="s">
        <v>479</v>
      </c>
      <c r="T141" t="s">
        <v>480</v>
      </c>
      <c r="U141">
        <v>32</v>
      </c>
      <c r="V141" t="s">
        <v>10</v>
      </c>
      <c r="W141" t="s">
        <v>481</v>
      </c>
      <c r="X141" t="s">
        <v>121</v>
      </c>
      <c r="Y141" t="s">
        <v>13</v>
      </c>
      <c r="Z141" t="s">
        <v>28</v>
      </c>
    </row>
    <row r="142" spans="19:26" x14ac:dyDescent="0.25">
      <c r="S142" t="s">
        <v>482</v>
      </c>
      <c r="T142" t="s">
        <v>483</v>
      </c>
      <c r="U142">
        <v>63</v>
      </c>
      <c r="V142" t="s">
        <v>16</v>
      </c>
      <c r="W142" t="s">
        <v>484</v>
      </c>
      <c r="X142" t="s">
        <v>54</v>
      </c>
      <c r="Y142" t="s">
        <v>13</v>
      </c>
      <c r="Z142" t="s">
        <v>50</v>
      </c>
    </row>
    <row r="143" spans="19:26" x14ac:dyDescent="0.25">
      <c r="S143" t="s">
        <v>485</v>
      </c>
      <c r="T143" t="s">
        <v>486</v>
      </c>
      <c r="U143">
        <v>30</v>
      </c>
      <c r="V143" t="s">
        <v>10</v>
      </c>
      <c r="W143" t="s">
        <v>487</v>
      </c>
      <c r="X143" t="s">
        <v>32</v>
      </c>
      <c r="Y143" t="s">
        <v>455</v>
      </c>
      <c r="Z143" t="s">
        <v>28</v>
      </c>
    </row>
    <row r="144" spans="19:26" x14ac:dyDescent="0.25">
      <c r="S144" t="s">
        <v>488</v>
      </c>
      <c r="T144" t="s">
        <v>489</v>
      </c>
      <c r="U144">
        <v>37</v>
      </c>
      <c r="V144" t="s">
        <v>10</v>
      </c>
      <c r="W144" t="s">
        <v>490</v>
      </c>
      <c r="X144" t="s">
        <v>69</v>
      </c>
      <c r="Y144" t="s">
        <v>13</v>
      </c>
      <c r="Z144" t="s">
        <v>28</v>
      </c>
    </row>
    <row r="145" spans="19:26" x14ac:dyDescent="0.25">
      <c r="S145" t="s">
        <v>491</v>
      </c>
      <c r="T145" t="s">
        <v>492</v>
      </c>
      <c r="U145">
        <v>46</v>
      </c>
      <c r="V145" t="s">
        <v>10</v>
      </c>
      <c r="W145" t="s">
        <v>493</v>
      </c>
      <c r="X145" t="s">
        <v>23</v>
      </c>
      <c r="Y145" t="s">
        <v>13</v>
      </c>
      <c r="Z145" t="s">
        <v>28</v>
      </c>
    </row>
    <row r="146" spans="19:26" x14ac:dyDescent="0.25">
      <c r="S146" t="s">
        <v>494</v>
      </c>
      <c r="T146" t="s">
        <v>495</v>
      </c>
      <c r="U146">
        <v>62</v>
      </c>
      <c r="V146" t="s">
        <v>16</v>
      </c>
      <c r="W146" t="s">
        <v>496</v>
      </c>
      <c r="X146" t="s">
        <v>188</v>
      </c>
      <c r="Y146" t="s">
        <v>13</v>
      </c>
      <c r="Z146" t="s">
        <v>28</v>
      </c>
    </row>
    <row r="147" spans="19:26" x14ac:dyDescent="0.25">
      <c r="S147" t="s">
        <v>497</v>
      </c>
      <c r="T147" t="s">
        <v>498</v>
      </c>
      <c r="U147">
        <v>46</v>
      </c>
      <c r="V147" t="s">
        <v>10</v>
      </c>
      <c r="W147" t="s">
        <v>499</v>
      </c>
      <c r="X147" t="s">
        <v>258</v>
      </c>
      <c r="Y147" t="s">
        <v>13</v>
      </c>
      <c r="Z147" t="s">
        <v>19</v>
      </c>
    </row>
    <row r="148" spans="19:26" x14ac:dyDescent="0.25">
      <c r="S148" t="s">
        <v>500</v>
      </c>
      <c r="T148" t="s">
        <v>501</v>
      </c>
      <c r="U148">
        <v>32</v>
      </c>
      <c r="V148" t="s">
        <v>16</v>
      </c>
      <c r="W148" t="s">
        <v>502</v>
      </c>
      <c r="X148" t="s">
        <v>321</v>
      </c>
      <c r="Y148" t="s">
        <v>13</v>
      </c>
      <c r="Z148" t="s">
        <v>50</v>
      </c>
    </row>
    <row r="149" spans="19:26" x14ac:dyDescent="0.25">
      <c r="S149" t="s">
        <v>503</v>
      </c>
      <c r="T149" t="s">
        <v>504</v>
      </c>
      <c r="U149">
        <v>49</v>
      </c>
      <c r="V149" t="s">
        <v>16</v>
      </c>
      <c r="W149" t="s">
        <v>505</v>
      </c>
      <c r="X149" t="s">
        <v>167</v>
      </c>
      <c r="Y149" t="s">
        <v>13</v>
      </c>
      <c r="Z149" t="s">
        <v>19</v>
      </c>
    </row>
    <row r="150" spans="19:26" x14ac:dyDescent="0.25">
      <c r="S150" t="s">
        <v>506</v>
      </c>
      <c r="T150" t="s">
        <v>507</v>
      </c>
      <c r="U150">
        <v>42</v>
      </c>
      <c r="V150" t="s">
        <v>16</v>
      </c>
      <c r="W150" t="s">
        <v>508</v>
      </c>
      <c r="X150" t="s">
        <v>328</v>
      </c>
      <c r="Y150" t="s">
        <v>13</v>
      </c>
      <c r="Z150" t="s">
        <v>28</v>
      </c>
    </row>
    <row r="151" spans="19:26" x14ac:dyDescent="0.25">
      <c r="S151" t="s">
        <v>509</v>
      </c>
      <c r="T151" t="s">
        <v>510</v>
      </c>
      <c r="U151">
        <v>33</v>
      </c>
      <c r="V151" t="s">
        <v>10</v>
      </c>
      <c r="W151" t="s">
        <v>511</v>
      </c>
      <c r="X151" t="s">
        <v>254</v>
      </c>
      <c r="Y151" t="s">
        <v>13</v>
      </c>
      <c r="Z151" t="s">
        <v>19</v>
      </c>
    </row>
    <row r="152" spans="19:26" x14ac:dyDescent="0.25">
      <c r="S152" t="s">
        <v>512</v>
      </c>
      <c r="T152" t="s">
        <v>513</v>
      </c>
      <c r="U152">
        <v>24</v>
      </c>
      <c r="V152" t="s">
        <v>10</v>
      </c>
      <c r="W152" t="s">
        <v>514</v>
      </c>
      <c r="X152" t="s">
        <v>317</v>
      </c>
      <c r="Y152" t="s">
        <v>13</v>
      </c>
      <c r="Z152" t="s">
        <v>50</v>
      </c>
    </row>
    <row r="153" spans="19:26" x14ac:dyDescent="0.25">
      <c r="S153" t="s">
        <v>515</v>
      </c>
      <c r="T153" t="s">
        <v>516</v>
      </c>
      <c r="U153">
        <v>25</v>
      </c>
      <c r="V153" t="s">
        <v>16</v>
      </c>
      <c r="W153" t="s">
        <v>517</v>
      </c>
      <c r="X153" t="s">
        <v>37</v>
      </c>
      <c r="Y153" t="s">
        <v>13</v>
      </c>
      <c r="Z153" t="s">
        <v>50</v>
      </c>
    </row>
    <row r="154" spans="19:26" x14ac:dyDescent="0.25">
      <c r="S154" t="s">
        <v>518</v>
      </c>
      <c r="T154" t="s">
        <v>519</v>
      </c>
      <c r="U154">
        <v>41</v>
      </c>
      <c r="V154" t="s">
        <v>16</v>
      </c>
      <c r="W154" t="s">
        <v>520</v>
      </c>
      <c r="X154" t="s">
        <v>117</v>
      </c>
      <c r="Y154" t="s">
        <v>13</v>
      </c>
      <c r="Z154" t="s">
        <v>19</v>
      </c>
    </row>
    <row r="155" spans="19:26" x14ac:dyDescent="0.25">
      <c r="S155" t="s">
        <v>521</v>
      </c>
      <c r="T155" t="s">
        <v>522</v>
      </c>
      <c r="U155">
        <v>31</v>
      </c>
      <c r="V155" t="s">
        <v>10</v>
      </c>
      <c r="W155" t="s">
        <v>523</v>
      </c>
      <c r="X155" t="s">
        <v>18</v>
      </c>
      <c r="Y155" t="s">
        <v>13</v>
      </c>
      <c r="Z155" t="s">
        <v>28</v>
      </c>
    </row>
    <row r="156" spans="19:26" x14ac:dyDescent="0.25">
      <c r="S156" t="s">
        <v>524</v>
      </c>
      <c r="T156" t="s">
        <v>525</v>
      </c>
      <c r="U156">
        <v>35</v>
      </c>
      <c r="V156" t="s">
        <v>16</v>
      </c>
      <c r="W156" t="s">
        <v>526</v>
      </c>
      <c r="X156" t="s">
        <v>175</v>
      </c>
      <c r="Y156" t="s">
        <v>13</v>
      </c>
      <c r="Z156" t="s">
        <v>50</v>
      </c>
    </row>
    <row r="157" spans="19:26" x14ac:dyDescent="0.25">
      <c r="S157" t="s">
        <v>527</v>
      </c>
      <c r="T157" t="s">
        <v>528</v>
      </c>
      <c r="U157">
        <v>60</v>
      </c>
      <c r="V157" t="s">
        <v>16</v>
      </c>
      <c r="W157" t="s">
        <v>529</v>
      </c>
      <c r="X157" t="s">
        <v>271</v>
      </c>
      <c r="Y157" t="s">
        <v>13</v>
      </c>
      <c r="Z157" t="s">
        <v>50</v>
      </c>
    </row>
    <row r="158" spans="19:26" x14ac:dyDescent="0.25">
      <c r="S158" t="s">
        <v>530</v>
      </c>
      <c r="T158" t="s">
        <v>531</v>
      </c>
      <c r="U158">
        <v>46</v>
      </c>
      <c r="V158" t="s">
        <v>10</v>
      </c>
      <c r="W158" t="s">
        <v>532</v>
      </c>
      <c r="X158" t="s">
        <v>18</v>
      </c>
      <c r="Y158" t="s">
        <v>13</v>
      </c>
      <c r="Z158" t="s">
        <v>28</v>
      </c>
    </row>
    <row r="159" spans="19:26" x14ac:dyDescent="0.25">
      <c r="S159" t="s">
        <v>533</v>
      </c>
      <c r="T159" t="s">
        <v>534</v>
      </c>
      <c r="U159">
        <v>59</v>
      </c>
      <c r="V159" t="s">
        <v>10</v>
      </c>
      <c r="W159" t="s">
        <v>535</v>
      </c>
      <c r="X159" t="s">
        <v>18</v>
      </c>
      <c r="Y159" t="s">
        <v>13</v>
      </c>
      <c r="Z159" t="s">
        <v>19</v>
      </c>
    </row>
    <row r="160" spans="19:26" x14ac:dyDescent="0.25">
      <c r="S160" t="s">
        <v>536</v>
      </c>
      <c r="T160" t="s">
        <v>537</v>
      </c>
      <c r="U160">
        <v>43</v>
      </c>
      <c r="V160" t="s">
        <v>10</v>
      </c>
      <c r="W160" t="s">
        <v>538</v>
      </c>
      <c r="X160" t="s">
        <v>175</v>
      </c>
      <c r="Y160" t="s">
        <v>13</v>
      </c>
      <c r="Z160" t="s">
        <v>28</v>
      </c>
    </row>
    <row r="161" spans="19:26" x14ac:dyDescent="0.25">
      <c r="S161" t="s">
        <v>539</v>
      </c>
      <c r="T161" t="s">
        <v>540</v>
      </c>
      <c r="U161">
        <v>46</v>
      </c>
      <c r="V161" t="s">
        <v>16</v>
      </c>
      <c r="W161" t="s">
        <v>541</v>
      </c>
      <c r="X161" t="s">
        <v>91</v>
      </c>
      <c r="Y161" t="s">
        <v>13</v>
      </c>
      <c r="Z161" t="s">
        <v>50</v>
      </c>
    </row>
    <row r="162" spans="19:26" x14ac:dyDescent="0.25">
      <c r="S162" t="s">
        <v>542</v>
      </c>
      <c r="T162" t="s">
        <v>543</v>
      </c>
      <c r="U162">
        <v>41</v>
      </c>
      <c r="V162" t="s">
        <v>16</v>
      </c>
      <c r="W162" t="s">
        <v>544</v>
      </c>
      <c r="X162" t="s">
        <v>12</v>
      </c>
      <c r="Y162" t="s">
        <v>13</v>
      </c>
      <c r="Z162" t="s">
        <v>19</v>
      </c>
    </row>
    <row r="163" spans="19:26" x14ac:dyDescent="0.25">
      <c r="S163" t="s">
        <v>545</v>
      </c>
      <c r="T163" t="s">
        <v>546</v>
      </c>
      <c r="U163">
        <v>18</v>
      </c>
      <c r="V163" t="s">
        <v>16</v>
      </c>
      <c r="W163" t="s">
        <v>547</v>
      </c>
      <c r="X163" t="s">
        <v>137</v>
      </c>
      <c r="Y163" t="s">
        <v>13</v>
      </c>
      <c r="Z163" t="s">
        <v>33</v>
      </c>
    </row>
    <row r="164" spans="19:26" x14ac:dyDescent="0.25">
      <c r="S164" t="s">
        <v>548</v>
      </c>
      <c r="T164" t="s">
        <v>549</v>
      </c>
      <c r="U164">
        <v>37</v>
      </c>
      <c r="V164" t="s">
        <v>10</v>
      </c>
      <c r="W164" t="s">
        <v>550</v>
      </c>
      <c r="X164" t="s">
        <v>241</v>
      </c>
      <c r="Y164" t="s">
        <v>455</v>
      </c>
      <c r="Z164" t="s">
        <v>33</v>
      </c>
    </row>
    <row r="165" spans="19:26" x14ac:dyDescent="0.25">
      <c r="S165" t="s">
        <v>551</v>
      </c>
      <c r="T165" t="s">
        <v>552</v>
      </c>
      <c r="U165">
        <v>21</v>
      </c>
      <c r="V165" t="s">
        <v>10</v>
      </c>
      <c r="W165" t="s">
        <v>553</v>
      </c>
      <c r="X165" t="s">
        <v>198</v>
      </c>
      <c r="Y165" t="s">
        <v>13</v>
      </c>
      <c r="Z165" t="s">
        <v>28</v>
      </c>
    </row>
    <row r="166" spans="19:26" x14ac:dyDescent="0.25">
      <c r="S166" t="s">
        <v>554</v>
      </c>
      <c r="T166" t="s">
        <v>555</v>
      </c>
      <c r="U166">
        <v>39</v>
      </c>
      <c r="V166" t="s">
        <v>16</v>
      </c>
      <c r="W166" t="s">
        <v>556</v>
      </c>
      <c r="X166" t="s">
        <v>84</v>
      </c>
      <c r="Y166" t="s">
        <v>13</v>
      </c>
      <c r="Z166" t="s">
        <v>33</v>
      </c>
    </row>
    <row r="167" spans="19:26" x14ac:dyDescent="0.25">
      <c r="S167" t="s">
        <v>557</v>
      </c>
      <c r="T167" t="s">
        <v>558</v>
      </c>
      <c r="U167">
        <v>47</v>
      </c>
      <c r="V167" t="s">
        <v>16</v>
      </c>
      <c r="W167" t="s">
        <v>559</v>
      </c>
      <c r="X167" t="s">
        <v>198</v>
      </c>
      <c r="Y167" t="s">
        <v>13</v>
      </c>
      <c r="Z167" t="s">
        <v>19</v>
      </c>
    </row>
    <row r="168" spans="19:26" x14ac:dyDescent="0.25">
      <c r="S168" t="s">
        <v>560</v>
      </c>
      <c r="T168" t="s">
        <v>561</v>
      </c>
      <c r="U168">
        <v>25</v>
      </c>
      <c r="V168" t="s">
        <v>16</v>
      </c>
      <c r="W168" t="s">
        <v>562</v>
      </c>
      <c r="X168" t="s">
        <v>160</v>
      </c>
      <c r="Y168" t="s">
        <v>13</v>
      </c>
      <c r="Z168" t="s">
        <v>33</v>
      </c>
    </row>
    <row r="169" spans="19:26" x14ac:dyDescent="0.25">
      <c r="S169" t="s">
        <v>563</v>
      </c>
      <c r="T169" t="s">
        <v>564</v>
      </c>
      <c r="U169">
        <v>36</v>
      </c>
      <c r="V169" t="s">
        <v>16</v>
      </c>
      <c r="W169" t="s">
        <v>565</v>
      </c>
      <c r="X169" t="s">
        <v>241</v>
      </c>
      <c r="Y169" t="s">
        <v>13</v>
      </c>
      <c r="Z169" t="s">
        <v>50</v>
      </c>
    </row>
    <row r="170" spans="19:26" x14ac:dyDescent="0.25">
      <c r="S170" t="s">
        <v>566</v>
      </c>
      <c r="T170" t="s">
        <v>567</v>
      </c>
      <c r="U170">
        <v>36</v>
      </c>
      <c r="V170" t="s">
        <v>16</v>
      </c>
      <c r="W170" t="s">
        <v>568</v>
      </c>
      <c r="X170" t="s">
        <v>254</v>
      </c>
      <c r="Y170" t="s">
        <v>13</v>
      </c>
      <c r="Z170" t="s">
        <v>19</v>
      </c>
    </row>
    <row r="171" spans="19:26" x14ac:dyDescent="0.25">
      <c r="S171" t="s">
        <v>569</v>
      </c>
      <c r="T171" t="s">
        <v>570</v>
      </c>
      <c r="U171">
        <v>64</v>
      </c>
      <c r="V171" t="s">
        <v>10</v>
      </c>
      <c r="W171" t="s">
        <v>571</v>
      </c>
      <c r="X171" t="s">
        <v>49</v>
      </c>
      <c r="Y171" t="s">
        <v>13</v>
      </c>
      <c r="Z171" t="s">
        <v>28</v>
      </c>
    </row>
    <row r="172" spans="19:26" x14ac:dyDescent="0.25">
      <c r="S172" t="s">
        <v>572</v>
      </c>
      <c r="T172" t="s">
        <v>573</v>
      </c>
      <c r="U172">
        <v>18</v>
      </c>
      <c r="V172" t="s">
        <v>10</v>
      </c>
      <c r="W172" t="s">
        <v>574</v>
      </c>
      <c r="X172" t="s">
        <v>117</v>
      </c>
      <c r="Y172" t="s">
        <v>13</v>
      </c>
      <c r="Z172" t="s">
        <v>50</v>
      </c>
    </row>
    <row r="173" spans="19:26" x14ac:dyDescent="0.25">
      <c r="S173" t="s">
        <v>575</v>
      </c>
      <c r="T173" t="s">
        <v>576</v>
      </c>
      <c r="U173">
        <v>44</v>
      </c>
      <c r="V173" t="s">
        <v>16</v>
      </c>
      <c r="W173" t="s">
        <v>577</v>
      </c>
      <c r="X173" t="s">
        <v>258</v>
      </c>
      <c r="Y173" t="s">
        <v>13</v>
      </c>
      <c r="Z173" t="s">
        <v>19</v>
      </c>
    </row>
    <row r="174" spans="19:26" x14ac:dyDescent="0.25">
      <c r="S174" t="s">
        <v>578</v>
      </c>
      <c r="T174" t="s">
        <v>579</v>
      </c>
      <c r="U174">
        <v>41</v>
      </c>
      <c r="V174" t="s">
        <v>16</v>
      </c>
      <c r="W174" t="s">
        <v>580</v>
      </c>
      <c r="X174" t="s">
        <v>45</v>
      </c>
      <c r="Y174" t="s">
        <v>13</v>
      </c>
      <c r="Z174" t="s">
        <v>28</v>
      </c>
    </row>
    <row r="175" spans="19:26" x14ac:dyDescent="0.25">
      <c r="S175" t="s">
        <v>581</v>
      </c>
      <c r="T175" t="s">
        <v>582</v>
      </c>
      <c r="U175">
        <v>41</v>
      </c>
      <c r="V175" t="s">
        <v>16</v>
      </c>
      <c r="W175" t="s">
        <v>402</v>
      </c>
      <c r="X175" t="s">
        <v>271</v>
      </c>
      <c r="Y175" t="s">
        <v>583</v>
      </c>
      <c r="Z175" t="s">
        <v>19</v>
      </c>
    </row>
    <row r="176" spans="19:26" x14ac:dyDescent="0.25">
      <c r="S176" t="s">
        <v>584</v>
      </c>
      <c r="T176" t="s">
        <v>585</v>
      </c>
      <c r="U176">
        <v>26</v>
      </c>
      <c r="V176" t="s">
        <v>16</v>
      </c>
      <c r="W176" t="s">
        <v>586</v>
      </c>
      <c r="X176" t="s">
        <v>175</v>
      </c>
      <c r="Y176" t="s">
        <v>13</v>
      </c>
      <c r="Z176" t="s">
        <v>50</v>
      </c>
    </row>
    <row r="177" spans="19:26" x14ac:dyDescent="0.25">
      <c r="S177" t="s">
        <v>587</v>
      </c>
      <c r="T177" t="s">
        <v>588</v>
      </c>
      <c r="U177">
        <v>56</v>
      </c>
      <c r="V177" t="s">
        <v>10</v>
      </c>
      <c r="W177" t="s">
        <v>589</v>
      </c>
      <c r="X177" t="s">
        <v>103</v>
      </c>
      <c r="Y177" t="s">
        <v>13</v>
      </c>
      <c r="Z177" t="s">
        <v>19</v>
      </c>
    </row>
    <row r="178" spans="19:26" x14ac:dyDescent="0.25">
      <c r="S178" t="s">
        <v>590</v>
      </c>
      <c r="T178" t="s">
        <v>591</v>
      </c>
      <c r="U178">
        <v>48</v>
      </c>
      <c r="V178" t="s">
        <v>10</v>
      </c>
      <c r="W178" t="s">
        <v>592</v>
      </c>
      <c r="X178" t="s">
        <v>175</v>
      </c>
      <c r="Y178" t="s">
        <v>13</v>
      </c>
      <c r="Z178" t="s">
        <v>33</v>
      </c>
    </row>
    <row r="179" spans="19:26" x14ac:dyDescent="0.25">
      <c r="S179" t="s">
        <v>593</v>
      </c>
      <c r="T179" t="s">
        <v>594</v>
      </c>
      <c r="U179">
        <v>55</v>
      </c>
      <c r="V179" t="s">
        <v>10</v>
      </c>
      <c r="W179" t="s">
        <v>595</v>
      </c>
      <c r="X179" t="s">
        <v>596</v>
      </c>
      <c r="Y179" t="s">
        <v>13</v>
      </c>
      <c r="Z179" t="s">
        <v>19</v>
      </c>
    </row>
    <row r="180" spans="19:26" x14ac:dyDescent="0.25">
      <c r="S180" t="s">
        <v>597</v>
      </c>
      <c r="T180" t="s">
        <v>598</v>
      </c>
      <c r="U180">
        <v>33</v>
      </c>
      <c r="V180" t="s">
        <v>16</v>
      </c>
      <c r="W180" t="s">
        <v>599</v>
      </c>
      <c r="X180" t="s">
        <v>321</v>
      </c>
      <c r="Y180" t="s">
        <v>13</v>
      </c>
      <c r="Z180" t="s">
        <v>28</v>
      </c>
    </row>
    <row r="181" spans="19:26" x14ac:dyDescent="0.25">
      <c r="S181" t="s">
        <v>600</v>
      </c>
      <c r="T181" t="s">
        <v>601</v>
      </c>
      <c r="U181">
        <v>43</v>
      </c>
      <c r="V181" t="s">
        <v>16</v>
      </c>
      <c r="W181" t="s">
        <v>602</v>
      </c>
      <c r="X181" t="s">
        <v>121</v>
      </c>
      <c r="Y181" t="s">
        <v>13</v>
      </c>
      <c r="Z181" t="s">
        <v>33</v>
      </c>
    </row>
    <row r="182" spans="19:26" x14ac:dyDescent="0.25">
      <c r="S182" t="s">
        <v>603</v>
      </c>
      <c r="T182" t="s">
        <v>604</v>
      </c>
      <c r="U182">
        <v>38</v>
      </c>
      <c r="V182" t="s">
        <v>10</v>
      </c>
      <c r="W182" t="s">
        <v>605</v>
      </c>
      <c r="X182" t="s">
        <v>439</v>
      </c>
      <c r="Y182" t="s">
        <v>13</v>
      </c>
      <c r="Z182" t="s">
        <v>28</v>
      </c>
    </row>
    <row r="183" spans="19:26" x14ac:dyDescent="0.25">
      <c r="S183" t="s">
        <v>606</v>
      </c>
      <c r="T183" t="s">
        <v>607</v>
      </c>
      <c r="U183">
        <v>60</v>
      </c>
      <c r="V183" t="s">
        <v>10</v>
      </c>
      <c r="W183" t="s">
        <v>608</v>
      </c>
      <c r="X183" t="s">
        <v>61</v>
      </c>
      <c r="Y183" t="s">
        <v>13</v>
      </c>
      <c r="Z183" t="s">
        <v>28</v>
      </c>
    </row>
    <row r="184" spans="19:26" x14ac:dyDescent="0.25">
      <c r="S184" t="s">
        <v>609</v>
      </c>
      <c r="T184" t="s">
        <v>610</v>
      </c>
      <c r="U184">
        <v>23</v>
      </c>
      <c r="V184" t="s">
        <v>16</v>
      </c>
      <c r="W184" t="s">
        <v>611</v>
      </c>
      <c r="X184" t="s">
        <v>99</v>
      </c>
      <c r="Y184" t="s">
        <v>13</v>
      </c>
      <c r="Z184" t="s">
        <v>33</v>
      </c>
    </row>
    <row r="185" spans="19:26" x14ac:dyDescent="0.25">
      <c r="S185" t="s">
        <v>612</v>
      </c>
      <c r="T185" t="s">
        <v>613</v>
      </c>
      <c r="U185">
        <v>18</v>
      </c>
      <c r="V185" t="s">
        <v>10</v>
      </c>
      <c r="W185" t="s">
        <v>614</v>
      </c>
      <c r="X185" t="s">
        <v>61</v>
      </c>
      <c r="Y185" t="s">
        <v>13</v>
      </c>
      <c r="Z185" t="s">
        <v>19</v>
      </c>
    </row>
    <row r="186" spans="19:26" x14ac:dyDescent="0.25">
      <c r="S186" t="s">
        <v>615</v>
      </c>
      <c r="T186" t="s">
        <v>616</v>
      </c>
      <c r="U186">
        <v>46</v>
      </c>
      <c r="V186" t="s">
        <v>16</v>
      </c>
      <c r="W186" t="s">
        <v>617</v>
      </c>
      <c r="X186" t="s">
        <v>18</v>
      </c>
      <c r="Y186" t="s">
        <v>13</v>
      </c>
      <c r="Z186" t="s">
        <v>33</v>
      </c>
    </row>
    <row r="187" spans="19:26" x14ac:dyDescent="0.25">
      <c r="S187" t="s">
        <v>618</v>
      </c>
      <c r="T187" t="s">
        <v>619</v>
      </c>
      <c r="U187">
        <v>54</v>
      </c>
      <c r="V187" t="s">
        <v>16</v>
      </c>
      <c r="W187" t="s">
        <v>620</v>
      </c>
      <c r="X187" t="s">
        <v>91</v>
      </c>
      <c r="Y187" t="s">
        <v>13</v>
      </c>
      <c r="Z187" t="s">
        <v>19</v>
      </c>
    </row>
    <row r="188" spans="19:26" x14ac:dyDescent="0.25">
      <c r="S188" t="s">
        <v>621</v>
      </c>
      <c r="T188" t="s">
        <v>622</v>
      </c>
      <c r="U188">
        <v>53</v>
      </c>
      <c r="V188" t="s">
        <v>10</v>
      </c>
      <c r="W188" t="s">
        <v>623</v>
      </c>
      <c r="X188" t="s">
        <v>117</v>
      </c>
      <c r="Y188" t="s">
        <v>13</v>
      </c>
      <c r="Z188" t="s">
        <v>33</v>
      </c>
    </row>
    <row r="189" spans="19:26" x14ac:dyDescent="0.25">
      <c r="S189" t="s">
        <v>624</v>
      </c>
      <c r="T189" t="s">
        <v>625</v>
      </c>
      <c r="U189">
        <v>60</v>
      </c>
      <c r="V189" t="s">
        <v>16</v>
      </c>
      <c r="W189" t="s">
        <v>626</v>
      </c>
      <c r="X189" t="s">
        <v>23</v>
      </c>
      <c r="Y189" t="s">
        <v>13</v>
      </c>
      <c r="Z189" t="s">
        <v>19</v>
      </c>
    </row>
    <row r="190" spans="19:26" x14ac:dyDescent="0.25">
      <c r="S190" t="s">
        <v>627</v>
      </c>
      <c r="T190" t="s">
        <v>628</v>
      </c>
      <c r="U190">
        <v>42</v>
      </c>
      <c r="V190" t="s">
        <v>10</v>
      </c>
      <c r="W190" t="s">
        <v>629</v>
      </c>
      <c r="X190" t="s">
        <v>237</v>
      </c>
      <c r="Y190" t="s">
        <v>13</v>
      </c>
      <c r="Z190" t="s">
        <v>33</v>
      </c>
    </row>
    <row r="191" spans="19:26" x14ac:dyDescent="0.25">
      <c r="S191" t="s">
        <v>630</v>
      </c>
      <c r="T191" t="s">
        <v>631</v>
      </c>
      <c r="U191">
        <v>29</v>
      </c>
      <c r="V191" t="s">
        <v>10</v>
      </c>
      <c r="W191" t="s">
        <v>632</v>
      </c>
      <c r="X191" t="s">
        <v>596</v>
      </c>
      <c r="Y191" t="s">
        <v>13</v>
      </c>
      <c r="Z191" t="s">
        <v>50</v>
      </c>
    </row>
    <row r="192" spans="19:26" x14ac:dyDescent="0.25">
      <c r="S192" t="s">
        <v>633</v>
      </c>
      <c r="T192" t="s">
        <v>634</v>
      </c>
      <c r="U192">
        <v>21</v>
      </c>
      <c r="V192" t="s">
        <v>10</v>
      </c>
      <c r="W192" t="s">
        <v>635</v>
      </c>
      <c r="X192" t="s">
        <v>61</v>
      </c>
      <c r="Y192" t="s">
        <v>13</v>
      </c>
      <c r="Z192" t="s">
        <v>28</v>
      </c>
    </row>
    <row r="193" spans="19:26" x14ac:dyDescent="0.25">
      <c r="S193" t="s">
        <v>636</v>
      </c>
      <c r="T193" t="s">
        <v>637</v>
      </c>
      <c r="U193">
        <v>29</v>
      </c>
      <c r="V193" t="s">
        <v>16</v>
      </c>
      <c r="W193" t="s">
        <v>638</v>
      </c>
      <c r="X193" t="s">
        <v>27</v>
      </c>
      <c r="Y193" t="s">
        <v>13</v>
      </c>
      <c r="Z193" t="s">
        <v>28</v>
      </c>
    </row>
    <row r="194" spans="19:26" x14ac:dyDescent="0.25">
      <c r="S194" t="s">
        <v>639</v>
      </c>
      <c r="T194" t="s">
        <v>640</v>
      </c>
      <c r="U194">
        <v>26</v>
      </c>
      <c r="V194" t="s">
        <v>10</v>
      </c>
      <c r="W194" t="s">
        <v>641</v>
      </c>
      <c r="X194" t="s">
        <v>110</v>
      </c>
      <c r="Y194" t="s">
        <v>13</v>
      </c>
      <c r="Z194" t="s">
        <v>50</v>
      </c>
    </row>
    <row r="195" spans="19:26" x14ac:dyDescent="0.25">
      <c r="S195" t="s">
        <v>642</v>
      </c>
      <c r="T195" t="s">
        <v>643</v>
      </c>
      <c r="U195">
        <v>38</v>
      </c>
      <c r="V195" t="s">
        <v>10</v>
      </c>
      <c r="W195" t="s">
        <v>644</v>
      </c>
      <c r="X195" t="s">
        <v>84</v>
      </c>
      <c r="Y195" t="s">
        <v>13</v>
      </c>
      <c r="Z195" t="s">
        <v>50</v>
      </c>
    </row>
    <row r="196" spans="19:26" x14ac:dyDescent="0.25">
      <c r="S196" t="s">
        <v>645</v>
      </c>
      <c r="T196" t="s">
        <v>646</v>
      </c>
      <c r="U196">
        <v>46</v>
      </c>
      <c r="V196" t="s">
        <v>10</v>
      </c>
      <c r="W196" t="s">
        <v>647</v>
      </c>
      <c r="X196" t="s">
        <v>54</v>
      </c>
      <c r="Y196" t="s">
        <v>13</v>
      </c>
      <c r="Z196" t="s">
        <v>50</v>
      </c>
    </row>
    <row r="197" spans="19:26" x14ac:dyDescent="0.25">
      <c r="S197" t="s">
        <v>648</v>
      </c>
      <c r="T197" t="s">
        <v>649</v>
      </c>
      <c r="U197">
        <v>60</v>
      </c>
      <c r="V197" t="s">
        <v>10</v>
      </c>
      <c r="W197" t="s">
        <v>650</v>
      </c>
      <c r="X197" t="s">
        <v>137</v>
      </c>
      <c r="Y197" t="s">
        <v>13</v>
      </c>
      <c r="Z197" t="s">
        <v>33</v>
      </c>
    </row>
    <row r="198" spans="19:26" x14ac:dyDescent="0.25">
      <c r="S198" t="s">
        <v>651</v>
      </c>
      <c r="T198" t="s">
        <v>652</v>
      </c>
      <c r="U198">
        <v>18</v>
      </c>
      <c r="V198" t="s">
        <v>16</v>
      </c>
      <c r="W198" t="s">
        <v>653</v>
      </c>
      <c r="X198" t="s">
        <v>167</v>
      </c>
      <c r="Y198" t="s">
        <v>13</v>
      </c>
      <c r="Z198" t="s">
        <v>19</v>
      </c>
    </row>
    <row r="199" spans="19:26" x14ac:dyDescent="0.25">
      <c r="S199" t="s">
        <v>654</v>
      </c>
      <c r="T199" t="s">
        <v>655</v>
      </c>
      <c r="U199">
        <v>45</v>
      </c>
      <c r="V199" t="s">
        <v>16</v>
      </c>
      <c r="W199" t="s">
        <v>211</v>
      </c>
      <c r="X199" t="s">
        <v>205</v>
      </c>
      <c r="Y199" t="s">
        <v>13</v>
      </c>
      <c r="Z199" t="s">
        <v>19</v>
      </c>
    </row>
    <row r="200" spans="19:26" x14ac:dyDescent="0.25">
      <c r="S200" t="s">
        <v>656</v>
      </c>
      <c r="T200" t="s">
        <v>657</v>
      </c>
      <c r="U200">
        <v>54</v>
      </c>
      <c r="V200" t="s">
        <v>10</v>
      </c>
      <c r="W200" t="s">
        <v>658</v>
      </c>
      <c r="X200" t="s">
        <v>175</v>
      </c>
      <c r="Y200" t="s">
        <v>13</v>
      </c>
      <c r="Z200" t="s">
        <v>28</v>
      </c>
    </row>
    <row r="201" spans="19:26" x14ac:dyDescent="0.25">
      <c r="S201" t="s">
        <v>659</v>
      </c>
      <c r="T201" t="s">
        <v>660</v>
      </c>
      <c r="U201">
        <v>46</v>
      </c>
      <c r="V201" t="s">
        <v>10</v>
      </c>
      <c r="W201" t="s">
        <v>661</v>
      </c>
      <c r="X201" t="s">
        <v>241</v>
      </c>
      <c r="Y201" t="s">
        <v>13</v>
      </c>
      <c r="Z201" t="s">
        <v>28</v>
      </c>
    </row>
    <row r="202" spans="19:26" x14ac:dyDescent="0.25">
      <c r="S202" t="s">
        <v>662</v>
      </c>
      <c r="T202" t="s">
        <v>663</v>
      </c>
      <c r="U202">
        <v>30</v>
      </c>
      <c r="V202" t="s">
        <v>10</v>
      </c>
      <c r="W202" t="s">
        <v>664</v>
      </c>
      <c r="X202" t="s">
        <v>439</v>
      </c>
      <c r="Y202" t="s">
        <v>13</v>
      </c>
      <c r="Z202" t="s">
        <v>19</v>
      </c>
    </row>
    <row r="203" spans="19:26" x14ac:dyDescent="0.25">
      <c r="S203" t="s">
        <v>665</v>
      </c>
      <c r="T203" t="s">
        <v>666</v>
      </c>
      <c r="U203">
        <v>25</v>
      </c>
      <c r="V203" t="s">
        <v>16</v>
      </c>
      <c r="W203" t="s">
        <v>667</v>
      </c>
      <c r="X203" t="s">
        <v>160</v>
      </c>
      <c r="Y203" t="s">
        <v>13</v>
      </c>
      <c r="Z203" t="s">
        <v>28</v>
      </c>
    </row>
    <row r="204" spans="19:26" x14ac:dyDescent="0.25">
      <c r="S204" t="s">
        <v>668</v>
      </c>
      <c r="T204" t="s">
        <v>669</v>
      </c>
      <c r="U204">
        <v>37</v>
      </c>
      <c r="V204" t="s">
        <v>16</v>
      </c>
      <c r="W204" t="s">
        <v>670</v>
      </c>
      <c r="X204" t="s">
        <v>65</v>
      </c>
      <c r="Y204" t="s">
        <v>13</v>
      </c>
      <c r="Z204" t="s">
        <v>19</v>
      </c>
    </row>
    <row r="205" spans="19:26" x14ac:dyDescent="0.25">
      <c r="S205" t="s">
        <v>671</v>
      </c>
      <c r="T205" t="s">
        <v>672</v>
      </c>
      <c r="U205">
        <v>47</v>
      </c>
      <c r="V205" t="s">
        <v>10</v>
      </c>
      <c r="W205" t="s">
        <v>673</v>
      </c>
      <c r="X205" t="s">
        <v>271</v>
      </c>
      <c r="Y205" t="s">
        <v>13</v>
      </c>
      <c r="Z205" t="s">
        <v>19</v>
      </c>
    </row>
    <row r="206" spans="19:26" x14ac:dyDescent="0.25">
      <c r="S206" t="s">
        <v>674</v>
      </c>
      <c r="T206" t="s">
        <v>675</v>
      </c>
      <c r="U206">
        <v>52</v>
      </c>
      <c r="V206" t="s">
        <v>10</v>
      </c>
      <c r="W206" t="s">
        <v>676</v>
      </c>
      <c r="X206" t="s">
        <v>291</v>
      </c>
      <c r="Y206" t="s">
        <v>13</v>
      </c>
      <c r="Z206" t="s">
        <v>19</v>
      </c>
    </row>
    <row r="207" spans="19:26" x14ac:dyDescent="0.25">
      <c r="S207" t="s">
        <v>677</v>
      </c>
      <c r="T207" t="s">
        <v>678</v>
      </c>
      <c r="U207">
        <v>44</v>
      </c>
      <c r="V207" t="s">
        <v>16</v>
      </c>
      <c r="W207" t="s">
        <v>679</v>
      </c>
      <c r="X207" t="s">
        <v>91</v>
      </c>
      <c r="Y207" t="s">
        <v>13</v>
      </c>
      <c r="Z207" t="s">
        <v>50</v>
      </c>
    </row>
    <row r="208" spans="19:26" x14ac:dyDescent="0.25">
      <c r="S208" t="s">
        <v>680</v>
      </c>
      <c r="T208" t="s">
        <v>681</v>
      </c>
      <c r="U208">
        <v>26</v>
      </c>
      <c r="V208" t="s">
        <v>16</v>
      </c>
      <c r="W208" t="s">
        <v>682</v>
      </c>
      <c r="X208" t="s">
        <v>241</v>
      </c>
      <c r="Y208" t="s">
        <v>13</v>
      </c>
      <c r="Z208" t="s">
        <v>33</v>
      </c>
    </row>
    <row r="209" spans="19:26" x14ac:dyDescent="0.25">
      <c r="S209" t="s">
        <v>683</v>
      </c>
      <c r="T209" t="s">
        <v>684</v>
      </c>
      <c r="U209">
        <v>28</v>
      </c>
      <c r="V209" t="s">
        <v>16</v>
      </c>
      <c r="W209" t="s">
        <v>685</v>
      </c>
      <c r="X209" t="s">
        <v>91</v>
      </c>
      <c r="Y209" t="s">
        <v>13</v>
      </c>
      <c r="Z209" t="s">
        <v>28</v>
      </c>
    </row>
    <row r="210" spans="19:26" x14ac:dyDescent="0.25">
      <c r="S210" t="s">
        <v>686</v>
      </c>
      <c r="T210" t="s">
        <v>687</v>
      </c>
      <c r="U210">
        <v>54</v>
      </c>
      <c r="V210" t="s">
        <v>10</v>
      </c>
      <c r="W210" t="s">
        <v>688</v>
      </c>
      <c r="X210" t="s">
        <v>332</v>
      </c>
      <c r="Y210" t="s">
        <v>13</v>
      </c>
      <c r="Z210" t="s">
        <v>19</v>
      </c>
    </row>
    <row r="211" spans="19:26" x14ac:dyDescent="0.25">
      <c r="S211" t="s">
        <v>689</v>
      </c>
      <c r="T211" t="s">
        <v>690</v>
      </c>
      <c r="U211">
        <v>50</v>
      </c>
      <c r="V211" t="s">
        <v>16</v>
      </c>
      <c r="W211" t="s">
        <v>691</v>
      </c>
      <c r="X211" t="s">
        <v>439</v>
      </c>
      <c r="Y211" t="s">
        <v>13</v>
      </c>
      <c r="Z211" t="s">
        <v>19</v>
      </c>
    </row>
    <row r="212" spans="19:26" x14ac:dyDescent="0.25">
      <c r="S212" t="s">
        <v>692</v>
      </c>
      <c r="T212" t="s">
        <v>693</v>
      </c>
      <c r="U212">
        <v>48</v>
      </c>
      <c r="V212" t="s">
        <v>10</v>
      </c>
      <c r="W212" t="s">
        <v>694</v>
      </c>
      <c r="X212" t="s">
        <v>84</v>
      </c>
      <c r="Y212" t="s">
        <v>13</v>
      </c>
      <c r="Z212" t="s">
        <v>33</v>
      </c>
    </row>
    <row r="213" spans="19:26" x14ac:dyDescent="0.25">
      <c r="S213" t="s">
        <v>695</v>
      </c>
      <c r="T213" t="s">
        <v>696</v>
      </c>
      <c r="U213">
        <v>20</v>
      </c>
      <c r="V213" t="s">
        <v>16</v>
      </c>
      <c r="W213" t="s">
        <v>697</v>
      </c>
      <c r="X213" t="s">
        <v>95</v>
      </c>
      <c r="Y213" t="s">
        <v>13</v>
      </c>
      <c r="Z213" t="s">
        <v>33</v>
      </c>
    </row>
    <row r="214" spans="19:26" x14ac:dyDescent="0.25">
      <c r="S214" t="s">
        <v>698</v>
      </c>
      <c r="T214" t="s">
        <v>699</v>
      </c>
      <c r="U214">
        <v>63</v>
      </c>
      <c r="V214" t="s">
        <v>16</v>
      </c>
      <c r="W214" t="s">
        <v>700</v>
      </c>
      <c r="X214" t="s">
        <v>77</v>
      </c>
      <c r="Y214" t="s">
        <v>13</v>
      </c>
      <c r="Z214" t="s">
        <v>19</v>
      </c>
    </row>
    <row r="215" spans="19:26" x14ac:dyDescent="0.25">
      <c r="S215" t="s">
        <v>701</v>
      </c>
      <c r="T215" t="s">
        <v>702</v>
      </c>
      <c r="U215">
        <v>42</v>
      </c>
      <c r="V215" t="s">
        <v>16</v>
      </c>
      <c r="W215" t="s">
        <v>703</v>
      </c>
      <c r="X215" t="s">
        <v>18</v>
      </c>
      <c r="Y215" t="s">
        <v>13</v>
      </c>
      <c r="Z215" t="s">
        <v>19</v>
      </c>
    </row>
    <row r="216" spans="19:26" x14ac:dyDescent="0.25">
      <c r="S216" t="s">
        <v>704</v>
      </c>
      <c r="T216" t="s">
        <v>705</v>
      </c>
      <c r="U216">
        <v>61</v>
      </c>
      <c r="V216" t="s">
        <v>10</v>
      </c>
      <c r="W216" t="s">
        <v>706</v>
      </c>
      <c r="X216" t="s">
        <v>69</v>
      </c>
      <c r="Y216" t="s">
        <v>13</v>
      </c>
      <c r="Z216" t="s">
        <v>50</v>
      </c>
    </row>
    <row r="217" spans="19:26" x14ac:dyDescent="0.25">
      <c r="S217" t="s">
        <v>707</v>
      </c>
      <c r="T217" t="s">
        <v>708</v>
      </c>
      <c r="U217">
        <v>50</v>
      </c>
      <c r="V217" t="s">
        <v>16</v>
      </c>
      <c r="W217" t="s">
        <v>709</v>
      </c>
      <c r="X217" t="s">
        <v>37</v>
      </c>
      <c r="Y217" t="s">
        <v>13</v>
      </c>
      <c r="Z217" t="s">
        <v>50</v>
      </c>
    </row>
    <row r="218" spans="19:26" x14ac:dyDescent="0.25">
      <c r="S218" t="s">
        <v>710</v>
      </c>
      <c r="T218" t="s">
        <v>711</v>
      </c>
      <c r="U218">
        <v>44</v>
      </c>
      <c r="V218" t="s">
        <v>10</v>
      </c>
      <c r="W218" t="s">
        <v>712</v>
      </c>
      <c r="X218" t="s">
        <v>32</v>
      </c>
      <c r="Y218" t="s">
        <v>13</v>
      </c>
      <c r="Z218" t="s">
        <v>19</v>
      </c>
    </row>
    <row r="219" spans="19:26" x14ac:dyDescent="0.25">
      <c r="S219" t="s">
        <v>713</v>
      </c>
      <c r="T219" t="s">
        <v>714</v>
      </c>
      <c r="U219">
        <v>42</v>
      </c>
      <c r="V219" t="s">
        <v>10</v>
      </c>
      <c r="W219" t="s">
        <v>715</v>
      </c>
      <c r="X219" t="s">
        <v>117</v>
      </c>
      <c r="Y219" t="s">
        <v>13</v>
      </c>
      <c r="Z219" t="s">
        <v>33</v>
      </c>
    </row>
    <row r="220" spans="19:26" x14ac:dyDescent="0.25">
      <c r="S220" t="s">
        <v>716</v>
      </c>
      <c r="T220" t="s">
        <v>717</v>
      </c>
      <c r="U220">
        <v>46</v>
      </c>
      <c r="V220" t="s">
        <v>10</v>
      </c>
      <c r="W220" t="s">
        <v>718</v>
      </c>
      <c r="X220" t="s">
        <v>32</v>
      </c>
      <c r="Y220" t="s">
        <v>13</v>
      </c>
      <c r="Z220" t="s">
        <v>19</v>
      </c>
    </row>
    <row r="221" spans="19:26" x14ac:dyDescent="0.25">
      <c r="S221" t="s">
        <v>719</v>
      </c>
      <c r="T221" t="s">
        <v>720</v>
      </c>
      <c r="U221">
        <v>47</v>
      </c>
      <c r="V221" t="s">
        <v>16</v>
      </c>
      <c r="W221" t="s">
        <v>721</v>
      </c>
      <c r="X221" t="s">
        <v>91</v>
      </c>
      <c r="Y221" t="s">
        <v>13</v>
      </c>
      <c r="Z221" t="s">
        <v>50</v>
      </c>
    </row>
    <row r="222" spans="19:26" x14ac:dyDescent="0.25">
      <c r="S222" t="s">
        <v>722</v>
      </c>
      <c r="T222" t="s">
        <v>723</v>
      </c>
      <c r="U222">
        <v>50</v>
      </c>
      <c r="V222" t="s">
        <v>16</v>
      </c>
      <c r="W222" t="s">
        <v>724</v>
      </c>
      <c r="X222" t="s">
        <v>725</v>
      </c>
      <c r="Y222" t="s">
        <v>583</v>
      </c>
      <c r="Z222" t="s">
        <v>28</v>
      </c>
    </row>
    <row r="223" spans="19:26" x14ac:dyDescent="0.25">
      <c r="S223" t="s">
        <v>726</v>
      </c>
      <c r="T223" t="s">
        <v>727</v>
      </c>
      <c r="U223">
        <v>38</v>
      </c>
      <c r="V223" t="s">
        <v>10</v>
      </c>
      <c r="W223" t="s">
        <v>728</v>
      </c>
      <c r="X223" t="s">
        <v>84</v>
      </c>
      <c r="Y223" t="s">
        <v>13</v>
      </c>
      <c r="Z223" t="s">
        <v>19</v>
      </c>
    </row>
    <row r="224" spans="19:26" x14ac:dyDescent="0.25">
      <c r="S224" t="s">
        <v>729</v>
      </c>
      <c r="T224" t="s">
        <v>730</v>
      </c>
      <c r="U224">
        <v>35</v>
      </c>
      <c r="V224" t="s">
        <v>10</v>
      </c>
      <c r="W224" t="s">
        <v>731</v>
      </c>
      <c r="X224" t="s">
        <v>237</v>
      </c>
      <c r="Y224" t="s">
        <v>13</v>
      </c>
      <c r="Z224" t="s">
        <v>19</v>
      </c>
    </row>
    <row r="225" spans="19:26" x14ac:dyDescent="0.25">
      <c r="S225" t="s">
        <v>732</v>
      </c>
      <c r="T225" t="s">
        <v>733</v>
      </c>
      <c r="U225">
        <v>50</v>
      </c>
      <c r="V225" t="s">
        <v>10</v>
      </c>
      <c r="W225" t="s">
        <v>734</v>
      </c>
      <c r="X225" t="s">
        <v>271</v>
      </c>
      <c r="Y225" t="s">
        <v>13</v>
      </c>
      <c r="Z225" t="s">
        <v>19</v>
      </c>
    </row>
    <row r="226" spans="19:26" x14ac:dyDescent="0.25">
      <c r="S226" t="s">
        <v>735</v>
      </c>
      <c r="T226" t="s">
        <v>736</v>
      </c>
      <c r="U226">
        <v>29</v>
      </c>
      <c r="V226" t="s">
        <v>10</v>
      </c>
      <c r="W226" t="s">
        <v>737</v>
      </c>
      <c r="X226" t="s">
        <v>117</v>
      </c>
      <c r="Y226" t="s">
        <v>13</v>
      </c>
      <c r="Z226" t="s">
        <v>33</v>
      </c>
    </row>
    <row r="227" spans="19:26" x14ac:dyDescent="0.25">
      <c r="S227" t="s">
        <v>738</v>
      </c>
      <c r="T227" t="s">
        <v>739</v>
      </c>
      <c r="U227">
        <v>46</v>
      </c>
      <c r="V227" t="s">
        <v>16</v>
      </c>
      <c r="W227" t="s">
        <v>740</v>
      </c>
      <c r="X227" t="s">
        <v>121</v>
      </c>
      <c r="Y227" t="s">
        <v>13</v>
      </c>
      <c r="Z227" t="s">
        <v>19</v>
      </c>
    </row>
    <row r="228" spans="19:26" x14ac:dyDescent="0.25">
      <c r="S228" t="s">
        <v>741</v>
      </c>
      <c r="T228" t="s">
        <v>742</v>
      </c>
      <c r="U228">
        <v>54</v>
      </c>
      <c r="V228" t="s">
        <v>10</v>
      </c>
      <c r="W228" t="s">
        <v>220</v>
      </c>
      <c r="X228" t="s">
        <v>167</v>
      </c>
      <c r="Y228" t="s">
        <v>13</v>
      </c>
      <c r="Z228" t="s">
        <v>50</v>
      </c>
    </row>
    <row r="229" spans="19:26" x14ac:dyDescent="0.25">
      <c r="S229" t="s">
        <v>743</v>
      </c>
      <c r="T229" t="s">
        <v>744</v>
      </c>
      <c r="U229">
        <v>63</v>
      </c>
      <c r="V229" t="s">
        <v>16</v>
      </c>
      <c r="W229" t="s">
        <v>745</v>
      </c>
      <c r="X229" t="s">
        <v>65</v>
      </c>
      <c r="Y229" t="s">
        <v>13</v>
      </c>
      <c r="Z229" t="s">
        <v>50</v>
      </c>
    </row>
    <row r="230" spans="19:26" x14ac:dyDescent="0.25">
      <c r="S230" t="s">
        <v>746</v>
      </c>
      <c r="T230" t="s">
        <v>747</v>
      </c>
      <c r="U230">
        <v>52</v>
      </c>
      <c r="V230" t="s">
        <v>16</v>
      </c>
      <c r="W230" t="s">
        <v>399</v>
      </c>
      <c r="X230" t="s">
        <v>121</v>
      </c>
      <c r="Y230" t="s">
        <v>13</v>
      </c>
      <c r="Z230" t="s">
        <v>50</v>
      </c>
    </row>
    <row r="231" spans="19:26" x14ac:dyDescent="0.25">
      <c r="S231" t="s">
        <v>748</v>
      </c>
      <c r="T231" t="s">
        <v>749</v>
      </c>
      <c r="U231">
        <v>32</v>
      </c>
      <c r="V231" t="s">
        <v>16</v>
      </c>
      <c r="W231" t="s">
        <v>750</v>
      </c>
      <c r="X231" t="s">
        <v>144</v>
      </c>
      <c r="Y231" t="s">
        <v>13</v>
      </c>
      <c r="Z231" t="s">
        <v>28</v>
      </c>
    </row>
    <row r="232" spans="19:26" x14ac:dyDescent="0.25">
      <c r="S232" t="s">
        <v>751</v>
      </c>
      <c r="T232" t="s">
        <v>752</v>
      </c>
      <c r="U232">
        <v>29</v>
      </c>
      <c r="V232" t="s">
        <v>10</v>
      </c>
      <c r="W232" t="s">
        <v>753</v>
      </c>
      <c r="X232" t="s">
        <v>254</v>
      </c>
      <c r="Y232" t="s">
        <v>13</v>
      </c>
      <c r="Z232" t="s">
        <v>28</v>
      </c>
    </row>
    <row r="233" spans="19:26" x14ac:dyDescent="0.25">
      <c r="S233" t="s">
        <v>754</v>
      </c>
      <c r="T233" t="s">
        <v>755</v>
      </c>
      <c r="U233">
        <v>22</v>
      </c>
      <c r="V233" t="s">
        <v>16</v>
      </c>
      <c r="W233" t="s">
        <v>756</v>
      </c>
      <c r="X233" t="s">
        <v>321</v>
      </c>
      <c r="Y233" t="s">
        <v>13</v>
      </c>
      <c r="Z233" t="s">
        <v>28</v>
      </c>
    </row>
    <row r="234" spans="19:26" x14ac:dyDescent="0.25">
      <c r="S234" t="s">
        <v>757</v>
      </c>
      <c r="T234" t="s">
        <v>758</v>
      </c>
      <c r="U234">
        <v>27</v>
      </c>
      <c r="V234" t="s">
        <v>16</v>
      </c>
      <c r="W234" t="s">
        <v>759</v>
      </c>
      <c r="X234" t="s">
        <v>91</v>
      </c>
      <c r="Y234" t="s">
        <v>13</v>
      </c>
      <c r="Z234" t="s">
        <v>19</v>
      </c>
    </row>
    <row r="235" spans="19:26" x14ac:dyDescent="0.25">
      <c r="S235" t="s">
        <v>760</v>
      </c>
      <c r="T235" t="s">
        <v>761</v>
      </c>
      <c r="U235">
        <v>59</v>
      </c>
      <c r="V235" t="s">
        <v>10</v>
      </c>
      <c r="W235" t="s">
        <v>762</v>
      </c>
      <c r="X235" t="s">
        <v>45</v>
      </c>
      <c r="Y235" t="s">
        <v>13</v>
      </c>
      <c r="Z235" t="s">
        <v>33</v>
      </c>
    </row>
    <row r="236" spans="19:26" x14ac:dyDescent="0.25">
      <c r="S236" t="s">
        <v>763</v>
      </c>
      <c r="T236" t="s">
        <v>764</v>
      </c>
      <c r="U236">
        <v>43</v>
      </c>
      <c r="V236" t="s">
        <v>16</v>
      </c>
      <c r="W236" t="s">
        <v>765</v>
      </c>
      <c r="X236" t="s">
        <v>65</v>
      </c>
      <c r="Y236" t="s">
        <v>13</v>
      </c>
      <c r="Z236" t="s">
        <v>50</v>
      </c>
    </row>
    <row r="237" spans="19:26" x14ac:dyDescent="0.25">
      <c r="S237" t="s">
        <v>766</v>
      </c>
      <c r="T237" t="s">
        <v>767</v>
      </c>
      <c r="U237">
        <v>28</v>
      </c>
      <c r="V237" t="s">
        <v>16</v>
      </c>
      <c r="W237" t="s">
        <v>768</v>
      </c>
      <c r="X237" t="s">
        <v>95</v>
      </c>
      <c r="Y237" t="s">
        <v>13</v>
      </c>
      <c r="Z237" t="s">
        <v>28</v>
      </c>
    </row>
    <row r="238" spans="19:26" x14ac:dyDescent="0.25">
      <c r="S238" t="s">
        <v>769</v>
      </c>
      <c r="T238" t="s">
        <v>770</v>
      </c>
      <c r="U238">
        <v>42</v>
      </c>
      <c r="V238" t="s">
        <v>16</v>
      </c>
      <c r="W238" t="s">
        <v>771</v>
      </c>
      <c r="X238" t="s">
        <v>291</v>
      </c>
      <c r="Y238" t="s">
        <v>13</v>
      </c>
      <c r="Z238" t="s">
        <v>28</v>
      </c>
    </row>
    <row r="239" spans="19:26" x14ac:dyDescent="0.25">
      <c r="S239" t="s">
        <v>772</v>
      </c>
      <c r="T239" t="s">
        <v>773</v>
      </c>
      <c r="U239">
        <v>41</v>
      </c>
      <c r="V239" t="s">
        <v>16</v>
      </c>
      <c r="W239" t="s">
        <v>774</v>
      </c>
      <c r="X239" t="s">
        <v>69</v>
      </c>
      <c r="Y239" t="s">
        <v>13</v>
      </c>
      <c r="Z239" t="s">
        <v>50</v>
      </c>
    </row>
    <row r="240" spans="19:26" x14ac:dyDescent="0.25">
      <c r="S240" t="s">
        <v>775</v>
      </c>
      <c r="T240" t="s">
        <v>776</v>
      </c>
      <c r="U240">
        <v>40</v>
      </c>
      <c r="V240" t="s">
        <v>10</v>
      </c>
      <c r="W240" t="s">
        <v>777</v>
      </c>
      <c r="X240" t="s">
        <v>45</v>
      </c>
      <c r="Y240" t="s">
        <v>13</v>
      </c>
      <c r="Z240" t="s">
        <v>19</v>
      </c>
    </row>
    <row r="241" spans="19:26" x14ac:dyDescent="0.25">
      <c r="S241" t="s">
        <v>778</v>
      </c>
      <c r="T241" t="s">
        <v>779</v>
      </c>
      <c r="U241">
        <v>58</v>
      </c>
      <c r="V241" t="s">
        <v>16</v>
      </c>
      <c r="W241" t="s">
        <v>780</v>
      </c>
      <c r="X241" t="s">
        <v>188</v>
      </c>
      <c r="Y241" t="s">
        <v>13</v>
      </c>
      <c r="Z241" t="s">
        <v>19</v>
      </c>
    </row>
    <row r="242" spans="19:26" x14ac:dyDescent="0.25">
      <c r="S242" t="s">
        <v>781</v>
      </c>
      <c r="T242" t="s">
        <v>782</v>
      </c>
      <c r="U242">
        <v>59</v>
      </c>
      <c r="V242" t="s">
        <v>16</v>
      </c>
      <c r="W242" t="s">
        <v>783</v>
      </c>
      <c r="X242" t="s">
        <v>160</v>
      </c>
      <c r="Y242" t="s">
        <v>13</v>
      </c>
      <c r="Z242" t="s">
        <v>19</v>
      </c>
    </row>
    <row r="243" spans="19:26" x14ac:dyDescent="0.25">
      <c r="S243" t="s">
        <v>784</v>
      </c>
      <c r="T243" t="s">
        <v>785</v>
      </c>
      <c r="U243">
        <v>31</v>
      </c>
      <c r="V243" t="s">
        <v>10</v>
      </c>
      <c r="W243" t="s">
        <v>786</v>
      </c>
      <c r="X243" t="s">
        <v>291</v>
      </c>
      <c r="Y243" t="s">
        <v>13</v>
      </c>
      <c r="Z243" t="s">
        <v>19</v>
      </c>
    </row>
    <row r="244" spans="19:26" x14ac:dyDescent="0.25">
      <c r="S244" t="s">
        <v>787</v>
      </c>
      <c r="T244" t="s">
        <v>788</v>
      </c>
      <c r="U244">
        <v>58</v>
      </c>
      <c r="V244" t="s">
        <v>16</v>
      </c>
      <c r="W244" t="s">
        <v>789</v>
      </c>
      <c r="X244" t="s">
        <v>171</v>
      </c>
      <c r="Y244" t="s">
        <v>13</v>
      </c>
      <c r="Z244" t="s">
        <v>33</v>
      </c>
    </row>
    <row r="245" spans="19:26" x14ac:dyDescent="0.25">
      <c r="S245" t="s">
        <v>790</v>
      </c>
      <c r="T245" t="s">
        <v>791</v>
      </c>
      <c r="U245">
        <v>56</v>
      </c>
      <c r="V245" t="s">
        <v>16</v>
      </c>
      <c r="W245" t="s">
        <v>792</v>
      </c>
      <c r="X245" t="s">
        <v>363</v>
      </c>
      <c r="Y245" t="s">
        <v>13</v>
      </c>
      <c r="Z245" t="s">
        <v>50</v>
      </c>
    </row>
    <row r="246" spans="19:26" x14ac:dyDescent="0.25">
      <c r="S246" t="s">
        <v>793</v>
      </c>
      <c r="T246" t="s">
        <v>794</v>
      </c>
      <c r="U246">
        <v>19</v>
      </c>
      <c r="V246" t="s">
        <v>10</v>
      </c>
      <c r="W246" t="s">
        <v>795</v>
      </c>
      <c r="X246" t="s">
        <v>121</v>
      </c>
      <c r="Y246" t="s">
        <v>13</v>
      </c>
      <c r="Z246" t="s">
        <v>28</v>
      </c>
    </row>
    <row r="247" spans="19:26" x14ac:dyDescent="0.25">
      <c r="S247" t="s">
        <v>796</v>
      </c>
      <c r="T247" t="s">
        <v>797</v>
      </c>
      <c r="U247">
        <v>57</v>
      </c>
      <c r="V247" t="s">
        <v>16</v>
      </c>
      <c r="W247" t="s">
        <v>798</v>
      </c>
      <c r="X247" t="s">
        <v>160</v>
      </c>
      <c r="Y247" t="s">
        <v>13</v>
      </c>
      <c r="Z247" t="s">
        <v>19</v>
      </c>
    </row>
    <row r="248" spans="19:26" x14ac:dyDescent="0.25">
      <c r="S248" t="s">
        <v>799</v>
      </c>
      <c r="T248" t="s">
        <v>800</v>
      </c>
      <c r="U248">
        <v>58</v>
      </c>
      <c r="V248" t="s">
        <v>10</v>
      </c>
      <c r="W248" t="s">
        <v>801</v>
      </c>
      <c r="X248" t="s">
        <v>295</v>
      </c>
      <c r="Y248" t="s">
        <v>13</v>
      </c>
      <c r="Z248" t="s">
        <v>28</v>
      </c>
    </row>
    <row r="249" spans="19:26" x14ac:dyDescent="0.25">
      <c r="S249" t="s">
        <v>802</v>
      </c>
      <c r="T249" t="s">
        <v>803</v>
      </c>
      <c r="U249">
        <v>32</v>
      </c>
      <c r="V249" t="s">
        <v>10</v>
      </c>
      <c r="W249" t="s">
        <v>804</v>
      </c>
      <c r="X249" t="s">
        <v>49</v>
      </c>
      <c r="Y249" t="s">
        <v>13</v>
      </c>
      <c r="Z249" t="s">
        <v>19</v>
      </c>
    </row>
    <row r="250" spans="19:26" x14ac:dyDescent="0.25">
      <c r="S250" t="s">
        <v>805</v>
      </c>
      <c r="T250" t="s">
        <v>806</v>
      </c>
      <c r="U250">
        <v>19</v>
      </c>
      <c r="V250" t="s">
        <v>10</v>
      </c>
      <c r="W250" t="s">
        <v>807</v>
      </c>
      <c r="X250" t="s">
        <v>188</v>
      </c>
      <c r="Y250" t="s">
        <v>13</v>
      </c>
      <c r="Z250" t="s">
        <v>50</v>
      </c>
    </row>
    <row r="251" spans="19:26" x14ac:dyDescent="0.25">
      <c r="S251" t="s">
        <v>808</v>
      </c>
      <c r="T251" t="s">
        <v>809</v>
      </c>
      <c r="U251">
        <v>41</v>
      </c>
      <c r="V251" t="s">
        <v>16</v>
      </c>
      <c r="W251" t="s">
        <v>810</v>
      </c>
      <c r="X251" t="s">
        <v>61</v>
      </c>
      <c r="Y251" t="s">
        <v>13</v>
      </c>
      <c r="Z251" t="s">
        <v>50</v>
      </c>
    </row>
    <row r="252" spans="19:26" x14ac:dyDescent="0.25">
      <c r="S252" t="s">
        <v>811</v>
      </c>
      <c r="T252" t="s">
        <v>812</v>
      </c>
      <c r="U252">
        <v>48</v>
      </c>
      <c r="V252" t="s">
        <v>10</v>
      </c>
      <c r="W252" t="s">
        <v>813</v>
      </c>
      <c r="X252" t="s">
        <v>95</v>
      </c>
      <c r="Y252" t="s">
        <v>13</v>
      </c>
      <c r="Z252" t="s">
        <v>19</v>
      </c>
    </row>
    <row r="253" spans="19:26" x14ac:dyDescent="0.25">
      <c r="S253" t="s">
        <v>814</v>
      </c>
      <c r="T253" t="s">
        <v>815</v>
      </c>
      <c r="U253">
        <v>64</v>
      </c>
      <c r="V253" t="s">
        <v>10</v>
      </c>
      <c r="W253" t="s">
        <v>816</v>
      </c>
      <c r="X253" t="s">
        <v>23</v>
      </c>
      <c r="Y253" t="s">
        <v>13</v>
      </c>
      <c r="Z253" t="s">
        <v>33</v>
      </c>
    </row>
    <row r="254" spans="19:26" x14ac:dyDescent="0.25">
      <c r="S254" t="s">
        <v>817</v>
      </c>
      <c r="T254" t="s">
        <v>818</v>
      </c>
      <c r="U254">
        <v>26</v>
      </c>
      <c r="V254" t="s">
        <v>10</v>
      </c>
      <c r="W254" t="s">
        <v>819</v>
      </c>
      <c r="X254" t="s">
        <v>41</v>
      </c>
      <c r="Y254" t="s">
        <v>13</v>
      </c>
      <c r="Z254" t="s">
        <v>33</v>
      </c>
    </row>
    <row r="255" spans="19:26" x14ac:dyDescent="0.25">
      <c r="S255" t="s">
        <v>820</v>
      </c>
      <c r="T255" t="s">
        <v>821</v>
      </c>
      <c r="U255">
        <v>32</v>
      </c>
      <c r="V255" t="s">
        <v>10</v>
      </c>
      <c r="W255" t="s">
        <v>822</v>
      </c>
      <c r="X255" t="s">
        <v>328</v>
      </c>
      <c r="Y255" t="s">
        <v>13</v>
      </c>
      <c r="Z255" t="s">
        <v>28</v>
      </c>
    </row>
    <row r="256" spans="19:26" x14ac:dyDescent="0.25">
      <c r="S256" t="s">
        <v>823</v>
      </c>
      <c r="T256" t="s">
        <v>824</v>
      </c>
      <c r="U256">
        <v>34</v>
      </c>
      <c r="V256" t="s">
        <v>10</v>
      </c>
      <c r="W256" t="s">
        <v>825</v>
      </c>
      <c r="X256" t="s">
        <v>167</v>
      </c>
      <c r="Y256" t="s">
        <v>13</v>
      </c>
      <c r="Z256" t="s">
        <v>33</v>
      </c>
    </row>
    <row r="257" spans="19:26" x14ac:dyDescent="0.25">
      <c r="S257" t="s">
        <v>826</v>
      </c>
      <c r="T257" t="s">
        <v>827</v>
      </c>
      <c r="U257">
        <v>21</v>
      </c>
      <c r="V257" t="s">
        <v>10</v>
      </c>
      <c r="W257" t="s">
        <v>828</v>
      </c>
      <c r="X257" t="s">
        <v>27</v>
      </c>
      <c r="Y257" t="s">
        <v>13</v>
      </c>
      <c r="Z257" t="s">
        <v>50</v>
      </c>
    </row>
    <row r="258" spans="19:26" x14ac:dyDescent="0.25">
      <c r="S258" t="s">
        <v>829</v>
      </c>
      <c r="T258" t="s">
        <v>830</v>
      </c>
      <c r="U258">
        <v>57</v>
      </c>
      <c r="V258" t="s">
        <v>10</v>
      </c>
      <c r="W258" t="s">
        <v>831</v>
      </c>
      <c r="X258" t="s">
        <v>295</v>
      </c>
      <c r="Y258" t="s">
        <v>13</v>
      </c>
      <c r="Z258" t="s">
        <v>19</v>
      </c>
    </row>
    <row r="259" spans="19:26" x14ac:dyDescent="0.25">
      <c r="S259" t="s">
        <v>832</v>
      </c>
      <c r="T259" t="s">
        <v>833</v>
      </c>
      <c r="U259">
        <v>42</v>
      </c>
      <c r="V259" t="s">
        <v>10</v>
      </c>
      <c r="W259" t="s">
        <v>834</v>
      </c>
      <c r="X259" t="s">
        <v>725</v>
      </c>
      <c r="Y259" t="s">
        <v>13</v>
      </c>
      <c r="Z259" t="s">
        <v>33</v>
      </c>
    </row>
    <row r="260" spans="19:26" x14ac:dyDescent="0.25">
      <c r="S260" t="s">
        <v>835</v>
      </c>
      <c r="T260" t="s">
        <v>836</v>
      </c>
      <c r="U260">
        <v>24</v>
      </c>
      <c r="V260" t="s">
        <v>16</v>
      </c>
      <c r="W260" t="s">
        <v>837</v>
      </c>
      <c r="X260" t="s">
        <v>363</v>
      </c>
      <c r="Y260" t="s">
        <v>13</v>
      </c>
      <c r="Z260" t="s">
        <v>19</v>
      </c>
    </row>
    <row r="261" spans="19:26" x14ac:dyDescent="0.25">
      <c r="S261" t="s">
        <v>838</v>
      </c>
      <c r="T261" t="s">
        <v>839</v>
      </c>
      <c r="U261">
        <v>32</v>
      </c>
      <c r="V261" t="s">
        <v>16</v>
      </c>
      <c r="W261" t="s">
        <v>840</v>
      </c>
      <c r="X261" t="s">
        <v>99</v>
      </c>
      <c r="Y261" t="s">
        <v>13</v>
      </c>
      <c r="Z261" t="s">
        <v>33</v>
      </c>
    </row>
    <row r="262" spans="19:26" x14ac:dyDescent="0.25">
      <c r="S262" t="s">
        <v>841</v>
      </c>
      <c r="T262" t="s">
        <v>842</v>
      </c>
      <c r="U262">
        <v>63</v>
      </c>
      <c r="V262" t="s">
        <v>16</v>
      </c>
      <c r="W262" t="s">
        <v>843</v>
      </c>
      <c r="X262" t="s">
        <v>137</v>
      </c>
      <c r="Y262" t="s">
        <v>13</v>
      </c>
      <c r="Z262" t="s">
        <v>19</v>
      </c>
    </row>
    <row r="263" spans="19:26" x14ac:dyDescent="0.25">
      <c r="S263" t="s">
        <v>844</v>
      </c>
      <c r="T263" t="s">
        <v>845</v>
      </c>
      <c r="U263">
        <v>27</v>
      </c>
      <c r="V263" t="s">
        <v>16</v>
      </c>
      <c r="W263" t="s">
        <v>846</v>
      </c>
      <c r="X263" t="s">
        <v>37</v>
      </c>
      <c r="Y263" t="s">
        <v>13</v>
      </c>
      <c r="Z263" t="s">
        <v>33</v>
      </c>
    </row>
    <row r="264" spans="19:26" x14ac:dyDescent="0.25">
      <c r="S264" t="s">
        <v>847</v>
      </c>
      <c r="T264" t="s">
        <v>848</v>
      </c>
      <c r="U264">
        <v>60</v>
      </c>
      <c r="V264" t="s">
        <v>16</v>
      </c>
      <c r="W264" t="s">
        <v>849</v>
      </c>
      <c r="X264" t="s">
        <v>69</v>
      </c>
      <c r="Y264" t="s">
        <v>13</v>
      </c>
      <c r="Z264" t="s">
        <v>33</v>
      </c>
    </row>
    <row r="265" spans="19:26" x14ac:dyDescent="0.25">
      <c r="S265" t="s">
        <v>850</v>
      </c>
      <c r="T265" t="s">
        <v>851</v>
      </c>
      <c r="U265">
        <v>50</v>
      </c>
      <c r="V265" t="s">
        <v>10</v>
      </c>
      <c r="W265" t="s">
        <v>852</v>
      </c>
      <c r="X265" t="s">
        <v>332</v>
      </c>
      <c r="Y265" t="s">
        <v>13</v>
      </c>
      <c r="Z265" t="s">
        <v>28</v>
      </c>
    </row>
    <row r="266" spans="19:26" x14ac:dyDescent="0.25">
      <c r="S266" t="s">
        <v>853</v>
      </c>
      <c r="T266" t="s">
        <v>854</v>
      </c>
      <c r="U266">
        <v>25</v>
      </c>
      <c r="V266" t="s">
        <v>10</v>
      </c>
      <c r="W266" t="s">
        <v>855</v>
      </c>
      <c r="X266" t="s">
        <v>856</v>
      </c>
      <c r="Y266" t="s">
        <v>13</v>
      </c>
      <c r="Z266" t="s">
        <v>50</v>
      </c>
    </row>
    <row r="267" spans="19:26" x14ac:dyDescent="0.25">
      <c r="S267" t="s">
        <v>857</v>
      </c>
      <c r="T267" t="s">
        <v>858</v>
      </c>
      <c r="U267">
        <v>38</v>
      </c>
      <c r="V267" t="s">
        <v>10</v>
      </c>
      <c r="W267" t="s">
        <v>859</v>
      </c>
      <c r="X267" t="s">
        <v>241</v>
      </c>
      <c r="Y267" t="s">
        <v>13</v>
      </c>
      <c r="Z267" t="s">
        <v>33</v>
      </c>
    </row>
    <row r="268" spans="19:26" x14ac:dyDescent="0.25">
      <c r="S268" t="s">
        <v>860</v>
      </c>
      <c r="T268" t="s">
        <v>861</v>
      </c>
      <c r="U268">
        <v>32</v>
      </c>
      <c r="V268" t="s">
        <v>16</v>
      </c>
      <c r="W268" t="s">
        <v>862</v>
      </c>
      <c r="X268" t="s">
        <v>596</v>
      </c>
      <c r="Y268" t="s">
        <v>13</v>
      </c>
      <c r="Z268" t="s">
        <v>28</v>
      </c>
    </row>
    <row r="269" spans="19:26" x14ac:dyDescent="0.25">
      <c r="S269" t="s">
        <v>863</v>
      </c>
      <c r="T269" t="s">
        <v>864</v>
      </c>
      <c r="U269">
        <v>18</v>
      </c>
      <c r="V269" t="s">
        <v>10</v>
      </c>
      <c r="W269" t="s">
        <v>792</v>
      </c>
      <c r="X269" t="s">
        <v>69</v>
      </c>
      <c r="Y269" t="s">
        <v>13</v>
      </c>
      <c r="Z269" t="s">
        <v>28</v>
      </c>
    </row>
    <row r="270" spans="19:26" x14ac:dyDescent="0.25">
      <c r="S270" t="s">
        <v>865</v>
      </c>
      <c r="T270" t="s">
        <v>866</v>
      </c>
      <c r="U270">
        <v>53</v>
      </c>
      <c r="V270" t="s">
        <v>16</v>
      </c>
      <c r="W270" t="s">
        <v>867</v>
      </c>
      <c r="X270" t="s">
        <v>205</v>
      </c>
      <c r="Y270" t="s">
        <v>13</v>
      </c>
      <c r="Z270" t="s">
        <v>28</v>
      </c>
    </row>
    <row r="271" spans="19:26" x14ac:dyDescent="0.25">
      <c r="S271" t="s">
        <v>868</v>
      </c>
      <c r="T271" t="s">
        <v>869</v>
      </c>
      <c r="U271">
        <v>45</v>
      </c>
      <c r="V271" t="s">
        <v>16</v>
      </c>
      <c r="W271" t="s">
        <v>870</v>
      </c>
      <c r="X271" t="s">
        <v>32</v>
      </c>
      <c r="Y271" t="s">
        <v>13</v>
      </c>
      <c r="Z271" t="s">
        <v>33</v>
      </c>
    </row>
    <row r="272" spans="19:26" x14ac:dyDescent="0.25">
      <c r="S272" t="s">
        <v>871</v>
      </c>
      <c r="T272" t="s">
        <v>872</v>
      </c>
      <c r="U272">
        <v>31</v>
      </c>
      <c r="V272" t="s">
        <v>16</v>
      </c>
      <c r="W272" t="s">
        <v>873</v>
      </c>
      <c r="X272" t="s">
        <v>332</v>
      </c>
      <c r="Y272" t="s">
        <v>13</v>
      </c>
      <c r="Z272" t="s">
        <v>50</v>
      </c>
    </row>
    <row r="273" spans="19:26" x14ac:dyDescent="0.25">
      <c r="S273" t="s">
        <v>874</v>
      </c>
      <c r="T273" t="s">
        <v>875</v>
      </c>
      <c r="U273">
        <v>64</v>
      </c>
      <c r="V273" t="s">
        <v>10</v>
      </c>
      <c r="W273" t="s">
        <v>876</v>
      </c>
      <c r="X273" t="s">
        <v>73</v>
      </c>
      <c r="Y273" t="s">
        <v>13</v>
      </c>
      <c r="Z273" t="s">
        <v>19</v>
      </c>
    </row>
    <row r="274" spans="19:26" x14ac:dyDescent="0.25">
      <c r="S274" t="s">
        <v>877</v>
      </c>
      <c r="T274" t="s">
        <v>878</v>
      </c>
      <c r="U274">
        <v>48</v>
      </c>
      <c r="V274" t="s">
        <v>16</v>
      </c>
      <c r="W274" t="s">
        <v>879</v>
      </c>
      <c r="X274" t="s">
        <v>32</v>
      </c>
      <c r="Y274" t="s">
        <v>13</v>
      </c>
      <c r="Z274" t="s">
        <v>50</v>
      </c>
    </row>
    <row r="275" spans="19:26" x14ac:dyDescent="0.25">
      <c r="S275" t="s">
        <v>880</v>
      </c>
      <c r="T275" t="s">
        <v>881</v>
      </c>
      <c r="U275">
        <v>23</v>
      </c>
      <c r="V275" t="s">
        <v>10</v>
      </c>
      <c r="W275" t="s">
        <v>882</v>
      </c>
      <c r="X275" t="s">
        <v>317</v>
      </c>
      <c r="Y275" t="s">
        <v>13</v>
      </c>
      <c r="Z275" t="s">
        <v>28</v>
      </c>
    </row>
    <row r="276" spans="19:26" x14ac:dyDescent="0.25">
      <c r="S276" t="s">
        <v>883</v>
      </c>
      <c r="T276" t="s">
        <v>884</v>
      </c>
      <c r="U276">
        <v>38</v>
      </c>
      <c r="V276" t="s">
        <v>10</v>
      </c>
      <c r="W276" t="s">
        <v>885</v>
      </c>
      <c r="X276" t="s">
        <v>175</v>
      </c>
      <c r="Y276" t="s">
        <v>13</v>
      </c>
      <c r="Z276" t="s">
        <v>33</v>
      </c>
    </row>
    <row r="277" spans="19:26" x14ac:dyDescent="0.25">
      <c r="S277" t="s">
        <v>886</v>
      </c>
      <c r="T277" t="s">
        <v>887</v>
      </c>
      <c r="U277">
        <v>22</v>
      </c>
      <c r="V277" t="s">
        <v>10</v>
      </c>
      <c r="W277" t="s">
        <v>888</v>
      </c>
      <c r="X277" t="s">
        <v>596</v>
      </c>
      <c r="Y277" t="s">
        <v>13</v>
      </c>
      <c r="Z277" t="s">
        <v>50</v>
      </c>
    </row>
    <row r="278" spans="19:26" x14ac:dyDescent="0.25">
      <c r="S278" t="s">
        <v>889</v>
      </c>
      <c r="T278" t="s">
        <v>890</v>
      </c>
      <c r="U278">
        <v>38</v>
      </c>
      <c r="V278" t="s">
        <v>10</v>
      </c>
      <c r="W278" t="s">
        <v>891</v>
      </c>
      <c r="X278" t="s">
        <v>188</v>
      </c>
      <c r="Y278" t="s">
        <v>13</v>
      </c>
      <c r="Z278" t="s">
        <v>50</v>
      </c>
    </row>
    <row r="279" spans="19:26" x14ac:dyDescent="0.25">
      <c r="S279" t="s">
        <v>892</v>
      </c>
      <c r="T279" t="s">
        <v>893</v>
      </c>
      <c r="U279">
        <v>22</v>
      </c>
      <c r="V279" t="s">
        <v>16</v>
      </c>
      <c r="W279" t="s">
        <v>894</v>
      </c>
      <c r="X279" t="s">
        <v>278</v>
      </c>
      <c r="Y279" t="s">
        <v>13</v>
      </c>
      <c r="Z279" t="s">
        <v>19</v>
      </c>
    </row>
    <row r="280" spans="19:26" x14ac:dyDescent="0.25">
      <c r="S280" t="s">
        <v>895</v>
      </c>
      <c r="T280" t="s">
        <v>896</v>
      </c>
      <c r="U280">
        <v>42</v>
      </c>
      <c r="V280" t="s">
        <v>16</v>
      </c>
      <c r="W280" t="s">
        <v>897</v>
      </c>
      <c r="X280" t="s">
        <v>221</v>
      </c>
      <c r="Y280" t="s">
        <v>13</v>
      </c>
      <c r="Z280" t="s">
        <v>19</v>
      </c>
    </row>
    <row r="281" spans="19:26" x14ac:dyDescent="0.25">
      <c r="S281" t="s">
        <v>898</v>
      </c>
      <c r="T281" t="s">
        <v>899</v>
      </c>
      <c r="U281">
        <v>21</v>
      </c>
      <c r="V281" t="s">
        <v>16</v>
      </c>
      <c r="W281" t="s">
        <v>900</v>
      </c>
      <c r="X281" t="s">
        <v>27</v>
      </c>
      <c r="Y281" t="s">
        <v>13</v>
      </c>
      <c r="Z281" t="s">
        <v>28</v>
      </c>
    </row>
    <row r="282" spans="19:26" x14ac:dyDescent="0.25">
      <c r="S282" t="s">
        <v>901</v>
      </c>
      <c r="T282" t="s">
        <v>902</v>
      </c>
      <c r="U282">
        <v>48</v>
      </c>
      <c r="V282" t="s">
        <v>10</v>
      </c>
      <c r="W282" t="s">
        <v>903</v>
      </c>
      <c r="X282" t="s">
        <v>103</v>
      </c>
      <c r="Y282" t="s">
        <v>13</v>
      </c>
      <c r="Z282" t="s">
        <v>28</v>
      </c>
    </row>
    <row r="283" spans="19:26" x14ac:dyDescent="0.25">
      <c r="S283" t="s">
        <v>904</v>
      </c>
      <c r="T283" t="s">
        <v>905</v>
      </c>
      <c r="U283">
        <v>59</v>
      </c>
      <c r="V283" t="s">
        <v>10</v>
      </c>
      <c r="W283" t="s">
        <v>906</v>
      </c>
      <c r="X283" t="s">
        <v>171</v>
      </c>
      <c r="Y283" t="s">
        <v>13</v>
      </c>
      <c r="Z283" t="s">
        <v>19</v>
      </c>
    </row>
    <row r="284" spans="19:26" x14ac:dyDescent="0.25">
      <c r="S284" t="s">
        <v>907</v>
      </c>
      <c r="T284" t="s">
        <v>908</v>
      </c>
      <c r="U284">
        <v>46</v>
      </c>
      <c r="V284" t="s">
        <v>16</v>
      </c>
      <c r="W284" t="s">
        <v>909</v>
      </c>
      <c r="X284" t="s">
        <v>91</v>
      </c>
      <c r="Y284" t="s">
        <v>13</v>
      </c>
      <c r="Z284" t="s">
        <v>50</v>
      </c>
    </row>
    <row r="285" spans="19:26" x14ac:dyDescent="0.25">
      <c r="S285" t="s">
        <v>910</v>
      </c>
      <c r="T285" t="s">
        <v>911</v>
      </c>
      <c r="U285">
        <v>54</v>
      </c>
      <c r="V285" t="s">
        <v>16</v>
      </c>
      <c r="W285" t="s">
        <v>912</v>
      </c>
      <c r="X285" t="s">
        <v>856</v>
      </c>
      <c r="Y285" t="s">
        <v>13</v>
      </c>
      <c r="Z285" t="s">
        <v>33</v>
      </c>
    </row>
    <row r="286" spans="19:26" x14ac:dyDescent="0.25">
      <c r="S286" t="s">
        <v>913</v>
      </c>
      <c r="T286" t="s">
        <v>914</v>
      </c>
      <c r="U286">
        <v>54</v>
      </c>
      <c r="V286" t="s">
        <v>10</v>
      </c>
      <c r="W286" t="s">
        <v>915</v>
      </c>
      <c r="X286" t="s">
        <v>171</v>
      </c>
      <c r="Y286" t="s">
        <v>13</v>
      </c>
      <c r="Z286" t="s">
        <v>50</v>
      </c>
    </row>
    <row r="287" spans="19:26" x14ac:dyDescent="0.25">
      <c r="S287" t="s">
        <v>916</v>
      </c>
      <c r="T287" t="s">
        <v>917</v>
      </c>
      <c r="U287">
        <v>46</v>
      </c>
      <c r="V287" t="s">
        <v>16</v>
      </c>
      <c r="W287" t="s">
        <v>918</v>
      </c>
      <c r="X287" t="s">
        <v>725</v>
      </c>
      <c r="Y287" t="s">
        <v>13</v>
      </c>
      <c r="Z287" t="s">
        <v>33</v>
      </c>
    </row>
    <row r="288" spans="19:26" x14ac:dyDescent="0.25">
      <c r="S288" t="s">
        <v>919</v>
      </c>
      <c r="T288" t="s">
        <v>920</v>
      </c>
      <c r="U288">
        <v>22</v>
      </c>
      <c r="V288" t="s">
        <v>10</v>
      </c>
      <c r="W288" t="s">
        <v>921</v>
      </c>
      <c r="X288" t="s">
        <v>41</v>
      </c>
      <c r="Y288" t="s">
        <v>13</v>
      </c>
      <c r="Z288" t="s">
        <v>33</v>
      </c>
    </row>
    <row r="289" spans="19:26" x14ac:dyDescent="0.25">
      <c r="S289" t="s">
        <v>922</v>
      </c>
      <c r="T289" t="s">
        <v>923</v>
      </c>
      <c r="U289">
        <v>22</v>
      </c>
      <c r="V289" t="s">
        <v>16</v>
      </c>
      <c r="W289" t="s">
        <v>924</v>
      </c>
      <c r="X289" t="s">
        <v>175</v>
      </c>
      <c r="Y289" t="s">
        <v>13</v>
      </c>
      <c r="Z289" t="s">
        <v>50</v>
      </c>
    </row>
    <row r="290" spans="19:26" x14ac:dyDescent="0.25">
      <c r="S290" t="s">
        <v>925</v>
      </c>
      <c r="T290" t="s">
        <v>926</v>
      </c>
      <c r="U290">
        <v>58</v>
      </c>
      <c r="V290" t="s">
        <v>10</v>
      </c>
      <c r="W290" t="s">
        <v>927</v>
      </c>
      <c r="X290" t="s">
        <v>171</v>
      </c>
      <c r="Y290" t="s">
        <v>13</v>
      </c>
      <c r="Z290" t="s">
        <v>50</v>
      </c>
    </row>
    <row r="291" spans="19:26" x14ac:dyDescent="0.25">
      <c r="S291" t="s">
        <v>928</v>
      </c>
      <c r="T291" t="s">
        <v>929</v>
      </c>
      <c r="U291">
        <v>45</v>
      </c>
      <c r="V291" t="s">
        <v>10</v>
      </c>
      <c r="W291" t="s">
        <v>930</v>
      </c>
      <c r="X291" t="s">
        <v>27</v>
      </c>
      <c r="Y291" t="s">
        <v>13</v>
      </c>
      <c r="Z291" t="s">
        <v>28</v>
      </c>
    </row>
    <row r="292" spans="19:26" x14ac:dyDescent="0.25">
      <c r="S292" t="s">
        <v>931</v>
      </c>
      <c r="T292" t="s">
        <v>932</v>
      </c>
      <c r="U292">
        <v>52</v>
      </c>
      <c r="V292" t="s">
        <v>16</v>
      </c>
      <c r="W292" t="s">
        <v>933</v>
      </c>
      <c r="X292" t="s">
        <v>291</v>
      </c>
      <c r="Y292" t="s">
        <v>13</v>
      </c>
      <c r="Z292" t="s">
        <v>33</v>
      </c>
    </row>
    <row r="293" spans="19:26" x14ac:dyDescent="0.25">
      <c r="S293" t="s">
        <v>934</v>
      </c>
      <c r="T293" t="s">
        <v>935</v>
      </c>
      <c r="U293">
        <v>40</v>
      </c>
      <c r="V293" t="s">
        <v>16</v>
      </c>
      <c r="W293" t="s">
        <v>936</v>
      </c>
      <c r="X293" t="s">
        <v>117</v>
      </c>
      <c r="Y293" t="s">
        <v>13</v>
      </c>
      <c r="Z293" t="s">
        <v>28</v>
      </c>
    </row>
    <row r="294" spans="19:26" x14ac:dyDescent="0.25">
      <c r="S294" t="s">
        <v>937</v>
      </c>
      <c r="T294" t="s">
        <v>938</v>
      </c>
      <c r="U294">
        <v>30</v>
      </c>
      <c r="V294" t="s">
        <v>10</v>
      </c>
      <c r="W294" t="s">
        <v>939</v>
      </c>
      <c r="X294" t="s">
        <v>205</v>
      </c>
      <c r="Y294" t="s">
        <v>13</v>
      </c>
      <c r="Z294" t="s">
        <v>33</v>
      </c>
    </row>
    <row r="295" spans="19:26" x14ac:dyDescent="0.25">
      <c r="S295" t="s">
        <v>940</v>
      </c>
      <c r="T295" t="s">
        <v>941</v>
      </c>
      <c r="U295">
        <v>56</v>
      </c>
      <c r="V295" t="s">
        <v>16</v>
      </c>
      <c r="W295" t="s">
        <v>942</v>
      </c>
      <c r="X295" t="s">
        <v>332</v>
      </c>
      <c r="Y295" t="s">
        <v>13</v>
      </c>
      <c r="Z295" t="s">
        <v>19</v>
      </c>
    </row>
    <row r="296" spans="19:26" x14ac:dyDescent="0.25">
      <c r="S296" t="s">
        <v>943</v>
      </c>
      <c r="T296" t="s">
        <v>944</v>
      </c>
      <c r="U296">
        <v>29</v>
      </c>
      <c r="V296" t="s">
        <v>10</v>
      </c>
      <c r="W296" t="s">
        <v>580</v>
      </c>
      <c r="X296" t="s">
        <v>69</v>
      </c>
      <c r="Y296" t="s">
        <v>13</v>
      </c>
      <c r="Z296" t="s">
        <v>19</v>
      </c>
    </row>
    <row r="297" spans="19:26" x14ac:dyDescent="0.25">
      <c r="S297" t="s">
        <v>945</v>
      </c>
      <c r="T297" t="s">
        <v>946</v>
      </c>
      <c r="U297">
        <v>19</v>
      </c>
      <c r="V297" t="s">
        <v>16</v>
      </c>
      <c r="W297" t="s">
        <v>947</v>
      </c>
      <c r="X297" t="s">
        <v>65</v>
      </c>
      <c r="Y297" t="s">
        <v>13</v>
      </c>
      <c r="Z297" t="s">
        <v>28</v>
      </c>
    </row>
    <row r="298" spans="19:26" x14ac:dyDescent="0.25">
      <c r="S298" t="s">
        <v>948</v>
      </c>
      <c r="T298" t="s">
        <v>949</v>
      </c>
      <c r="U298">
        <v>28</v>
      </c>
      <c r="V298" t="s">
        <v>16</v>
      </c>
      <c r="W298" t="s">
        <v>301</v>
      </c>
      <c r="X298" t="s">
        <v>45</v>
      </c>
      <c r="Y298" t="s">
        <v>13</v>
      </c>
      <c r="Z298" t="s">
        <v>28</v>
      </c>
    </row>
    <row r="299" spans="19:26" x14ac:dyDescent="0.25">
      <c r="S299" t="s">
        <v>950</v>
      </c>
      <c r="T299" t="s">
        <v>951</v>
      </c>
      <c r="U299">
        <v>47</v>
      </c>
      <c r="V299" t="s">
        <v>16</v>
      </c>
      <c r="W299" t="s">
        <v>952</v>
      </c>
      <c r="X299" t="s">
        <v>117</v>
      </c>
      <c r="Y299" t="s">
        <v>13</v>
      </c>
      <c r="Z299" t="s">
        <v>33</v>
      </c>
    </row>
    <row r="300" spans="19:26" x14ac:dyDescent="0.25">
      <c r="S300" t="s">
        <v>953</v>
      </c>
      <c r="T300" t="s">
        <v>954</v>
      </c>
      <c r="U300">
        <v>64</v>
      </c>
      <c r="V300" t="s">
        <v>10</v>
      </c>
      <c r="W300" t="s">
        <v>955</v>
      </c>
      <c r="X300" t="s">
        <v>439</v>
      </c>
      <c r="Y300" t="s">
        <v>13</v>
      </c>
      <c r="Z300" t="s">
        <v>19</v>
      </c>
    </row>
    <row r="301" spans="19:26" x14ac:dyDescent="0.25">
      <c r="S301" t="s">
        <v>956</v>
      </c>
      <c r="T301" t="s">
        <v>957</v>
      </c>
      <c r="U301">
        <v>48</v>
      </c>
      <c r="V301" t="s">
        <v>16</v>
      </c>
      <c r="W301" t="s">
        <v>958</v>
      </c>
      <c r="X301" t="s">
        <v>332</v>
      </c>
      <c r="Y301" t="s">
        <v>13</v>
      </c>
      <c r="Z301" t="s">
        <v>19</v>
      </c>
    </row>
    <row r="302" spans="19:26" x14ac:dyDescent="0.25">
      <c r="S302" t="s">
        <v>959</v>
      </c>
      <c r="T302" t="s">
        <v>960</v>
      </c>
      <c r="U302">
        <v>29</v>
      </c>
      <c r="V302" t="s">
        <v>10</v>
      </c>
      <c r="W302" t="s">
        <v>961</v>
      </c>
      <c r="X302" t="s">
        <v>37</v>
      </c>
      <c r="Y302" t="s">
        <v>13</v>
      </c>
      <c r="Z302" t="s">
        <v>33</v>
      </c>
    </row>
    <row r="303" spans="19:26" x14ac:dyDescent="0.25">
      <c r="S303" t="s">
        <v>962</v>
      </c>
      <c r="T303" t="s">
        <v>963</v>
      </c>
      <c r="U303">
        <v>50</v>
      </c>
      <c r="V303" t="s">
        <v>10</v>
      </c>
      <c r="W303" t="s">
        <v>964</v>
      </c>
      <c r="X303" t="s">
        <v>291</v>
      </c>
      <c r="Y303" t="s">
        <v>13</v>
      </c>
      <c r="Z303" t="s">
        <v>50</v>
      </c>
    </row>
    <row r="304" spans="19:26" x14ac:dyDescent="0.25">
      <c r="S304" t="s">
        <v>965</v>
      </c>
      <c r="T304" t="s">
        <v>966</v>
      </c>
      <c r="U304">
        <v>36</v>
      </c>
      <c r="V304" t="s">
        <v>10</v>
      </c>
      <c r="W304" t="s">
        <v>967</v>
      </c>
      <c r="X304" t="s">
        <v>137</v>
      </c>
      <c r="Y304" t="s">
        <v>13</v>
      </c>
      <c r="Z304" t="s">
        <v>50</v>
      </c>
    </row>
    <row r="305" spans="19:26" x14ac:dyDescent="0.25">
      <c r="S305" t="s">
        <v>968</v>
      </c>
      <c r="T305" t="s">
        <v>969</v>
      </c>
      <c r="U305">
        <v>23</v>
      </c>
      <c r="V305" t="s">
        <v>16</v>
      </c>
      <c r="W305" t="s">
        <v>970</v>
      </c>
      <c r="X305" t="s">
        <v>95</v>
      </c>
      <c r="Y305" t="s">
        <v>13</v>
      </c>
      <c r="Z305" t="s">
        <v>19</v>
      </c>
    </row>
    <row r="306" spans="19:26" x14ac:dyDescent="0.25">
      <c r="S306" t="s">
        <v>971</v>
      </c>
      <c r="T306" t="s">
        <v>972</v>
      </c>
      <c r="U306">
        <v>41</v>
      </c>
      <c r="V306" t="s">
        <v>10</v>
      </c>
      <c r="W306" t="s">
        <v>973</v>
      </c>
      <c r="X306" t="s">
        <v>65</v>
      </c>
      <c r="Y306" t="s">
        <v>13</v>
      </c>
      <c r="Z306" t="s">
        <v>33</v>
      </c>
    </row>
    <row r="307" spans="19:26" x14ac:dyDescent="0.25">
      <c r="S307" t="s">
        <v>974</v>
      </c>
      <c r="T307" t="s">
        <v>975</v>
      </c>
      <c r="U307">
        <v>64</v>
      </c>
      <c r="V307" t="s">
        <v>10</v>
      </c>
      <c r="W307" t="s">
        <v>976</v>
      </c>
      <c r="X307" t="s">
        <v>77</v>
      </c>
      <c r="Y307" t="s">
        <v>13</v>
      </c>
      <c r="Z307" t="s">
        <v>19</v>
      </c>
    </row>
    <row r="308" spans="19:26" x14ac:dyDescent="0.25">
      <c r="S308" t="s">
        <v>977</v>
      </c>
      <c r="T308" t="s">
        <v>978</v>
      </c>
      <c r="U308">
        <v>44</v>
      </c>
      <c r="V308" t="s">
        <v>10</v>
      </c>
      <c r="W308" t="s">
        <v>979</v>
      </c>
      <c r="X308" t="s">
        <v>241</v>
      </c>
      <c r="Y308" t="s">
        <v>13</v>
      </c>
      <c r="Z308" t="s">
        <v>19</v>
      </c>
    </row>
    <row r="309" spans="19:26" x14ac:dyDescent="0.25">
      <c r="S309" t="s">
        <v>980</v>
      </c>
      <c r="T309" t="s">
        <v>981</v>
      </c>
      <c r="U309">
        <v>56</v>
      </c>
      <c r="V309" t="s">
        <v>16</v>
      </c>
      <c r="W309" t="s">
        <v>982</v>
      </c>
      <c r="X309" t="s">
        <v>23</v>
      </c>
      <c r="Y309" t="s">
        <v>13</v>
      </c>
      <c r="Z309" t="s">
        <v>28</v>
      </c>
    </row>
    <row r="310" spans="19:26" x14ac:dyDescent="0.25">
      <c r="S310" t="s">
        <v>983</v>
      </c>
      <c r="T310" t="s">
        <v>984</v>
      </c>
      <c r="U310">
        <v>60</v>
      </c>
      <c r="V310" t="s">
        <v>16</v>
      </c>
      <c r="W310" t="s">
        <v>985</v>
      </c>
      <c r="X310" t="s">
        <v>271</v>
      </c>
      <c r="Y310" t="s">
        <v>13</v>
      </c>
      <c r="Z310" t="s">
        <v>50</v>
      </c>
    </row>
    <row r="311" spans="19:26" x14ac:dyDescent="0.25">
      <c r="S311" t="s">
        <v>986</v>
      </c>
      <c r="T311" t="s">
        <v>987</v>
      </c>
      <c r="U311">
        <v>41</v>
      </c>
      <c r="V311" t="s">
        <v>16</v>
      </c>
      <c r="W311" t="s">
        <v>988</v>
      </c>
      <c r="X311" t="s">
        <v>32</v>
      </c>
      <c r="Y311" t="s">
        <v>13</v>
      </c>
      <c r="Z311" t="s">
        <v>28</v>
      </c>
    </row>
    <row r="312" spans="19:26" x14ac:dyDescent="0.25">
      <c r="S312" t="s">
        <v>989</v>
      </c>
      <c r="T312" t="s">
        <v>990</v>
      </c>
      <c r="U312">
        <v>20</v>
      </c>
      <c r="V312" t="s">
        <v>10</v>
      </c>
      <c r="W312" t="s">
        <v>991</v>
      </c>
      <c r="X312" t="s">
        <v>175</v>
      </c>
      <c r="Y312" t="s">
        <v>13</v>
      </c>
      <c r="Z312" t="s">
        <v>33</v>
      </c>
    </row>
    <row r="313" spans="19:26" x14ac:dyDescent="0.25">
      <c r="S313" t="s">
        <v>992</v>
      </c>
      <c r="T313" t="s">
        <v>993</v>
      </c>
      <c r="U313">
        <v>35</v>
      </c>
      <c r="V313" t="s">
        <v>10</v>
      </c>
      <c r="W313" t="s">
        <v>994</v>
      </c>
      <c r="X313" t="s">
        <v>37</v>
      </c>
      <c r="Y313" t="s">
        <v>13</v>
      </c>
      <c r="Z313" t="s">
        <v>19</v>
      </c>
    </row>
    <row r="314" spans="19:26" x14ac:dyDescent="0.25">
      <c r="S314" t="s">
        <v>995</v>
      </c>
      <c r="T314" t="s">
        <v>996</v>
      </c>
      <c r="U314">
        <v>47</v>
      </c>
      <c r="V314" t="s">
        <v>16</v>
      </c>
      <c r="W314" t="s">
        <v>997</v>
      </c>
      <c r="X314" t="s">
        <v>95</v>
      </c>
      <c r="Y314" t="s">
        <v>13</v>
      </c>
      <c r="Z314" t="s">
        <v>33</v>
      </c>
    </row>
    <row r="315" spans="19:26" x14ac:dyDescent="0.25">
      <c r="S315" t="s">
        <v>998</v>
      </c>
      <c r="T315" t="s">
        <v>999</v>
      </c>
      <c r="U315">
        <v>62</v>
      </c>
      <c r="V315" t="s">
        <v>10</v>
      </c>
      <c r="W315" t="s">
        <v>1000</v>
      </c>
      <c r="X315" t="s">
        <v>144</v>
      </c>
      <c r="Y315" t="s">
        <v>13</v>
      </c>
      <c r="Z315" t="s">
        <v>19</v>
      </c>
    </row>
    <row r="316" spans="19:26" x14ac:dyDescent="0.25">
      <c r="S316" t="s">
        <v>1001</v>
      </c>
      <c r="T316" t="s">
        <v>1002</v>
      </c>
      <c r="U316">
        <v>53</v>
      </c>
      <c r="V316" t="s">
        <v>16</v>
      </c>
      <c r="W316" t="s">
        <v>1003</v>
      </c>
      <c r="X316" t="s">
        <v>77</v>
      </c>
      <c r="Y316" t="s">
        <v>13</v>
      </c>
      <c r="Z316" t="s">
        <v>33</v>
      </c>
    </row>
    <row r="317" spans="19:26" x14ac:dyDescent="0.25">
      <c r="S317" t="s">
        <v>1004</v>
      </c>
      <c r="T317" t="s">
        <v>1005</v>
      </c>
      <c r="U317">
        <v>49</v>
      </c>
      <c r="V317" t="s">
        <v>10</v>
      </c>
      <c r="W317" t="s">
        <v>1006</v>
      </c>
      <c r="X317" t="s">
        <v>725</v>
      </c>
      <c r="Y317" t="s">
        <v>13</v>
      </c>
      <c r="Z317" t="s">
        <v>33</v>
      </c>
    </row>
    <row r="318" spans="19:26" x14ac:dyDescent="0.25">
      <c r="S318" t="s">
        <v>1007</v>
      </c>
      <c r="T318" t="s">
        <v>1008</v>
      </c>
      <c r="U318">
        <v>34</v>
      </c>
      <c r="V318" t="s">
        <v>10</v>
      </c>
      <c r="W318" t="s">
        <v>1009</v>
      </c>
      <c r="X318" t="s">
        <v>144</v>
      </c>
      <c r="Y318" t="s">
        <v>13</v>
      </c>
      <c r="Z318" t="s">
        <v>50</v>
      </c>
    </row>
    <row r="319" spans="19:26" x14ac:dyDescent="0.25">
      <c r="S319" t="s">
        <v>1010</v>
      </c>
      <c r="T319" t="s">
        <v>1011</v>
      </c>
      <c r="U319">
        <v>64</v>
      </c>
      <c r="V319" t="s">
        <v>16</v>
      </c>
      <c r="W319" t="s">
        <v>1012</v>
      </c>
      <c r="X319" t="s">
        <v>49</v>
      </c>
      <c r="Y319" t="s">
        <v>13</v>
      </c>
      <c r="Z319" t="s">
        <v>50</v>
      </c>
    </row>
    <row r="320" spans="19:26" x14ac:dyDescent="0.25">
      <c r="S320" t="s">
        <v>1013</v>
      </c>
      <c r="T320" t="s">
        <v>1014</v>
      </c>
      <c r="U320">
        <v>25</v>
      </c>
      <c r="V320" t="s">
        <v>10</v>
      </c>
      <c r="W320" t="s">
        <v>1015</v>
      </c>
      <c r="X320" t="s">
        <v>65</v>
      </c>
      <c r="Y320" t="s">
        <v>13</v>
      </c>
      <c r="Z320" t="s">
        <v>19</v>
      </c>
    </row>
    <row r="321" spans="19:26" x14ac:dyDescent="0.25">
      <c r="S321" t="s">
        <v>1016</v>
      </c>
      <c r="T321" t="s">
        <v>1017</v>
      </c>
      <c r="U321">
        <v>54</v>
      </c>
      <c r="V321" t="s">
        <v>10</v>
      </c>
      <c r="W321" t="s">
        <v>1018</v>
      </c>
      <c r="X321" t="s">
        <v>317</v>
      </c>
      <c r="Y321" t="s">
        <v>13</v>
      </c>
      <c r="Z321" t="s">
        <v>19</v>
      </c>
    </row>
    <row r="322" spans="19:26" x14ac:dyDescent="0.25">
      <c r="S322" t="s">
        <v>1019</v>
      </c>
      <c r="T322" t="s">
        <v>1020</v>
      </c>
      <c r="U322">
        <v>34</v>
      </c>
      <c r="V322" t="s">
        <v>16</v>
      </c>
      <c r="W322" t="s">
        <v>1021</v>
      </c>
      <c r="X322" t="s">
        <v>271</v>
      </c>
      <c r="Y322" t="s">
        <v>13</v>
      </c>
      <c r="Z322" t="s">
        <v>28</v>
      </c>
    </row>
    <row r="323" spans="19:26" x14ac:dyDescent="0.25">
      <c r="S323" t="s">
        <v>1022</v>
      </c>
      <c r="T323" t="s">
        <v>1023</v>
      </c>
      <c r="U323">
        <v>21</v>
      </c>
      <c r="V323" t="s">
        <v>16</v>
      </c>
      <c r="W323" t="s">
        <v>1024</v>
      </c>
      <c r="X323" t="s">
        <v>241</v>
      </c>
      <c r="Y323" t="s">
        <v>13</v>
      </c>
      <c r="Z323" t="s">
        <v>28</v>
      </c>
    </row>
    <row r="324" spans="19:26" x14ac:dyDescent="0.25">
      <c r="S324" t="s">
        <v>1025</v>
      </c>
      <c r="T324" t="s">
        <v>1026</v>
      </c>
      <c r="U324">
        <v>54</v>
      </c>
      <c r="V324" t="s">
        <v>10</v>
      </c>
      <c r="W324" t="s">
        <v>1027</v>
      </c>
      <c r="X324" t="s">
        <v>856</v>
      </c>
      <c r="Y324" t="s">
        <v>13</v>
      </c>
      <c r="Z324" t="s">
        <v>28</v>
      </c>
    </row>
    <row r="325" spans="19:26" x14ac:dyDescent="0.25">
      <c r="S325" t="s">
        <v>1028</v>
      </c>
      <c r="T325" t="s">
        <v>1029</v>
      </c>
      <c r="U325">
        <v>64</v>
      </c>
      <c r="V325" t="s">
        <v>16</v>
      </c>
      <c r="W325" t="s">
        <v>1030</v>
      </c>
      <c r="X325" t="s">
        <v>12</v>
      </c>
      <c r="Y325" t="s">
        <v>13</v>
      </c>
      <c r="Z325" t="s">
        <v>19</v>
      </c>
    </row>
    <row r="326" spans="19:26" x14ac:dyDescent="0.25">
      <c r="S326" t="s">
        <v>1031</v>
      </c>
      <c r="T326" t="s">
        <v>1032</v>
      </c>
      <c r="U326">
        <v>58</v>
      </c>
      <c r="V326" t="s">
        <v>10</v>
      </c>
      <c r="W326" t="s">
        <v>1033</v>
      </c>
      <c r="X326" t="s">
        <v>99</v>
      </c>
      <c r="Y326" t="s">
        <v>13</v>
      </c>
      <c r="Z326" t="s">
        <v>28</v>
      </c>
    </row>
    <row r="327" spans="19:26" x14ac:dyDescent="0.25">
      <c r="S327" t="s">
        <v>1034</v>
      </c>
      <c r="T327" t="s">
        <v>1035</v>
      </c>
      <c r="U327">
        <v>60</v>
      </c>
      <c r="V327" t="s">
        <v>10</v>
      </c>
      <c r="W327" t="s">
        <v>1036</v>
      </c>
      <c r="X327" t="s">
        <v>328</v>
      </c>
      <c r="Y327" t="s">
        <v>13</v>
      </c>
      <c r="Z327" t="s">
        <v>28</v>
      </c>
    </row>
    <row r="328" spans="19:26" x14ac:dyDescent="0.25">
      <c r="S328" t="s">
        <v>1037</v>
      </c>
      <c r="T328" t="s">
        <v>1038</v>
      </c>
      <c r="U328">
        <v>58</v>
      </c>
      <c r="V328" t="s">
        <v>16</v>
      </c>
      <c r="W328" t="s">
        <v>1039</v>
      </c>
      <c r="X328" t="s">
        <v>221</v>
      </c>
      <c r="Y328" t="s">
        <v>13</v>
      </c>
      <c r="Z328" t="s">
        <v>50</v>
      </c>
    </row>
    <row r="329" spans="19:26" x14ac:dyDescent="0.25">
      <c r="S329" t="s">
        <v>1040</v>
      </c>
      <c r="T329" t="s">
        <v>1041</v>
      </c>
      <c r="U329">
        <v>62</v>
      </c>
      <c r="V329" t="s">
        <v>16</v>
      </c>
      <c r="W329" t="s">
        <v>1042</v>
      </c>
      <c r="X329" t="s">
        <v>61</v>
      </c>
      <c r="Y329" t="s">
        <v>13</v>
      </c>
      <c r="Z329" t="s">
        <v>28</v>
      </c>
    </row>
    <row r="330" spans="19:26" x14ac:dyDescent="0.25">
      <c r="S330" t="s">
        <v>1043</v>
      </c>
      <c r="T330" t="s">
        <v>1044</v>
      </c>
      <c r="U330">
        <v>46</v>
      </c>
      <c r="V330" t="s">
        <v>10</v>
      </c>
      <c r="W330" t="s">
        <v>1045</v>
      </c>
      <c r="X330" t="s">
        <v>205</v>
      </c>
      <c r="Y330" t="s">
        <v>13</v>
      </c>
      <c r="Z330" t="s">
        <v>19</v>
      </c>
    </row>
    <row r="331" spans="19:26" x14ac:dyDescent="0.25">
      <c r="S331" t="s">
        <v>1046</v>
      </c>
      <c r="T331" t="s">
        <v>1047</v>
      </c>
      <c r="U331">
        <v>62</v>
      </c>
      <c r="V331" t="s">
        <v>16</v>
      </c>
      <c r="W331" t="s">
        <v>1048</v>
      </c>
      <c r="X331" t="s">
        <v>205</v>
      </c>
      <c r="Y331" t="s">
        <v>13</v>
      </c>
      <c r="Z331" t="s">
        <v>28</v>
      </c>
    </row>
    <row r="332" spans="19:26" x14ac:dyDescent="0.25">
      <c r="S332" t="s">
        <v>1049</v>
      </c>
      <c r="T332" t="s">
        <v>1050</v>
      </c>
      <c r="U332">
        <v>54</v>
      </c>
      <c r="V332" t="s">
        <v>10</v>
      </c>
      <c r="W332" t="s">
        <v>1051</v>
      </c>
      <c r="X332" t="s">
        <v>198</v>
      </c>
      <c r="Y332" t="s">
        <v>13</v>
      </c>
      <c r="Z332" t="s">
        <v>19</v>
      </c>
    </row>
    <row r="333" spans="19:26" x14ac:dyDescent="0.25">
      <c r="S333" t="s">
        <v>1052</v>
      </c>
      <c r="T333" t="s">
        <v>1053</v>
      </c>
      <c r="U333">
        <v>38</v>
      </c>
      <c r="V333" t="s">
        <v>16</v>
      </c>
      <c r="W333" t="s">
        <v>1054</v>
      </c>
      <c r="X333" t="s">
        <v>69</v>
      </c>
      <c r="Y333" t="s">
        <v>13</v>
      </c>
      <c r="Z333" t="s">
        <v>28</v>
      </c>
    </row>
    <row r="334" spans="19:26" x14ac:dyDescent="0.25">
      <c r="S334" t="s">
        <v>1055</v>
      </c>
      <c r="T334" t="s">
        <v>1056</v>
      </c>
      <c r="U334">
        <v>34</v>
      </c>
      <c r="V334" t="s">
        <v>16</v>
      </c>
      <c r="W334" t="s">
        <v>1057</v>
      </c>
      <c r="X334" t="s">
        <v>103</v>
      </c>
      <c r="Y334" t="s">
        <v>13</v>
      </c>
      <c r="Z334" t="s">
        <v>28</v>
      </c>
    </row>
    <row r="335" spans="19:26" x14ac:dyDescent="0.25">
      <c r="S335" t="s">
        <v>1058</v>
      </c>
      <c r="T335" t="s">
        <v>1059</v>
      </c>
      <c r="U335">
        <v>64</v>
      </c>
      <c r="V335" t="s">
        <v>16</v>
      </c>
      <c r="W335" t="s">
        <v>1060</v>
      </c>
      <c r="X335" t="s">
        <v>84</v>
      </c>
      <c r="Y335" t="s">
        <v>13</v>
      </c>
      <c r="Z335" t="s">
        <v>50</v>
      </c>
    </row>
    <row r="336" spans="19:26" x14ac:dyDescent="0.25">
      <c r="S336" t="s">
        <v>1061</v>
      </c>
      <c r="T336" t="s">
        <v>1062</v>
      </c>
      <c r="U336">
        <v>50</v>
      </c>
      <c r="V336" t="s">
        <v>16</v>
      </c>
      <c r="W336" t="s">
        <v>1063</v>
      </c>
      <c r="X336" t="s">
        <v>171</v>
      </c>
      <c r="Y336" t="s">
        <v>13</v>
      </c>
      <c r="Z336" t="s">
        <v>33</v>
      </c>
    </row>
    <row r="337" spans="19:26" x14ac:dyDescent="0.25">
      <c r="S337" t="s">
        <v>1064</v>
      </c>
      <c r="T337" t="s">
        <v>1065</v>
      </c>
      <c r="U337">
        <v>37</v>
      </c>
      <c r="V337" t="s">
        <v>10</v>
      </c>
      <c r="W337" t="s">
        <v>1066</v>
      </c>
      <c r="X337" t="s">
        <v>12</v>
      </c>
      <c r="Y337" t="s">
        <v>13</v>
      </c>
      <c r="Z337" t="s">
        <v>19</v>
      </c>
    </row>
    <row r="338" spans="19:26" x14ac:dyDescent="0.25">
      <c r="S338" t="s">
        <v>1067</v>
      </c>
      <c r="T338" t="s">
        <v>1068</v>
      </c>
      <c r="U338">
        <v>58</v>
      </c>
      <c r="V338" t="s">
        <v>16</v>
      </c>
      <c r="W338" t="s">
        <v>1069</v>
      </c>
      <c r="X338" t="s">
        <v>37</v>
      </c>
      <c r="Y338" t="s">
        <v>13</v>
      </c>
      <c r="Z338" t="s">
        <v>33</v>
      </c>
    </row>
    <row r="339" spans="19:26" x14ac:dyDescent="0.25">
      <c r="S339" t="s">
        <v>1070</v>
      </c>
      <c r="T339" t="s">
        <v>1071</v>
      </c>
      <c r="U339">
        <v>40</v>
      </c>
      <c r="V339" t="s">
        <v>16</v>
      </c>
      <c r="W339" t="s">
        <v>1072</v>
      </c>
      <c r="X339" t="s">
        <v>12</v>
      </c>
      <c r="Y339" t="s">
        <v>13</v>
      </c>
      <c r="Z339" t="s">
        <v>28</v>
      </c>
    </row>
    <row r="340" spans="19:26" x14ac:dyDescent="0.25">
      <c r="S340" t="s">
        <v>1073</v>
      </c>
      <c r="T340" t="s">
        <v>1074</v>
      </c>
      <c r="U340">
        <v>46</v>
      </c>
      <c r="V340" t="s">
        <v>16</v>
      </c>
      <c r="W340" t="s">
        <v>1075</v>
      </c>
      <c r="X340" t="s">
        <v>171</v>
      </c>
      <c r="Y340" t="s">
        <v>13</v>
      </c>
      <c r="Z340" t="s">
        <v>33</v>
      </c>
    </row>
    <row r="341" spans="19:26" x14ac:dyDescent="0.25">
      <c r="S341" t="s">
        <v>1076</v>
      </c>
      <c r="T341" t="s">
        <v>1077</v>
      </c>
      <c r="U341">
        <v>52</v>
      </c>
      <c r="V341" t="s">
        <v>16</v>
      </c>
      <c r="W341" t="s">
        <v>1078</v>
      </c>
      <c r="X341" t="s">
        <v>137</v>
      </c>
      <c r="Y341" t="s">
        <v>13</v>
      </c>
      <c r="Z341" t="s">
        <v>19</v>
      </c>
    </row>
    <row r="342" spans="19:26" x14ac:dyDescent="0.25">
      <c r="S342" t="s">
        <v>1079</v>
      </c>
      <c r="T342" t="s">
        <v>1080</v>
      </c>
      <c r="U342">
        <v>27</v>
      </c>
      <c r="V342" t="s">
        <v>10</v>
      </c>
      <c r="W342" t="s">
        <v>1081</v>
      </c>
      <c r="X342" t="s">
        <v>278</v>
      </c>
      <c r="Y342" t="s">
        <v>13</v>
      </c>
      <c r="Z342" t="s">
        <v>28</v>
      </c>
    </row>
    <row r="343" spans="19:26" x14ac:dyDescent="0.25">
      <c r="S343" t="s">
        <v>1082</v>
      </c>
      <c r="T343" t="s">
        <v>1083</v>
      </c>
      <c r="U343">
        <v>56</v>
      </c>
      <c r="V343" t="s">
        <v>16</v>
      </c>
      <c r="W343" t="s">
        <v>1084</v>
      </c>
      <c r="X343" t="s">
        <v>198</v>
      </c>
      <c r="Y343" t="s">
        <v>13</v>
      </c>
      <c r="Z343" t="s">
        <v>28</v>
      </c>
    </row>
    <row r="344" spans="19:26" x14ac:dyDescent="0.25">
      <c r="S344" t="s">
        <v>1085</v>
      </c>
      <c r="T344" t="s">
        <v>1086</v>
      </c>
      <c r="U344">
        <v>30</v>
      </c>
      <c r="V344" t="s">
        <v>16</v>
      </c>
      <c r="W344" t="s">
        <v>1087</v>
      </c>
      <c r="X344" t="s">
        <v>171</v>
      </c>
      <c r="Y344" t="s">
        <v>13</v>
      </c>
      <c r="Z344" t="s">
        <v>28</v>
      </c>
    </row>
    <row r="345" spans="19:26" x14ac:dyDescent="0.25">
      <c r="S345" t="s">
        <v>1088</v>
      </c>
      <c r="T345" t="s">
        <v>1089</v>
      </c>
      <c r="U345">
        <v>38</v>
      </c>
      <c r="V345" t="s">
        <v>10</v>
      </c>
      <c r="W345" t="s">
        <v>1090</v>
      </c>
      <c r="X345" t="s">
        <v>291</v>
      </c>
      <c r="Y345" t="s">
        <v>13</v>
      </c>
      <c r="Z345" t="s">
        <v>28</v>
      </c>
    </row>
    <row r="346" spans="19:26" x14ac:dyDescent="0.25">
      <c r="S346" t="s">
        <v>1091</v>
      </c>
      <c r="T346" t="s">
        <v>1092</v>
      </c>
      <c r="U346">
        <v>39</v>
      </c>
      <c r="V346" t="s">
        <v>10</v>
      </c>
      <c r="W346" t="s">
        <v>1093</v>
      </c>
      <c r="X346" t="s">
        <v>237</v>
      </c>
      <c r="Y346" t="s">
        <v>13</v>
      </c>
      <c r="Z346" t="s">
        <v>50</v>
      </c>
    </row>
    <row r="347" spans="19:26" x14ac:dyDescent="0.25">
      <c r="S347" t="s">
        <v>1094</v>
      </c>
      <c r="T347" t="s">
        <v>1095</v>
      </c>
      <c r="U347">
        <v>33</v>
      </c>
      <c r="V347" t="s">
        <v>10</v>
      </c>
      <c r="W347" t="s">
        <v>1096</v>
      </c>
      <c r="X347" t="s">
        <v>99</v>
      </c>
      <c r="Y347" t="s">
        <v>13</v>
      </c>
      <c r="Z347" t="s">
        <v>28</v>
      </c>
    </row>
    <row r="348" spans="19:26" x14ac:dyDescent="0.25">
      <c r="S348" t="s">
        <v>1097</v>
      </c>
      <c r="T348" t="s">
        <v>1098</v>
      </c>
      <c r="U348">
        <v>58</v>
      </c>
      <c r="V348" t="s">
        <v>16</v>
      </c>
      <c r="W348" t="s">
        <v>1099</v>
      </c>
      <c r="X348" t="s">
        <v>241</v>
      </c>
      <c r="Y348" t="s">
        <v>13</v>
      </c>
      <c r="Z348" t="s">
        <v>19</v>
      </c>
    </row>
    <row r="349" spans="19:26" x14ac:dyDescent="0.25">
      <c r="S349" t="s">
        <v>1100</v>
      </c>
      <c r="T349" t="s">
        <v>1101</v>
      </c>
      <c r="U349">
        <v>39</v>
      </c>
      <c r="V349" t="s">
        <v>16</v>
      </c>
      <c r="W349" t="s">
        <v>1102</v>
      </c>
      <c r="X349" t="s">
        <v>171</v>
      </c>
      <c r="Y349" t="s">
        <v>13</v>
      </c>
      <c r="Z349" t="s">
        <v>50</v>
      </c>
    </row>
    <row r="350" spans="19:26" x14ac:dyDescent="0.25">
      <c r="S350" t="s">
        <v>1103</v>
      </c>
      <c r="T350" t="s">
        <v>1104</v>
      </c>
      <c r="U350">
        <v>55</v>
      </c>
      <c r="V350" t="s">
        <v>10</v>
      </c>
      <c r="W350" t="s">
        <v>1105</v>
      </c>
      <c r="X350" t="s">
        <v>54</v>
      </c>
      <c r="Y350" t="s">
        <v>13</v>
      </c>
      <c r="Z350" t="s">
        <v>33</v>
      </c>
    </row>
    <row r="351" spans="19:26" x14ac:dyDescent="0.25">
      <c r="S351" t="s">
        <v>1106</v>
      </c>
      <c r="T351" t="s">
        <v>1107</v>
      </c>
      <c r="U351">
        <v>31</v>
      </c>
      <c r="V351" t="s">
        <v>10</v>
      </c>
      <c r="W351" t="s">
        <v>1108</v>
      </c>
      <c r="X351" t="s">
        <v>167</v>
      </c>
      <c r="Y351" t="s">
        <v>13</v>
      </c>
      <c r="Z351" t="s">
        <v>28</v>
      </c>
    </row>
    <row r="352" spans="19:26" x14ac:dyDescent="0.25">
      <c r="S352" t="s">
        <v>1109</v>
      </c>
      <c r="T352" t="s">
        <v>1110</v>
      </c>
      <c r="U352">
        <v>26</v>
      </c>
      <c r="V352" t="s">
        <v>10</v>
      </c>
      <c r="W352" t="s">
        <v>1111</v>
      </c>
      <c r="X352" t="s">
        <v>271</v>
      </c>
      <c r="Y352" t="s">
        <v>13</v>
      </c>
      <c r="Z352" t="s">
        <v>33</v>
      </c>
    </row>
    <row r="353" spans="19:26" x14ac:dyDescent="0.25">
      <c r="S353" t="s">
        <v>1112</v>
      </c>
      <c r="T353" t="s">
        <v>1113</v>
      </c>
      <c r="U353">
        <v>25</v>
      </c>
      <c r="V353" t="s">
        <v>16</v>
      </c>
      <c r="W353" t="s">
        <v>1114</v>
      </c>
      <c r="X353" t="s">
        <v>73</v>
      </c>
      <c r="Y353" t="s">
        <v>13</v>
      </c>
      <c r="Z353" t="s">
        <v>28</v>
      </c>
    </row>
    <row r="354" spans="19:26" x14ac:dyDescent="0.25">
      <c r="S354" t="s">
        <v>1115</v>
      </c>
      <c r="T354" t="s">
        <v>1116</v>
      </c>
      <c r="U354">
        <v>52</v>
      </c>
      <c r="V354" t="s">
        <v>16</v>
      </c>
      <c r="W354" t="s">
        <v>1117</v>
      </c>
      <c r="X354" t="s">
        <v>328</v>
      </c>
      <c r="Y354" t="s">
        <v>13</v>
      </c>
      <c r="Z354" t="s">
        <v>33</v>
      </c>
    </row>
    <row r="355" spans="19:26" x14ac:dyDescent="0.25">
      <c r="S355" t="s">
        <v>1118</v>
      </c>
      <c r="T355" t="s">
        <v>1119</v>
      </c>
      <c r="U355">
        <v>56</v>
      </c>
      <c r="V355" t="s">
        <v>16</v>
      </c>
      <c r="W355" t="s">
        <v>1120</v>
      </c>
      <c r="X355" t="s">
        <v>37</v>
      </c>
      <c r="Y355" t="s">
        <v>13</v>
      </c>
      <c r="Z355" t="s">
        <v>19</v>
      </c>
    </row>
    <row r="356" spans="19:26" x14ac:dyDescent="0.25">
      <c r="S356" t="s">
        <v>1121</v>
      </c>
      <c r="T356" t="s">
        <v>1122</v>
      </c>
      <c r="U356">
        <v>38</v>
      </c>
      <c r="V356" t="s">
        <v>10</v>
      </c>
      <c r="W356" t="s">
        <v>1123</v>
      </c>
      <c r="X356" t="s">
        <v>171</v>
      </c>
      <c r="Y356" t="s">
        <v>13</v>
      </c>
      <c r="Z356" t="s">
        <v>33</v>
      </c>
    </row>
    <row r="357" spans="19:26" x14ac:dyDescent="0.25">
      <c r="S357" t="s">
        <v>1124</v>
      </c>
      <c r="T357" t="s">
        <v>1125</v>
      </c>
      <c r="U357">
        <v>20</v>
      </c>
      <c r="V357" t="s">
        <v>10</v>
      </c>
      <c r="W357" t="s">
        <v>1126</v>
      </c>
      <c r="X357" t="s">
        <v>77</v>
      </c>
      <c r="Y357" t="s">
        <v>13</v>
      </c>
      <c r="Z357" t="s">
        <v>50</v>
      </c>
    </row>
    <row r="358" spans="19:26" x14ac:dyDescent="0.25">
      <c r="S358" t="s">
        <v>1127</v>
      </c>
      <c r="T358" t="s">
        <v>1128</v>
      </c>
      <c r="U358">
        <v>54</v>
      </c>
      <c r="V358" t="s">
        <v>10</v>
      </c>
      <c r="W358" t="s">
        <v>1129</v>
      </c>
      <c r="X358" t="s">
        <v>291</v>
      </c>
      <c r="Y358" t="s">
        <v>13</v>
      </c>
      <c r="Z358" t="s">
        <v>28</v>
      </c>
    </row>
    <row r="359" spans="19:26" x14ac:dyDescent="0.25">
      <c r="S359" t="s">
        <v>1130</v>
      </c>
      <c r="T359" t="s">
        <v>1131</v>
      </c>
      <c r="U359">
        <v>41</v>
      </c>
      <c r="V359" t="s">
        <v>10</v>
      </c>
      <c r="W359" t="s">
        <v>1132</v>
      </c>
      <c r="X359" t="s">
        <v>241</v>
      </c>
      <c r="Y359" t="s">
        <v>13</v>
      </c>
      <c r="Z359" t="s">
        <v>50</v>
      </c>
    </row>
    <row r="360" spans="19:26" x14ac:dyDescent="0.25">
      <c r="S360" t="s">
        <v>1133</v>
      </c>
      <c r="T360" t="s">
        <v>1134</v>
      </c>
      <c r="U360">
        <v>60</v>
      </c>
      <c r="V360" t="s">
        <v>16</v>
      </c>
      <c r="W360" t="s">
        <v>1135</v>
      </c>
      <c r="X360" t="s">
        <v>317</v>
      </c>
      <c r="Y360" t="s">
        <v>13</v>
      </c>
      <c r="Z360" t="s">
        <v>50</v>
      </c>
    </row>
    <row r="361" spans="19:26" x14ac:dyDescent="0.25">
      <c r="S361" t="s">
        <v>1136</v>
      </c>
      <c r="T361" t="s">
        <v>1137</v>
      </c>
      <c r="U361">
        <v>32</v>
      </c>
      <c r="V361" t="s">
        <v>10</v>
      </c>
      <c r="W361" t="s">
        <v>1138</v>
      </c>
      <c r="X361" t="s">
        <v>65</v>
      </c>
      <c r="Y361" t="s">
        <v>13</v>
      </c>
      <c r="Z361" t="s">
        <v>33</v>
      </c>
    </row>
    <row r="362" spans="19:26" x14ac:dyDescent="0.25">
      <c r="S362" t="s">
        <v>1139</v>
      </c>
      <c r="T362" t="s">
        <v>1140</v>
      </c>
      <c r="U362">
        <v>34</v>
      </c>
      <c r="V362" t="s">
        <v>10</v>
      </c>
      <c r="W362" t="s">
        <v>1141</v>
      </c>
      <c r="X362" t="s">
        <v>295</v>
      </c>
      <c r="Y362" t="s">
        <v>13</v>
      </c>
      <c r="Z362" t="s">
        <v>19</v>
      </c>
    </row>
    <row r="363" spans="19:26" x14ac:dyDescent="0.25">
      <c r="S363" t="s">
        <v>1142</v>
      </c>
      <c r="T363" t="s">
        <v>1143</v>
      </c>
      <c r="U363">
        <v>64</v>
      </c>
      <c r="V363" t="s">
        <v>10</v>
      </c>
      <c r="W363" t="s">
        <v>1144</v>
      </c>
      <c r="X363" t="s">
        <v>258</v>
      </c>
      <c r="Y363" t="s">
        <v>13</v>
      </c>
      <c r="Z363" t="s">
        <v>19</v>
      </c>
    </row>
    <row r="364" spans="19:26" x14ac:dyDescent="0.25">
      <c r="S364" t="s">
        <v>1145</v>
      </c>
      <c r="T364" t="s">
        <v>1146</v>
      </c>
      <c r="U364">
        <v>60</v>
      </c>
      <c r="V364" t="s">
        <v>10</v>
      </c>
      <c r="W364" t="s">
        <v>1147</v>
      </c>
      <c r="X364" t="s">
        <v>167</v>
      </c>
      <c r="Y364" t="s">
        <v>13</v>
      </c>
      <c r="Z364" t="s">
        <v>50</v>
      </c>
    </row>
    <row r="365" spans="19:26" x14ac:dyDescent="0.25">
      <c r="S365" t="s">
        <v>1148</v>
      </c>
      <c r="T365" t="s">
        <v>1149</v>
      </c>
      <c r="U365">
        <v>23</v>
      </c>
      <c r="V365" t="s">
        <v>10</v>
      </c>
      <c r="W365" t="s">
        <v>1150</v>
      </c>
      <c r="X365" t="s">
        <v>27</v>
      </c>
      <c r="Y365" t="s">
        <v>13</v>
      </c>
      <c r="Z365" t="s">
        <v>28</v>
      </c>
    </row>
    <row r="366" spans="19:26" x14ac:dyDescent="0.25">
      <c r="S366" t="s">
        <v>1151</v>
      </c>
      <c r="T366" t="s">
        <v>1152</v>
      </c>
      <c r="U366">
        <v>58</v>
      </c>
      <c r="V366" t="s">
        <v>10</v>
      </c>
      <c r="W366" t="s">
        <v>1153</v>
      </c>
      <c r="X366" t="s">
        <v>137</v>
      </c>
      <c r="Y366" t="s">
        <v>13</v>
      </c>
      <c r="Z366" t="s">
        <v>28</v>
      </c>
    </row>
    <row r="367" spans="19:26" x14ac:dyDescent="0.25">
      <c r="S367" t="s">
        <v>1154</v>
      </c>
      <c r="T367" t="s">
        <v>1155</v>
      </c>
      <c r="U367">
        <v>63</v>
      </c>
      <c r="V367" t="s">
        <v>16</v>
      </c>
      <c r="W367" t="s">
        <v>1156</v>
      </c>
      <c r="X367" t="s">
        <v>167</v>
      </c>
      <c r="Y367" t="s">
        <v>13</v>
      </c>
      <c r="Z367" t="s">
        <v>19</v>
      </c>
    </row>
    <row r="368" spans="19:26" x14ac:dyDescent="0.25">
      <c r="S368" t="s">
        <v>1157</v>
      </c>
      <c r="T368" t="s">
        <v>1158</v>
      </c>
      <c r="U368">
        <v>40</v>
      </c>
      <c r="V368" t="s">
        <v>16</v>
      </c>
      <c r="W368" t="s">
        <v>1159</v>
      </c>
      <c r="X368" t="s">
        <v>23</v>
      </c>
      <c r="Y368" t="s">
        <v>13</v>
      </c>
      <c r="Z368" t="s">
        <v>19</v>
      </c>
    </row>
    <row r="369" spans="19:26" x14ac:dyDescent="0.25">
      <c r="S369" t="s">
        <v>1160</v>
      </c>
      <c r="T369" t="s">
        <v>1161</v>
      </c>
      <c r="U369">
        <v>51</v>
      </c>
      <c r="V369" t="s">
        <v>10</v>
      </c>
      <c r="W369" t="s">
        <v>1162</v>
      </c>
      <c r="X369" t="s">
        <v>27</v>
      </c>
      <c r="Y369" t="s">
        <v>13</v>
      </c>
      <c r="Z369" t="s">
        <v>28</v>
      </c>
    </row>
    <row r="370" spans="19:26" x14ac:dyDescent="0.25">
      <c r="S370" t="s">
        <v>1163</v>
      </c>
      <c r="T370" t="s">
        <v>1164</v>
      </c>
      <c r="U370">
        <v>34</v>
      </c>
      <c r="V370" t="s">
        <v>16</v>
      </c>
      <c r="W370" t="s">
        <v>1165</v>
      </c>
      <c r="X370" t="s">
        <v>61</v>
      </c>
      <c r="Y370" t="s">
        <v>13</v>
      </c>
      <c r="Z370" t="s">
        <v>19</v>
      </c>
    </row>
    <row r="371" spans="19:26" x14ac:dyDescent="0.25">
      <c r="S371" t="s">
        <v>1166</v>
      </c>
      <c r="T371" t="s">
        <v>1167</v>
      </c>
      <c r="U371">
        <v>20</v>
      </c>
      <c r="V371" t="s">
        <v>16</v>
      </c>
      <c r="W371" t="s">
        <v>1168</v>
      </c>
      <c r="X371" t="s">
        <v>175</v>
      </c>
      <c r="Y371" t="s">
        <v>13</v>
      </c>
      <c r="Z371" t="s">
        <v>19</v>
      </c>
    </row>
    <row r="372" spans="19:26" x14ac:dyDescent="0.25">
      <c r="S372" t="s">
        <v>1169</v>
      </c>
      <c r="T372" t="s">
        <v>1170</v>
      </c>
      <c r="U372">
        <v>45</v>
      </c>
      <c r="V372" t="s">
        <v>10</v>
      </c>
      <c r="W372" t="s">
        <v>1171</v>
      </c>
      <c r="X372" t="s">
        <v>258</v>
      </c>
      <c r="Y372" t="s">
        <v>13</v>
      </c>
      <c r="Z372" t="s">
        <v>33</v>
      </c>
    </row>
    <row r="373" spans="19:26" x14ac:dyDescent="0.25">
      <c r="S373" t="s">
        <v>1172</v>
      </c>
      <c r="T373" t="s">
        <v>1173</v>
      </c>
      <c r="U373">
        <v>21</v>
      </c>
      <c r="V373" t="s">
        <v>16</v>
      </c>
      <c r="W373" t="s">
        <v>1174</v>
      </c>
      <c r="X373" t="s">
        <v>49</v>
      </c>
      <c r="Y373" t="s">
        <v>13</v>
      </c>
      <c r="Z373" t="s">
        <v>19</v>
      </c>
    </row>
    <row r="374" spans="19:26" x14ac:dyDescent="0.25">
      <c r="S374" t="s">
        <v>1175</v>
      </c>
      <c r="T374" t="s">
        <v>1176</v>
      </c>
      <c r="U374">
        <v>28</v>
      </c>
      <c r="V374" t="s">
        <v>10</v>
      </c>
      <c r="W374" t="s">
        <v>1177</v>
      </c>
      <c r="X374" t="s">
        <v>27</v>
      </c>
      <c r="Y374" t="s">
        <v>13</v>
      </c>
      <c r="Z374" t="s">
        <v>28</v>
      </c>
    </row>
    <row r="375" spans="19:26" x14ac:dyDescent="0.25">
      <c r="S375" t="s">
        <v>1178</v>
      </c>
      <c r="T375" t="s">
        <v>1179</v>
      </c>
      <c r="U375">
        <v>37</v>
      </c>
      <c r="V375" t="s">
        <v>16</v>
      </c>
      <c r="W375" t="s">
        <v>1180</v>
      </c>
      <c r="X375" t="s">
        <v>439</v>
      </c>
      <c r="Y375" t="s">
        <v>13</v>
      </c>
      <c r="Z375" t="s">
        <v>50</v>
      </c>
    </row>
    <row r="376" spans="19:26" x14ac:dyDescent="0.25">
      <c r="S376" t="s">
        <v>1181</v>
      </c>
      <c r="T376" t="s">
        <v>1182</v>
      </c>
      <c r="U376">
        <v>60</v>
      </c>
      <c r="V376" t="s">
        <v>10</v>
      </c>
      <c r="W376" t="s">
        <v>1183</v>
      </c>
      <c r="X376" t="s">
        <v>103</v>
      </c>
      <c r="Y376" t="s">
        <v>13</v>
      </c>
      <c r="Z376" t="s">
        <v>19</v>
      </c>
    </row>
    <row r="377" spans="19:26" x14ac:dyDescent="0.25">
      <c r="S377" t="s">
        <v>1184</v>
      </c>
      <c r="T377" t="s">
        <v>1185</v>
      </c>
      <c r="U377">
        <v>26</v>
      </c>
      <c r="V377" t="s">
        <v>10</v>
      </c>
      <c r="W377" t="s">
        <v>1186</v>
      </c>
      <c r="X377" t="s">
        <v>205</v>
      </c>
      <c r="Y377" t="s">
        <v>13</v>
      </c>
      <c r="Z377" t="s">
        <v>19</v>
      </c>
    </row>
    <row r="378" spans="19:26" x14ac:dyDescent="0.25">
      <c r="S378" t="s">
        <v>1187</v>
      </c>
      <c r="T378" t="s">
        <v>1188</v>
      </c>
      <c r="U378">
        <v>30</v>
      </c>
      <c r="V378" t="s">
        <v>10</v>
      </c>
      <c r="W378" t="s">
        <v>1189</v>
      </c>
      <c r="X378" t="s">
        <v>171</v>
      </c>
      <c r="Y378" t="s">
        <v>13</v>
      </c>
      <c r="Z378" t="s">
        <v>28</v>
      </c>
    </row>
    <row r="379" spans="19:26" x14ac:dyDescent="0.25">
      <c r="S379" t="s">
        <v>1190</v>
      </c>
      <c r="T379" t="s">
        <v>1191</v>
      </c>
      <c r="U379">
        <v>39</v>
      </c>
      <c r="V379" t="s">
        <v>16</v>
      </c>
      <c r="W379" t="s">
        <v>1192</v>
      </c>
      <c r="X379" t="s">
        <v>439</v>
      </c>
      <c r="Y379" t="s">
        <v>13</v>
      </c>
      <c r="Z379" t="s">
        <v>50</v>
      </c>
    </row>
    <row r="380" spans="19:26" x14ac:dyDescent="0.25">
      <c r="S380" t="s">
        <v>1193</v>
      </c>
      <c r="T380" t="s">
        <v>1194</v>
      </c>
      <c r="U380">
        <v>44</v>
      </c>
      <c r="V380" t="s">
        <v>16</v>
      </c>
      <c r="W380" t="s">
        <v>1195</v>
      </c>
      <c r="X380" t="s">
        <v>95</v>
      </c>
      <c r="Y380" t="s">
        <v>13</v>
      </c>
      <c r="Z380" t="s">
        <v>28</v>
      </c>
    </row>
    <row r="381" spans="19:26" x14ac:dyDescent="0.25">
      <c r="S381" t="s">
        <v>1196</v>
      </c>
      <c r="T381" t="s">
        <v>1197</v>
      </c>
      <c r="U381">
        <v>34</v>
      </c>
      <c r="V381" t="s">
        <v>16</v>
      </c>
      <c r="W381" t="s">
        <v>1198</v>
      </c>
      <c r="X381" t="s">
        <v>271</v>
      </c>
      <c r="Y381" t="s">
        <v>13</v>
      </c>
      <c r="Z381" t="s">
        <v>50</v>
      </c>
    </row>
    <row r="382" spans="19:26" x14ac:dyDescent="0.25">
      <c r="S382" t="s">
        <v>1199</v>
      </c>
      <c r="T382" t="s">
        <v>1200</v>
      </c>
      <c r="U382">
        <v>23</v>
      </c>
      <c r="V382" t="s">
        <v>10</v>
      </c>
      <c r="W382" t="s">
        <v>1201</v>
      </c>
      <c r="X382" t="s">
        <v>221</v>
      </c>
      <c r="Y382" t="s">
        <v>13</v>
      </c>
      <c r="Z382" t="s">
        <v>50</v>
      </c>
    </row>
    <row r="383" spans="19:26" x14ac:dyDescent="0.25">
      <c r="S383" t="s">
        <v>1202</v>
      </c>
      <c r="T383" t="s">
        <v>1203</v>
      </c>
      <c r="U383">
        <v>50</v>
      </c>
      <c r="V383" t="s">
        <v>10</v>
      </c>
      <c r="W383" t="s">
        <v>1204</v>
      </c>
      <c r="X383" t="s">
        <v>23</v>
      </c>
      <c r="Y383" t="s">
        <v>13</v>
      </c>
      <c r="Z383" t="s">
        <v>33</v>
      </c>
    </row>
    <row r="384" spans="19:26" x14ac:dyDescent="0.25">
      <c r="S384" t="s">
        <v>1205</v>
      </c>
      <c r="T384" t="s">
        <v>1206</v>
      </c>
      <c r="U384">
        <v>20</v>
      </c>
      <c r="V384" t="s">
        <v>16</v>
      </c>
      <c r="W384" t="s">
        <v>1207</v>
      </c>
      <c r="X384" t="s">
        <v>32</v>
      </c>
      <c r="Y384" t="s">
        <v>13</v>
      </c>
      <c r="Z384" t="s">
        <v>50</v>
      </c>
    </row>
    <row r="385" spans="19:26" x14ac:dyDescent="0.25">
      <c r="S385" t="s">
        <v>1208</v>
      </c>
      <c r="T385" t="s">
        <v>1209</v>
      </c>
      <c r="U385">
        <v>27</v>
      </c>
      <c r="V385" t="s">
        <v>16</v>
      </c>
      <c r="W385" t="s">
        <v>1210</v>
      </c>
      <c r="X385" t="s">
        <v>321</v>
      </c>
      <c r="Y385" t="s">
        <v>13</v>
      </c>
      <c r="Z385" t="s">
        <v>33</v>
      </c>
    </row>
    <row r="386" spans="19:26" x14ac:dyDescent="0.25">
      <c r="S386" t="s">
        <v>1211</v>
      </c>
      <c r="T386" t="s">
        <v>1212</v>
      </c>
      <c r="U386">
        <v>52</v>
      </c>
      <c r="V386" t="s">
        <v>16</v>
      </c>
      <c r="W386" t="s">
        <v>1213</v>
      </c>
      <c r="X386" t="s">
        <v>271</v>
      </c>
      <c r="Y386" t="s">
        <v>13</v>
      </c>
      <c r="Z386" t="s">
        <v>28</v>
      </c>
    </row>
    <row r="387" spans="19:26" x14ac:dyDescent="0.25">
      <c r="S387" t="s">
        <v>1214</v>
      </c>
      <c r="T387" t="s">
        <v>1215</v>
      </c>
      <c r="U387">
        <v>60</v>
      </c>
      <c r="V387" t="s">
        <v>10</v>
      </c>
      <c r="W387" t="s">
        <v>1216</v>
      </c>
      <c r="X387" t="s">
        <v>321</v>
      </c>
      <c r="Y387" t="s">
        <v>13</v>
      </c>
      <c r="Z387" t="s">
        <v>50</v>
      </c>
    </row>
    <row r="388" spans="19:26" x14ac:dyDescent="0.25">
      <c r="S388" t="s">
        <v>1217</v>
      </c>
      <c r="T388" t="s">
        <v>1218</v>
      </c>
      <c r="U388">
        <v>18</v>
      </c>
      <c r="V388" t="s">
        <v>16</v>
      </c>
      <c r="W388" t="s">
        <v>1219</v>
      </c>
      <c r="X388" t="s">
        <v>144</v>
      </c>
      <c r="Y388" t="s">
        <v>13</v>
      </c>
      <c r="Z388" t="s">
        <v>28</v>
      </c>
    </row>
    <row r="389" spans="19:26" x14ac:dyDescent="0.25">
      <c r="S389" t="s">
        <v>1220</v>
      </c>
      <c r="T389" t="s">
        <v>1221</v>
      </c>
      <c r="U389">
        <v>28</v>
      </c>
      <c r="V389" t="s">
        <v>16</v>
      </c>
      <c r="W389" t="s">
        <v>1222</v>
      </c>
      <c r="X389" t="s">
        <v>91</v>
      </c>
      <c r="Y389" t="s">
        <v>13</v>
      </c>
      <c r="Z389" t="s">
        <v>33</v>
      </c>
    </row>
    <row r="390" spans="19:26" x14ac:dyDescent="0.25">
      <c r="S390" t="s">
        <v>1223</v>
      </c>
      <c r="T390" t="s">
        <v>1224</v>
      </c>
      <c r="U390">
        <v>53</v>
      </c>
      <c r="V390" t="s">
        <v>10</v>
      </c>
      <c r="W390" t="s">
        <v>1225</v>
      </c>
      <c r="X390" t="s">
        <v>117</v>
      </c>
      <c r="Y390" t="s">
        <v>13</v>
      </c>
      <c r="Z390" t="s">
        <v>19</v>
      </c>
    </row>
    <row r="391" spans="19:26" x14ac:dyDescent="0.25">
      <c r="S391" t="s">
        <v>1226</v>
      </c>
      <c r="T391" t="s">
        <v>1227</v>
      </c>
      <c r="U391">
        <v>50</v>
      </c>
      <c r="V391" t="s">
        <v>10</v>
      </c>
      <c r="W391" t="s">
        <v>1228</v>
      </c>
      <c r="X391" t="s">
        <v>73</v>
      </c>
      <c r="Y391" t="s">
        <v>13</v>
      </c>
      <c r="Z391" t="s">
        <v>19</v>
      </c>
    </row>
    <row r="392" spans="19:26" x14ac:dyDescent="0.25">
      <c r="S392" t="s">
        <v>1229</v>
      </c>
      <c r="T392" t="s">
        <v>1230</v>
      </c>
      <c r="U392">
        <v>56</v>
      </c>
      <c r="V392" t="s">
        <v>10</v>
      </c>
      <c r="W392" t="s">
        <v>1231</v>
      </c>
      <c r="X392" t="s">
        <v>295</v>
      </c>
      <c r="Y392" t="s">
        <v>13</v>
      </c>
      <c r="Z392" t="s">
        <v>33</v>
      </c>
    </row>
    <row r="393" spans="19:26" x14ac:dyDescent="0.25">
      <c r="S393" t="s">
        <v>1232</v>
      </c>
      <c r="T393" t="s">
        <v>1233</v>
      </c>
      <c r="U393">
        <v>40</v>
      </c>
      <c r="V393" t="s">
        <v>16</v>
      </c>
      <c r="W393" t="s">
        <v>1234</v>
      </c>
      <c r="X393" t="s">
        <v>37</v>
      </c>
      <c r="Y393" t="s">
        <v>13</v>
      </c>
      <c r="Z393" t="s">
        <v>28</v>
      </c>
    </row>
    <row r="394" spans="19:26" x14ac:dyDescent="0.25">
      <c r="S394" t="s">
        <v>1235</v>
      </c>
      <c r="T394" t="s">
        <v>1236</v>
      </c>
      <c r="U394">
        <v>46</v>
      </c>
      <c r="V394" t="s">
        <v>10</v>
      </c>
      <c r="W394" t="s">
        <v>1237</v>
      </c>
      <c r="X394" t="s">
        <v>117</v>
      </c>
      <c r="Y394" t="s">
        <v>13</v>
      </c>
      <c r="Z394" t="s">
        <v>50</v>
      </c>
    </row>
    <row r="395" spans="19:26" x14ac:dyDescent="0.25">
      <c r="S395" t="s">
        <v>1238</v>
      </c>
      <c r="T395" t="s">
        <v>1239</v>
      </c>
      <c r="U395">
        <v>46</v>
      </c>
      <c r="V395" t="s">
        <v>10</v>
      </c>
      <c r="W395" t="s">
        <v>1240</v>
      </c>
      <c r="X395" t="s">
        <v>121</v>
      </c>
      <c r="Y395" t="s">
        <v>13</v>
      </c>
      <c r="Z395" t="s">
        <v>28</v>
      </c>
    </row>
    <row r="396" spans="19:26" x14ac:dyDescent="0.25">
      <c r="S396" t="s">
        <v>1241</v>
      </c>
      <c r="T396" t="s">
        <v>1242</v>
      </c>
      <c r="U396">
        <v>43</v>
      </c>
      <c r="V396" t="s">
        <v>16</v>
      </c>
      <c r="W396" t="s">
        <v>1243</v>
      </c>
      <c r="X396" t="s">
        <v>171</v>
      </c>
      <c r="Y396" t="s">
        <v>13</v>
      </c>
      <c r="Z396" t="s">
        <v>28</v>
      </c>
    </row>
    <row r="397" spans="19:26" x14ac:dyDescent="0.25">
      <c r="S397" t="s">
        <v>1244</v>
      </c>
      <c r="T397" t="s">
        <v>1245</v>
      </c>
      <c r="U397">
        <v>50</v>
      </c>
      <c r="V397" t="s">
        <v>10</v>
      </c>
      <c r="W397" t="s">
        <v>1246</v>
      </c>
      <c r="X397" t="s">
        <v>65</v>
      </c>
      <c r="Y397" t="s">
        <v>13</v>
      </c>
      <c r="Z397" t="s">
        <v>50</v>
      </c>
    </row>
    <row r="398" spans="19:26" x14ac:dyDescent="0.25">
      <c r="S398" t="s">
        <v>1247</v>
      </c>
      <c r="T398" t="s">
        <v>1248</v>
      </c>
      <c r="U398">
        <v>25</v>
      </c>
      <c r="V398" t="s">
        <v>16</v>
      </c>
      <c r="W398" t="s">
        <v>1249</v>
      </c>
      <c r="X398" t="s">
        <v>61</v>
      </c>
      <c r="Y398" t="s">
        <v>13</v>
      </c>
      <c r="Z398" t="s">
        <v>33</v>
      </c>
    </row>
    <row r="399" spans="19:26" x14ac:dyDescent="0.25">
      <c r="S399" t="s">
        <v>1250</v>
      </c>
      <c r="T399" t="s">
        <v>1251</v>
      </c>
      <c r="U399">
        <v>62</v>
      </c>
      <c r="V399" t="s">
        <v>16</v>
      </c>
      <c r="W399" t="s">
        <v>127</v>
      </c>
      <c r="X399" t="s">
        <v>65</v>
      </c>
      <c r="Y399" t="s">
        <v>13</v>
      </c>
      <c r="Z399" t="s">
        <v>19</v>
      </c>
    </row>
    <row r="400" spans="19:26" x14ac:dyDescent="0.25">
      <c r="S400" t="s">
        <v>1252</v>
      </c>
      <c r="T400" t="s">
        <v>1253</v>
      </c>
      <c r="U400">
        <v>54</v>
      </c>
      <c r="V400" t="s">
        <v>10</v>
      </c>
      <c r="W400" t="s">
        <v>1254</v>
      </c>
      <c r="X400" t="s">
        <v>49</v>
      </c>
      <c r="Y400" t="s">
        <v>13</v>
      </c>
      <c r="Z400" t="s">
        <v>28</v>
      </c>
    </row>
    <row r="401" spans="19:26" x14ac:dyDescent="0.25">
      <c r="S401" t="s">
        <v>1255</v>
      </c>
      <c r="T401" t="s">
        <v>1256</v>
      </c>
      <c r="U401">
        <v>27</v>
      </c>
      <c r="V401" t="s">
        <v>10</v>
      </c>
      <c r="W401" t="s">
        <v>1257</v>
      </c>
      <c r="X401" t="s">
        <v>439</v>
      </c>
      <c r="Y401" t="s">
        <v>13</v>
      </c>
      <c r="Z401" t="s">
        <v>28</v>
      </c>
    </row>
    <row r="402" spans="19:26" x14ac:dyDescent="0.25">
      <c r="S402" t="s">
        <v>1258</v>
      </c>
      <c r="T402" t="s">
        <v>1259</v>
      </c>
      <c r="U402">
        <v>57</v>
      </c>
      <c r="V402" t="s">
        <v>16</v>
      </c>
      <c r="W402" t="s">
        <v>1260</v>
      </c>
      <c r="X402" t="s">
        <v>99</v>
      </c>
      <c r="Y402" t="s">
        <v>13</v>
      </c>
      <c r="Z402" t="s">
        <v>19</v>
      </c>
    </row>
    <row r="403" spans="19:26" x14ac:dyDescent="0.25">
      <c r="S403" t="s">
        <v>1261</v>
      </c>
      <c r="T403" t="s">
        <v>1262</v>
      </c>
      <c r="U403">
        <v>51</v>
      </c>
      <c r="V403" t="s">
        <v>16</v>
      </c>
      <c r="W403" t="s">
        <v>1263</v>
      </c>
      <c r="X403" t="s">
        <v>188</v>
      </c>
      <c r="Y403" t="s">
        <v>13</v>
      </c>
      <c r="Z403" t="s">
        <v>19</v>
      </c>
    </row>
    <row r="404" spans="19:26" x14ac:dyDescent="0.25">
      <c r="S404" t="s">
        <v>1264</v>
      </c>
      <c r="T404" t="s">
        <v>1265</v>
      </c>
      <c r="U404">
        <v>31</v>
      </c>
      <c r="V404" t="s">
        <v>10</v>
      </c>
      <c r="W404" t="s">
        <v>83</v>
      </c>
      <c r="X404" t="s">
        <v>317</v>
      </c>
      <c r="Y404" t="s">
        <v>13</v>
      </c>
      <c r="Z404" t="s">
        <v>28</v>
      </c>
    </row>
    <row r="405" spans="19:26" x14ac:dyDescent="0.25">
      <c r="S405" t="s">
        <v>1266</v>
      </c>
      <c r="T405" t="s">
        <v>1267</v>
      </c>
      <c r="U405">
        <v>34</v>
      </c>
      <c r="V405" t="s">
        <v>10</v>
      </c>
      <c r="W405" t="s">
        <v>1268</v>
      </c>
      <c r="X405" t="s">
        <v>332</v>
      </c>
      <c r="Y405" t="s">
        <v>13</v>
      </c>
      <c r="Z405" t="s">
        <v>28</v>
      </c>
    </row>
    <row r="406" spans="19:26" x14ac:dyDescent="0.25">
      <c r="S406" t="s">
        <v>1269</v>
      </c>
      <c r="T406" t="s">
        <v>1270</v>
      </c>
      <c r="U406">
        <v>22</v>
      </c>
      <c r="V406" t="s">
        <v>16</v>
      </c>
      <c r="W406" t="s">
        <v>1271</v>
      </c>
      <c r="X406" t="s">
        <v>295</v>
      </c>
      <c r="Y406" t="s">
        <v>13</v>
      </c>
      <c r="Z406" t="s">
        <v>33</v>
      </c>
    </row>
    <row r="407" spans="19:26" x14ac:dyDescent="0.25">
      <c r="S407" t="s">
        <v>1272</v>
      </c>
      <c r="T407" t="s">
        <v>1273</v>
      </c>
      <c r="U407">
        <v>18</v>
      </c>
      <c r="V407" t="s">
        <v>16</v>
      </c>
      <c r="W407" t="s">
        <v>1274</v>
      </c>
      <c r="X407" t="s">
        <v>332</v>
      </c>
      <c r="Y407" t="s">
        <v>13</v>
      </c>
      <c r="Z407" t="s">
        <v>50</v>
      </c>
    </row>
    <row r="408" spans="19:26" x14ac:dyDescent="0.25">
      <c r="S408" t="s">
        <v>1275</v>
      </c>
      <c r="T408" t="s">
        <v>1276</v>
      </c>
      <c r="U408">
        <v>23</v>
      </c>
      <c r="V408" t="s">
        <v>16</v>
      </c>
      <c r="W408" t="s">
        <v>1277</v>
      </c>
      <c r="X408" t="s">
        <v>328</v>
      </c>
      <c r="Y408" t="s">
        <v>13</v>
      </c>
      <c r="Z408" t="s">
        <v>50</v>
      </c>
    </row>
    <row r="409" spans="19:26" x14ac:dyDescent="0.25">
      <c r="S409" t="s">
        <v>1278</v>
      </c>
      <c r="T409" t="s">
        <v>1279</v>
      </c>
      <c r="U409">
        <v>33</v>
      </c>
      <c r="V409" t="s">
        <v>10</v>
      </c>
      <c r="W409" t="s">
        <v>1280</v>
      </c>
      <c r="X409" t="s">
        <v>144</v>
      </c>
      <c r="Y409" t="s">
        <v>13</v>
      </c>
      <c r="Z409" t="s">
        <v>50</v>
      </c>
    </row>
    <row r="410" spans="19:26" x14ac:dyDescent="0.25">
      <c r="S410" t="s">
        <v>1281</v>
      </c>
      <c r="T410" t="s">
        <v>1282</v>
      </c>
      <c r="U410">
        <v>36</v>
      </c>
      <c r="V410" t="s">
        <v>10</v>
      </c>
      <c r="W410" t="s">
        <v>1283</v>
      </c>
      <c r="X410" t="s">
        <v>91</v>
      </c>
      <c r="Y410" t="s">
        <v>13</v>
      </c>
      <c r="Z410" t="s">
        <v>50</v>
      </c>
    </row>
    <row r="411" spans="19:26" x14ac:dyDescent="0.25">
      <c r="S411" t="s">
        <v>1284</v>
      </c>
      <c r="T411" t="s">
        <v>1285</v>
      </c>
      <c r="U411">
        <v>55</v>
      </c>
      <c r="V411" t="s">
        <v>10</v>
      </c>
      <c r="W411" t="s">
        <v>1286</v>
      </c>
      <c r="X411" t="s">
        <v>856</v>
      </c>
      <c r="Y411" t="s">
        <v>13</v>
      </c>
      <c r="Z411" t="s">
        <v>50</v>
      </c>
    </row>
    <row r="412" spans="19:26" x14ac:dyDescent="0.25">
      <c r="S412" t="s">
        <v>1287</v>
      </c>
      <c r="T412" t="s">
        <v>1288</v>
      </c>
      <c r="U412">
        <v>48</v>
      </c>
      <c r="V412" t="s">
        <v>16</v>
      </c>
      <c r="W412" t="s">
        <v>1289</v>
      </c>
      <c r="X412" t="s">
        <v>91</v>
      </c>
      <c r="Y412" t="s">
        <v>13</v>
      </c>
      <c r="Z412" t="s">
        <v>28</v>
      </c>
    </row>
    <row r="413" spans="19:26" x14ac:dyDescent="0.25">
      <c r="S413" t="s">
        <v>1290</v>
      </c>
      <c r="T413" t="s">
        <v>1291</v>
      </c>
      <c r="U413">
        <v>63</v>
      </c>
      <c r="V413" t="s">
        <v>10</v>
      </c>
      <c r="W413" t="s">
        <v>1292</v>
      </c>
      <c r="X413" t="s">
        <v>27</v>
      </c>
      <c r="Y413" t="s">
        <v>13</v>
      </c>
      <c r="Z413" t="s">
        <v>33</v>
      </c>
    </row>
    <row r="414" spans="19:26" x14ac:dyDescent="0.25">
      <c r="S414" t="s">
        <v>1293</v>
      </c>
      <c r="T414" t="s">
        <v>1294</v>
      </c>
      <c r="U414">
        <v>23</v>
      </c>
      <c r="V414" t="s">
        <v>16</v>
      </c>
      <c r="W414" t="s">
        <v>208</v>
      </c>
      <c r="X414" t="s">
        <v>160</v>
      </c>
      <c r="Y414" t="s">
        <v>13</v>
      </c>
      <c r="Z414" t="s">
        <v>50</v>
      </c>
    </row>
    <row r="415" spans="19:26" x14ac:dyDescent="0.25">
      <c r="S415" t="s">
        <v>1295</v>
      </c>
      <c r="T415" t="s">
        <v>1296</v>
      </c>
      <c r="U415">
        <v>59</v>
      </c>
      <c r="V415" t="s">
        <v>16</v>
      </c>
      <c r="W415" t="s">
        <v>1297</v>
      </c>
      <c r="X415" t="s">
        <v>110</v>
      </c>
      <c r="Y415" t="s">
        <v>13</v>
      </c>
      <c r="Z415" t="s">
        <v>28</v>
      </c>
    </row>
    <row r="416" spans="19:26" x14ac:dyDescent="0.25">
      <c r="S416" t="s">
        <v>1298</v>
      </c>
      <c r="T416" t="s">
        <v>1299</v>
      </c>
      <c r="U416">
        <v>35</v>
      </c>
      <c r="V416" t="s">
        <v>16</v>
      </c>
      <c r="W416" t="s">
        <v>1300</v>
      </c>
      <c r="X416" t="s">
        <v>117</v>
      </c>
      <c r="Y416" t="s">
        <v>13</v>
      </c>
      <c r="Z416" t="s">
        <v>50</v>
      </c>
    </row>
    <row r="417" spans="19:26" x14ac:dyDescent="0.25">
      <c r="S417" t="s">
        <v>1301</v>
      </c>
      <c r="T417" t="s">
        <v>1302</v>
      </c>
      <c r="U417">
        <v>26</v>
      </c>
      <c r="V417" t="s">
        <v>16</v>
      </c>
      <c r="W417" t="s">
        <v>1303</v>
      </c>
      <c r="X417" t="s">
        <v>167</v>
      </c>
      <c r="Y417" t="s">
        <v>13</v>
      </c>
      <c r="Z417" t="s">
        <v>33</v>
      </c>
    </row>
    <row r="418" spans="19:26" x14ac:dyDescent="0.25">
      <c r="S418" t="s">
        <v>1304</v>
      </c>
      <c r="T418" t="s">
        <v>1305</v>
      </c>
      <c r="U418">
        <v>46</v>
      </c>
      <c r="V418" t="s">
        <v>10</v>
      </c>
      <c r="W418" t="s">
        <v>1306</v>
      </c>
      <c r="X418" t="s">
        <v>328</v>
      </c>
      <c r="Y418" t="s">
        <v>13</v>
      </c>
      <c r="Z418" t="s">
        <v>19</v>
      </c>
    </row>
    <row r="419" spans="19:26" x14ac:dyDescent="0.25">
      <c r="S419" t="s">
        <v>1307</v>
      </c>
      <c r="T419" t="s">
        <v>1308</v>
      </c>
      <c r="U419">
        <v>64</v>
      </c>
      <c r="V419" t="s">
        <v>16</v>
      </c>
      <c r="W419" t="s">
        <v>1309</v>
      </c>
      <c r="X419" t="s">
        <v>12</v>
      </c>
      <c r="Y419" t="s">
        <v>13</v>
      </c>
      <c r="Z419" t="s">
        <v>28</v>
      </c>
    </row>
    <row r="420" spans="19:26" x14ac:dyDescent="0.25">
      <c r="S420" t="s">
        <v>1310</v>
      </c>
      <c r="T420" t="s">
        <v>1311</v>
      </c>
      <c r="U420">
        <v>60</v>
      </c>
      <c r="V420" t="s">
        <v>16</v>
      </c>
      <c r="W420" t="s">
        <v>1312</v>
      </c>
      <c r="X420" t="s">
        <v>49</v>
      </c>
      <c r="Y420" t="s">
        <v>13</v>
      </c>
      <c r="Z420" t="s">
        <v>33</v>
      </c>
    </row>
    <row r="421" spans="19:26" x14ac:dyDescent="0.25">
      <c r="S421" t="s">
        <v>1313</v>
      </c>
      <c r="T421" t="s">
        <v>1314</v>
      </c>
      <c r="U421">
        <v>33</v>
      </c>
      <c r="V421" t="s">
        <v>10</v>
      </c>
      <c r="W421" t="s">
        <v>1315</v>
      </c>
      <c r="X421" t="s">
        <v>317</v>
      </c>
      <c r="Y421" t="s">
        <v>13</v>
      </c>
      <c r="Z421" t="s">
        <v>50</v>
      </c>
    </row>
    <row r="422" spans="19:26" x14ac:dyDescent="0.25">
      <c r="S422" t="s">
        <v>1316</v>
      </c>
      <c r="T422" t="s">
        <v>1317</v>
      </c>
      <c r="U422">
        <v>60</v>
      </c>
      <c r="V422" t="s">
        <v>10</v>
      </c>
      <c r="W422" t="s">
        <v>1318</v>
      </c>
      <c r="X422" t="s">
        <v>12</v>
      </c>
      <c r="Y422" t="s">
        <v>13</v>
      </c>
      <c r="Z422" t="s">
        <v>28</v>
      </c>
    </row>
    <row r="423" spans="19:26" x14ac:dyDescent="0.25">
      <c r="S423" t="s">
        <v>1319</v>
      </c>
      <c r="T423" t="s">
        <v>1320</v>
      </c>
      <c r="U423">
        <v>45</v>
      </c>
      <c r="V423" t="s">
        <v>16</v>
      </c>
      <c r="W423" t="s">
        <v>1321</v>
      </c>
      <c r="X423" t="s">
        <v>77</v>
      </c>
      <c r="Y423" t="s">
        <v>13</v>
      </c>
      <c r="Z423" t="s">
        <v>19</v>
      </c>
    </row>
    <row r="424" spans="19:26" x14ac:dyDescent="0.25">
      <c r="S424" t="s">
        <v>1322</v>
      </c>
      <c r="T424" t="s">
        <v>1323</v>
      </c>
      <c r="U424">
        <v>42</v>
      </c>
      <c r="V424" t="s">
        <v>16</v>
      </c>
      <c r="W424" t="s">
        <v>1324</v>
      </c>
      <c r="X424" t="s">
        <v>65</v>
      </c>
      <c r="Y424" t="s">
        <v>13</v>
      </c>
      <c r="Z424" t="s">
        <v>19</v>
      </c>
    </row>
    <row r="425" spans="19:26" x14ac:dyDescent="0.25">
      <c r="S425" t="s">
        <v>1325</v>
      </c>
      <c r="T425" t="s">
        <v>1326</v>
      </c>
      <c r="U425">
        <v>35</v>
      </c>
      <c r="V425" t="s">
        <v>10</v>
      </c>
      <c r="W425" t="s">
        <v>1327</v>
      </c>
      <c r="X425" t="s">
        <v>65</v>
      </c>
      <c r="Y425" t="s">
        <v>13</v>
      </c>
      <c r="Z425" t="s">
        <v>33</v>
      </c>
    </row>
    <row r="426" spans="19:26" x14ac:dyDescent="0.25">
      <c r="S426" t="s">
        <v>1328</v>
      </c>
      <c r="T426" t="s">
        <v>1329</v>
      </c>
      <c r="U426">
        <v>53</v>
      </c>
      <c r="V426" t="s">
        <v>10</v>
      </c>
      <c r="W426" t="s">
        <v>1330</v>
      </c>
      <c r="X426" t="s">
        <v>12</v>
      </c>
      <c r="Y426" t="s">
        <v>13</v>
      </c>
      <c r="Z426" t="s">
        <v>28</v>
      </c>
    </row>
    <row r="427" spans="19:26" x14ac:dyDescent="0.25">
      <c r="S427" t="s">
        <v>1331</v>
      </c>
      <c r="T427" t="s">
        <v>1332</v>
      </c>
      <c r="U427">
        <v>40</v>
      </c>
      <c r="V427" t="s">
        <v>10</v>
      </c>
      <c r="W427" t="s">
        <v>1333</v>
      </c>
      <c r="X427" t="s">
        <v>121</v>
      </c>
      <c r="Y427" t="s">
        <v>13</v>
      </c>
      <c r="Z427" t="s">
        <v>28</v>
      </c>
    </row>
    <row r="428" spans="19:26" x14ac:dyDescent="0.25">
      <c r="S428" t="s">
        <v>1334</v>
      </c>
      <c r="T428" t="s">
        <v>1335</v>
      </c>
      <c r="U428">
        <v>28</v>
      </c>
      <c r="V428" t="s">
        <v>10</v>
      </c>
      <c r="W428" t="s">
        <v>1336</v>
      </c>
      <c r="X428" t="s">
        <v>12</v>
      </c>
      <c r="Y428" t="s">
        <v>13</v>
      </c>
      <c r="Z428" t="s">
        <v>19</v>
      </c>
    </row>
    <row r="429" spans="19:26" x14ac:dyDescent="0.25">
      <c r="S429" t="s">
        <v>1337</v>
      </c>
      <c r="T429" t="s">
        <v>1338</v>
      </c>
      <c r="U429">
        <v>18</v>
      </c>
      <c r="V429" t="s">
        <v>16</v>
      </c>
      <c r="W429" t="s">
        <v>1339</v>
      </c>
      <c r="X429" t="s">
        <v>439</v>
      </c>
      <c r="Y429" t="s">
        <v>13</v>
      </c>
      <c r="Z429" t="s">
        <v>50</v>
      </c>
    </row>
    <row r="430" spans="19:26" x14ac:dyDescent="0.25">
      <c r="S430" t="s">
        <v>1340</v>
      </c>
      <c r="T430" t="s">
        <v>1341</v>
      </c>
      <c r="U430">
        <v>27</v>
      </c>
      <c r="V430" t="s">
        <v>16</v>
      </c>
      <c r="W430" t="s">
        <v>1342</v>
      </c>
      <c r="X430" t="s">
        <v>332</v>
      </c>
      <c r="Y430" t="s">
        <v>13</v>
      </c>
      <c r="Z430" t="s">
        <v>28</v>
      </c>
    </row>
    <row r="431" spans="19:26" x14ac:dyDescent="0.25">
      <c r="S431" t="s">
        <v>1343</v>
      </c>
      <c r="T431" t="s">
        <v>1344</v>
      </c>
      <c r="U431">
        <v>43</v>
      </c>
      <c r="V431" t="s">
        <v>10</v>
      </c>
      <c r="W431" t="s">
        <v>1345</v>
      </c>
      <c r="X431" t="s">
        <v>110</v>
      </c>
      <c r="Y431" t="s">
        <v>13</v>
      </c>
      <c r="Z431" t="s">
        <v>19</v>
      </c>
    </row>
    <row r="432" spans="19:26" x14ac:dyDescent="0.25">
      <c r="S432" t="s">
        <v>1346</v>
      </c>
      <c r="T432" t="s">
        <v>1347</v>
      </c>
      <c r="U432">
        <v>36</v>
      </c>
      <c r="V432" t="s">
        <v>16</v>
      </c>
      <c r="W432" t="s">
        <v>1348</v>
      </c>
      <c r="X432" t="s">
        <v>91</v>
      </c>
      <c r="Y432" t="s">
        <v>13</v>
      </c>
      <c r="Z432" t="s">
        <v>50</v>
      </c>
    </row>
    <row r="433" spans="19:26" x14ac:dyDescent="0.25">
      <c r="S433" t="s">
        <v>1349</v>
      </c>
      <c r="T433" t="s">
        <v>1350</v>
      </c>
      <c r="U433">
        <v>27</v>
      </c>
      <c r="V433" t="s">
        <v>10</v>
      </c>
      <c r="W433" t="s">
        <v>1351</v>
      </c>
      <c r="X433" t="s">
        <v>32</v>
      </c>
      <c r="Y433" t="s">
        <v>13</v>
      </c>
      <c r="Z433" t="s">
        <v>19</v>
      </c>
    </row>
    <row r="434" spans="19:26" x14ac:dyDescent="0.25">
      <c r="S434" t="s">
        <v>1352</v>
      </c>
      <c r="T434" t="s">
        <v>1353</v>
      </c>
      <c r="U434">
        <v>37</v>
      </c>
      <c r="V434" t="s">
        <v>10</v>
      </c>
      <c r="W434" t="s">
        <v>1354</v>
      </c>
      <c r="X434" t="s">
        <v>91</v>
      </c>
      <c r="Y434" t="s">
        <v>13</v>
      </c>
      <c r="Z434" t="s">
        <v>28</v>
      </c>
    </row>
    <row r="435" spans="19:26" x14ac:dyDescent="0.25">
      <c r="S435" t="s">
        <v>1355</v>
      </c>
      <c r="T435" t="s">
        <v>1356</v>
      </c>
      <c r="U435">
        <v>51</v>
      </c>
      <c r="V435" t="s">
        <v>16</v>
      </c>
      <c r="W435" t="s">
        <v>1357</v>
      </c>
      <c r="X435" t="s">
        <v>61</v>
      </c>
      <c r="Y435" t="s">
        <v>13</v>
      </c>
      <c r="Z435" t="s">
        <v>33</v>
      </c>
    </row>
    <row r="436" spans="19:26" x14ac:dyDescent="0.25">
      <c r="S436" t="s">
        <v>1358</v>
      </c>
      <c r="T436" t="s">
        <v>1359</v>
      </c>
      <c r="U436">
        <v>48</v>
      </c>
      <c r="V436" t="s">
        <v>16</v>
      </c>
      <c r="W436" t="s">
        <v>1360</v>
      </c>
      <c r="X436" t="s">
        <v>258</v>
      </c>
      <c r="Y436" t="s">
        <v>13</v>
      </c>
      <c r="Z436" t="s">
        <v>50</v>
      </c>
    </row>
    <row r="437" spans="19:26" x14ac:dyDescent="0.25">
      <c r="S437" t="s">
        <v>1361</v>
      </c>
      <c r="T437" t="s">
        <v>1362</v>
      </c>
      <c r="U437">
        <v>37</v>
      </c>
      <c r="V437" t="s">
        <v>16</v>
      </c>
      <c r="W437" t="s">
        <v>1363</v>
      </c>
      <c r="X437" t="s">
        <v>110</v>
      </c>
      <c r="Y437" t="s">
        <v>13</v>
      </c>
      <c r="Z437" t="s">
        <v>33</v>
      </c>
    </row>
    <row r="438" spans="19:26" x14ac:dyDescent="0.25">
      <c r="S438" t="s">
        <v>1364</v>
      </c>
      <c r="T438" t="s">
        <v>1365</v>
      </c>
      <c r="U438">
        <v>61</v>
      </c>
      <c r="V438" t="s">
        <v>10</v>
      </c>
      <c r="W438" t="s">
        <v>1366</v>
      </c>
      <c r="X438" t="s">
        <v>41</v>
      </c>
      <c r="Y438" t="s">
        <v>13</v>
      </c>
      <c r="Z438" t="s">
        <v>50</v>
      </c>
    </row>
    <row r="439" spans="19:26" x14ac:dyDescent="0.25">
      <c r="S439" t="s">
        <v>1367</v>
      </c>
      <c r="T439" t="s">
        <v>1368</v>
      </c>
      <c r="U439">
        <v>47</v>
      </c>
      <c r="V439" t="s">
        <v>16</v>
      </c>
      <c r="W439" t="s">
        <v>605</v>
      </c>
      <c r="X439" t="s">
        <v>49</v>
      </c>
      <c r="Y439" t="s">
        <v>13</v>
      </c>
      <c r="Z439" t="s">
        <v>19</v>
      </c>
    </row>
    <row r="440" spans="19:26" x14ac:dyDescent="0.25">
      <c r="S440" t="s">
        <v>1369</v>
      </c>
      <c r="T440" t="s">
        <v>1370</v>
      </c>
      <c r="U440">
        <v>59</v>
      </c>
      <c r="V440" t="s">
        <v>16</v>
      </c>
      <c r="W440" t="s">
        <v>1371</v>
      </c>
      <c r="X440" t="s">
        <v>241</v>
      </c>
      <c r="Y440" t="s">
        <v>13</v>
      </c>
      <c r="Z440" t="s">
        <v>19</v>
      </c>
    </row>
    <row r="441" spans="19:26" x14ac:dyDescent="0.25">
      <c r="S441" t="s">
        <v>1372</v>
      </c>
      <c r="T441" t="s">
        <v>1373</v>
      </c>
      <c r="U441">
        <v>53</v>
      </c>
      <c r="V441" t="s">
        <v>10</v>
      </c>
      <c r="W441" t="s">
        <v>942</v>
      </c>
      <c r="X441" t="s">
        <v>160</v>
      </c>
      <c r="Y441" t="s">
        <v>13</v>
      </c>
      <c r="Z441" t="s">
        <v>33</v>
      </c>
    </row>
    <row r="442" spans="19:26" x14ac:dyDescent="0.25">
      <c r="S442" t="s">
        <v>1374</v>
      </c>
      <c r="T442" t="s">
        <v>1375</v>
      </c>
      <c r="U442">
        <v>60</v>
      </c>
      <c r="V442" t="s">
        <v>10</v>
      </c>
      <c r="W442" t="s">
        <v>1376</v>
      </c>
      <c r="X442" t="s">
        <v>18</v>
      </c>
      <c r="Y442" t="s">
        <v>13</v>
      </c>
      <c r="Z442" t="s">
        <v>33</v>
      </c>
    </row>
    <row r="443" spans="19:26" x14ac:dyDescent="0.25">
      <c r="S443" t="s">
        <v>1377</v>
      </c>
      <c r="T443" t="s">
        <v>1378</v>
      </c>
      <c r="U443">
        <v>31</v>
      </c>
      <c r="V443" t="s">
        <v>10</v>
      </c>
      <c r="W443" t="s">
        <v>1379</v>
      </c>
      <c r="X443" t="s">
        <v>328</v>
      </c>
      <c r="Y443" t="s">
        <v>13</v>
      </c>
      <c r="Z443" t="s">
        <v>33</v>
      </c>
    </row>
    <row r="444" spans="19:26" x14ac:dyDescent="0.25">
      <c r="S444" t="s">
        <v>1380</v>
      </c>
      <c r="T444" t="s">
        <v>1381</v>
      </c>
      <c r="U444">
        <v>42</v>
      </c>
      <c r="V444" t="s">
        <v>16</v>
      </c>
      <c r="W444" t="s">
        <v>1382</v>
      </c>
      <c r="X444" t="s">
        <v>37</v>
      </c>
      <c r="Y444" t="s">
        <v>13</v>
      </c>
      <c r="Z444" t="s">
        <v>28</v>
      </c>
    </row>
    <row r="445" spans="19:26" x14ac:dyDescent="0.25">
      <c r="S445" t="s">
        <v>1383</v>
      </c>
      <c r="T445" t="s">
        <v>1384</v>
      </c>
      <c r="U445">
        <v>51</v>
      </c>
      <c r="V445" t="s">
        <v>10</v>
      </c>
      <c r="W445" t="s">
        <v>1385</v>
      </c>
      <c r="X445" t="s">
        <v>363</v>
      </c>
      <c r="Y445" t="s">
        <v>13</v>
      </c>
      <c r="Z445" t="s">
        <v>33</v>
      </c>
    </row>
    <row r="446" spans="19:26" x14ac:dyDescent="0.25">
      <c r="S446" t="s">
        <v>1386</v>
      </c>
      <c r="T446" t="s">
        <v>1387</v>
      </c>
      <c r="U446">
        <v>19</v>
      </c>
      <c r="V446" t="s">
        <v>10</v>
      </c>
      <c r="W446" t="s">
        <v>1388</v>
      </c>
      <c r="X446" t="s">
        <v>856</v>
      </c>
      <c r="Y446" t="s">
        <v>13</v>
      </c>
      <c r="Z446" t="s">
        <v>50</v>
      </c>
    </row>
    <row r="447" spans="19:26" x14ac:dyDescent="0.25">
      <c r="S447" t="s">
        <v>1389</v>
      </c>
      <c r="T447" t="s">
        <v>1390</v>
      </c>
      <c r="U447">
        <v>41</v>
      </c>
      <c r="V447" t="s">
        <v>16</v>
      </c>
      <c r="W447" t="s">
        <v>1391</v>
      </c>
      <c r="X447" t="s">
        <v>291</v>
      </c>
      <c r="Y447" t="s">
        <v>13</v>
      </c>
      <c r="Z447" t="s">
        <v>19</v>
      </c>
    </row>
    <row r="448" spans="19:26" x14ac:dyDescent="0.25">
      <c r="S448" t="s">
        <v>1392</v>
      </c>
      <c r="T448" t="s">
        <v>1393</v>
      </c>
      <c r="U448">
        <v>35</v>
      </c>
      <c r="V448" t="s">
        <v>10</v>
      </c>
      <c r="W448" t="s">
        <v>1394</v>
      </c>
      <c r="X448" t="s">
        <v>99</v>
      </c>
      <c r="Y448" t="s">
        <v>13</v>
      </c>
      <c r="Z448" t="s">
        <v>33</v>
      </c>
    </row>
    <row r="449" spans="19:26" x14ac:dyDescent="0.25">
      <c r="S449" t="s">
        <v>1395</v>
      </c>
      <c r="T449" t="s">
        <v>1396</v>
      </c>
      <c r="U449">
        <v>45</v>
      </c>
      <c r="V449" t="s">
        <v>10</v>
      </c>
      <c r="W449" t="s">
        <v>1397</v>
      </c>
      <c r="X449" t="s">
        <v>12</v>
      </c>
      <c r="Y449" t="s">
        <v>13</v>
      </c>
      <c r="Z449" t="s">
        <v>50</v>
      </c>
    </row>
    <row r="450" spans="19:26" x14ac:dyDescent="0.25">
      <c r="S450" t="s">
        <v>1398</v>
      </c>
      <c r="T450" t="s">
        <v>1399</v>
      </c>
      <c r="U450">
        <v>64</v>
      </c>
      <c r="V450" t="s">
        <v>16</v>
      </c>
      <c r="W450" t="s">
        <v>1400</v>
      </c>
      <c r="X450" t="s">
        <v>856</v>
      </c>
      <c r="Y450" t="s">
        <v>13</v>
      </c>
      <c r="Z450" t="s">
        <v>28</v>
      </c>
    </row>
    <row r="451" spans="19:26" x14ac:dyDescent="0.25">
      <c r="S451" t="s">
        <v>1401</v>
      </c>
      <c r="T451" t="s">
        <v>1402</v>
      </c>
      <c r="U451">
        <v>29</v>
      </c>
      <c r="V451" t="s">
        <v>10</v>
      </c>
      <c r="W451" t="s">
        <v>1403</v>
      </c>
      <c r="X451" t="s">
        <v>27</v>
      </c>
      <c r="Y451" t="s">
        <v>13</v>
      </c>
      <c r="Z451" t="s">
        <v>28</v>
      </c>
    </row>
    <row r="452" spans="19:26" x14ac:dyDescent="0.25">
      <c r="S452" t="s">
        <v>1404</v>
      </c>
      <c r="T452" t="s">
        <v>1405</v>
      </c>
      <c r="U452">
        <v>59</v>
      </c>
      <c r="V452" t="s">
        <v>10</v>
      </c>
      <c r="W452" t="s">
        <v>1406</v>
      </c>
      <c r="X452" t="s">
        <v>73</v>
      </c>
      <c r="Y452" t="s">
        <v>13</v>
      </c>
      <c r="Z452" t="s">
        <v>28</v>
      </c>
    </row>
    <row r="453" spans="19:26" x14ac:dyDescent="0.25">
      <c r="S453" t="s">
        <v>1407</v>
      </c>
      <c r="T453" t="s">
        <v>1408</v>
      </c>
      <c r="U453">
        <v>46</v>
      </c>
      <c r="V453" t="s">
        <v>10</v>
      </c>
      <c r="W453" t="s">
        <v>571</v>
      </c>
      <c r="X453" t="s">
        <v>237</v>
      </c>
      <c r="Y453" t="s">
        <v>13</v>
      </c>
      <c r="Z453" t="s">
        <v>50</v>
      </c>
    </row>
    <row r="454" spans="19:26" x14ac:dyDescent="0.25">
      <c r="S454" t="s">
        <v>1409</v>
      </c>
      <c r="T454" t="s">
        <v>1410</v>
      </c>
      <c r="U454">
        <v>60</v>
      </c>
      <c r="V454" t="s">
        <v>16</v>
      </c>
      <c r="W454" t="s">
        <v>1411</v>
      </c>
      <c r="X454" t="s">
        <v>317</v>
      </c>
      <c r="Y454" t="s">
        <v>13</v>
      </c>
      <c r="Z454" t="s">
        <v>28</v>
      </c>
    </row>
    <row r="455" spans="19:26" x14ac:dyDescent="0.25">
      <c r="S455" t="s">
        <v>1412</v>
      </c>
      <c r="T455" t="s">
        <v>1413</v>
      </c>
      <c r="U455">
        <v>62</v>
      </c>
      <c r="V455" t="s">
        <v>16</v>
      </c>
      <c r="W455" t="s">
        <v>1414</v>
      </c>
      <c r="X455" t="s">
        <v>103</v>
      </c>
      <c r="Y455" t="s">
        <v>13</v>
      </c>
      <c r="Z455" t="s">
        <v>19</v>
      </c>
    </row>
    <row r="456" spans="19:26" x14ac:dyDescent="0.25">
      <c r="S456" t="s">
        <v>1415</v>
      </c>
      <c r="T456" t="s">
        <v>1416</v>
      </c>
      <c r="U456">
        <v>60</v>
      </c>
      <c r="V456" t="s">
        <v>10</v>
      </c>
      <c r="W456" t="s">
        <v>133</v>
      </c>
      <c r="X456" t="s">
        <v>99</v>
      </c>
      <c r="Y456" t="s">
        <v>13</v>
      </c>
      <c r="Z456" t="s">
        <v>50</v>
      </c>
    </row>
    <row r="457" spans="19:26" x14ac:dyDescent="0.25">
      <c r="S457" t="s">
        <v>1417</v>
      </c>
      <c r="T457" t="s">
        <v>1418</v>
      </c>
      <c r="U457">
        <v>54</v>
      </c>
      <c r="V457" t="s">
        <v>10</v>
      </c>
      <c r="W457" t="s">
        <v>1419</v>
      </c>
      <c r="X457" t="s">
        <v>198</v>
      </c>
      <c r="Y457" t="s">
        <v>13</v>
      </c>
      <c r="Z457" t="s">
        <v>50</v>
      </c>
    </row>
    <row r="458" spans="19:26" x14ac:dyDescent="0.25">
      <c r="S458" t="s">
        <v>1420</v>
      </c>
      <c r="T458" t="s">
        <v>1421</v>
      </c>
      <c r="U458">
        <v>59</v>
      </c>
      <c r="V458" t="s">
        <v>16</v>
      </c>
      <c r="W458" t="s">
        <v>1422</v>
      </c>
      <c r="X458" t="s">
        <v>295</v>
      </c>
      <c r="Y458" t="s">
        <v>13</v>
      </c>
      <c r="Z458" t="s">
        <v>50</v>
      </c>
    </row>
    <row r="459" spans="19:26" x14ac:dyDescent="0.25">
      <c r="S459" t="s">
        <v>1423</v>
      </c>
      <c r="T459" t="s">
        <v>1424</v>
      </c>
      <c r="U459">
        <v>59</v>
      </c>
      <c r="V459" t="s">
        <v>10</v>
      </c>
      <c r="W459" t="s">
        <v>1425</v>
      </c>
      <c r="X459" t="s">
        <v>596</v>
      </c>
      <c r="Y459" t="s">
        <v>13</v>
      </c>
      <c r="Z459" t="s">
        <v>19</v>
      </c>
    </row>
    <row r="460" spans="19:26" x14ac:dyDescent="0.25">
      <c r="S460" t="s">
        <v>1426</v>
      </c>
      <c r="T460" t="s">
        <v>1427</v>
      </c>
      <c r="U460">
        <v>62</v>
      </c>
      <c r="V460" t="s">
        <v>16</v>
      </c>
      <c r="W460" t="s">
        <v>1428</v>
      </c>
      <c r="X460" t="s">
        <v>54</v>
      </c>
      <c r="Y460" t="s">
        <v>13</v>
      </c>
      <c r="Z460" t="s">
        <v>33</v>
      </c>
    </row>
    <row r="461" spans="19:26" x14ac:dyDescent="0.25">
      <c r="S461" t="s">
        <v>1429</v>
      </c>
      <c r="T461" t="s">
        <v>687</v>
      </c>
      <c r="U461">
        <v>29</v>
      </c>
      <c r="V461" t="s">
        <v>16</v>
      </c>
      <c r="W461" t="s">
        <v>1430</v>
      </c>
      <c r="X461" t="s">
        <v>321</v>
      </c>
      <c r="Y461" t="s">
        <v>13</v>
      </c>
      <c r="Z461" t="s">
        <v>50</v>
      </c>
    </row>
    <row r="462" spans="19:26" x14ac:dyDescent="0.25">
      <c r="S462" t="s">
        <v>1431</v>
      </c>
      <c r="T462" t="s">
        <v>1432</v>
      </c>
      <c r="U462">
        <v>35</v>
      </c>
      <c r="V462" t="s">
        <v>10</v>
      </c>
      <c r="W462" t="s">
        <v>1433</v>
      </c>
      <c r="X462" t="s">
        <v>271</v>
      </c>
      <c r="Y462" t="s">
        <v>13</v>
      </c>
      <c r="Z462" t="s">
        <v>50</v>
      </c>
    </row>
    <row r="463" spans="19:26" x14ac:dyDescent="0.25">
      <c r="S463" t="s">
        <v>1434</v>
      </c>
      <c r="T463" t="s">
        <v>1435</v>
      </c>
      <c r="U463">
        <v>60</v>
      </c>
      <c r="V463" t="s">
        <v>16</v>
      </c>
      <c r="W463" t="s">
        <v>1436</v>
      </c>
      <c r="X463" t="s">
        <v>65</v>
      </c>
      <c r="Y463" t="s">
        <v>13</v>
      </c>
      <c r="Z463" t="s">
        <v>33</v>
      </c>
    </row>
    <row r="464" spans="19:26" x14ac:dyDescent="0.25">
      <c r="S464" t="s">
        <v>1437</v>
      </c>
      <c r="T464" t="s">
        <v>1438</v>
      </c>
      <c r="U464">
        <v>34</v>
      </c>
      <c r="V464" t="s">
        <v>16</v>
      </c>
      <c r="W464" t="s">
        <v>1439</v>
      </c>
      <c r="X464" t="s">
        <v>45</v>
      </c>
      <c r="Y464" t="s">
        <v>13</v>
      </c>
      <c r="Z464" t="s">
        <v>33</v>
      </c>
    </row>
    <row r="465" spans="19:26" x14ac:dyDescent="0.25">
      <c r="S465" t="s">
        <v>1440</v>
      </c>
      <c r="T465" t="s">
        <v>1441</v>
      </c>
      <c r="U465">
        <v>36</v>
      </c>
      <c r="V465" t="s">
        <v>16</v>
      </c>
      <c r="W465" t="s">
        <v>1442</v>
      </c>
      <c r="X465" t="s">
        <v>171</v>
      </c>
      <c r="Y465" t="s">
        <v>13</v>
      </c>
      <c r="Z465" t="s">
        <v>28</v>
      </c>
    </row>
    <row r="466" spans="19:26" x14ac:dyDescent="0.25">
      <c r="S466" t="s">
        <v>1550</v>
      </c>
      <c r="T466" t="s">
        <v>1444</v>
      </c>
      <c r="U466">
        <v>45</v>
      </c>
      <c r="V466" t="s">
        <v>16</v>
      </c>
      <c r="W466" t="s">
        <v>1445</v>
      </c>
      <c r="X466" t="s">
        <v>77</v>
      </c>
      <c r="Y466" t="s">
        <v>13</v>
      </c>
      <c r="Z466" t="s">
        <v>19</v>
      </c>
    </row>
    <row r="467" spans="19:26" x14ac:dyDescent="0.25">
      <c r="S467" t="s">
        <v>1446</v>
      </c>
      <c r="T467" t="s">
        <v>1447</v>
      </c>
      <c r="U467">
        <v>28</v>
      </c>
      <c r="V467" t="s">
        <v>16</v>
      </c>
      <c r="W467" t="s">
        <v>1448</v>
      </c>
      <c r="X467" t="s">
        <v>12</v>
      </c>
      <c r="Y467" t="s">
        <v>13</v>
      </c>
      <c r="Z467" t="s">
        <v>33</v>
      </c>
    </row>
    <row r="468" spans="19:26" x14ac:dyDescent="0.25">
      <c r="S468" t="s">
        <v>1449</v>
      </c>
      <c r="T468" t="s">
        <v>1450</v>
      </c>
      <c r="U468">
        <v>18</v>
      </c>
      <c r="V468" t="s">
        <v>10</v>
      </c>
      <c r="W468" t="s">
        <v>1451</v>
      </c>
      <c r="X468" t="s">
        <v>205</v>
      </c>
      <c r="Y468" t="s">
        <v>13</v>
      </c>
      <c r="Z468" t="s">
        <v>33</v>
      </c>
    </row>
    <row r="469" spans="19:26" x14ac:dyDescent="0.25">
      <c r="S469" t="s">
        <v>1452</v>
      </c>
      <c r="T469" t="s">
        <v>1453</v>
      </c>
      <c r="U469">
        <v>63</v>
      </c>
      <c r="V469" t="s">
        <v>16</v>
      </c>
      <c r="W469" t="s">
        <v>1454</v>
      </c>
      <c r="X469" t="s">
        <v>175</v>
      </c>
      <c r="Y469" t="s">
        <v>13</v>
      </c>
      <c r="Z469" t="s">
        <v>50</v>
      </c>
    </row>
    <row r="470" spans="19:26" x14ac:dyDescent="0.25">
      <c r="S470" t="s">
        <v>1455</v>
      </c>
      <c r="T470" t="s">
        <v>1456</v>
      </c>
      <c r="U470">
        <v>45</v>
      </c>
      <c r="V470" t="s">
        <v>10</v>
      </c>
      <c r="W470" t="s">
        <v>1457</v>
      </c>
      <c r="X470" t="s">
        <v>175</v>
      </c>
      <c r="Y470" t="s">
        <v>13</v>
      </c>
      <c r="Z470" t="s">
        <v>28</v>
      </c>
    </row>
    <row r="471" spans="19:26" x14ac:dyDescent="0.25">
      <c r="S471" t="s">
        <v>1458</v>
      </c>
      <c r="T471" t="s">
        <v>1459</v>
      </c>
      <c r="U471">
        <v>19</v>
      </c>
      <c r="V471" t="s">
        <v>10</v>
      </c>
      <c r="W471" t="s">
        <v>1460</v>
      </c>
      <c r="X471" t="s">
        <v>121</v>
      </c>
      <c r="Y471" t="s">
        <v>13</v>
      </c>
      <c r="Z471" t="s">
        <v>50</v>
      </c>
    </row>
    <row r="472" spans="19:26" x14ac:dyDescent="0.25">
      <c r="S472" t="s">
        <v>1461</v>
      </c>
      <c r="T472" t="s">
        <v>1462</v>
      </c>
      <c r="U472">
        <v>21</v>
      </c>
      <c r="V472" t="s">
        <v>16</v>
      </c>
      <c r="W472" t="s">
        <v>1463</v>
      </c>
      <c r="X472" t="s">
        <v>49</v>
      </c>
      <c r="Y472" t="s">
        <v>13</v>
      </c>
      <c r="Z472" t="s">
        <v>50</v>
      </c>
    </row>
    <row r="473" spans="19:26" x14ac:dyDescent="0.25">
      <c r="S473" t="s">
        <v>1464</v>
      </c>
      <c r="T473" t="s">
        <v>1465</v>
      </c>
      <c r="U473">
        <v>42</v>
      </c>
      <c r="V473" t="s">
        <v>10</v>
      </c>
      <c r="W473" t="s">
        <v>1466</v>
      </c>
      <c r="X473" t="s">
        <v>69</v>
      </c>
      <c r="Y473" t="s">
        <v>13</v>
      </c>
      <c r="Z473" t="s">
        <v>19</v>
      </c>
    </row>
    <row r="474" spans="19:26" x14ac:dyDescent="0.25">
      <c r="S474" t="s">
        <v>1467</v>
      </c>
      <c r="T474" t="s">
        <v>1468</v>
      </c>
      <c r="U474">
        <v>42</v>
      </c>
      <c r="V474" t="s">
        <v>10</v>
      </c>
      <c r="W474" t="s">
        <v>1469</v>
      </c>
      <c r="X474" t="s">
        <v>725</v>
      </c>
      <c r="Y474" t="s">
        <v>13</v>
      </c>
      <c r="Z474" t="s">
        <v>33</v>
      </c>
    </row>
    <row r="475" spans="19:26" x14ac:dyDescent="0.25">
      <c r="S475" t="s">
        <v>1470</v>
      </c>
      <c r="T475" t="s">
        <v>1471</v>
      </c>
      <c r="U475">
        <v>53</v>
      </c>
      <c r="V475" t="s">
        <v>10</v>
      </c>
      <c r="W475" t="s">
        <v>1472</v>
      </c>
      <c r="X475" t="s">
        <v>328</v>
      </c>
      <c r="Y475" t="s">
        <v>13</v>
      </c>
      <c r="Z475" t="s">
        <v>28</v>
      </c>
    </row>
    <row r="476" spans="19:26" x14ac:dyDescent="0.25">
      <c r="S476" t="s">
        <v>1473</v>
      </c>
      <c r="T476" t="s">
        <v>1474</v>
      </c>
      <c r="U476">
        <v>32</v>
      </c>
      <c r="V476" t="s">
        <v>16</v>
      </c>
      <c r="W476" t="s">
        <v>1475</v>
      </c>
      <c r="X476" t="s">
        <v>41</v>
      </c>
      <c r="Y476" t="s">
        <v>13</v>
      </c>
      <c r="Z476" t="s">
        <v>19</v>
      </c>
    </row>
    <row r="477" spans="19:26" x14ac:dyDescent="0.25">
      <c r="S477" t="s">
        <v>1476</v>
      </c>
      <c r="T477" t="s">
        <v>1477</v>
      </c>
      <c r="U477">
        <v>18</v>
      </c>
      <c r="V477" t="s">
        <v>16</v>
      </c>
      <c r="W477" t="s">
        <v>399</v>
      </c>
      <c r="X477" t="s">
        <v>175</v>
      </c>
      <c r="Y477" t="s">
        <v>13</v>
      </c>
      <c r="Z477" t="s">
        <v>19</v>
      </c>
    </row>
    <row r="478" spans="19:26" x14ac:dyDescent="0.25">
      <c r="S478" t="s">
        <v>1478</v>
      </c>
      <c r="T478" t="s">
        <v>1479</v>
      </c>
      <c r="U478">
        <v>33</v>
      </c>
      <c r="V478" t="s">
        <v>16</v>
      </c>
      <c r="W478" t="s">
        <v>1480</v>
      </c>
      <c r="X478" t="s">
        <v>99</v>
      </c>
      <c r="Y478" t="s">
        <v>13</v>
      </c>
      <c r="Z478" t="s">
        <v>50</v>
      </c>
    </row>
    <row r="479" spans="19:26" x14ac:dyDescent="0.25">
      <c r="S479" t="s">
        <v>1481</v>
      </c>
      <c r="T479" t="s">
        <v>1482</v>
      </c>
      <c r="U479">
        <v>41</v>
      </c>
      <c r="V479" t="s">
        <v>16</v>
      </c>
      <c r="W479" t="s">
        <v>1483</v>
      </c>
      <c r="X479" t="s">
        <v>65</v>
      </c>
      <c r="Y479" t="s">
        <v>13</v>
      </c>
      <c r="Z479" t="s">
        <v>19</v>
      </c>
    </row>
    <row r="480" spans="19:26" x14ac:dyDescent="0.25">
      <c r="S480" t="s">
        <v>1484</v>
      </c>
      <c r="T480" t="s">
        <v>1485</v>
      </c>
      <c r="U480">
        <v>59</v>
      </c>
      <c r="V480" t="s">
        <v>10</v>
      </c>
      <c r="W480" t="s">
        <v>1486</v>
      </c>
      <c r="X480" t="s">
        <v>41</v>
      </c>
      <c r="Y480" t="s">
        <v>13</v>
      </c>
      <c r="Z480" t="s">
        <v>50</v>
      </c>
    </row>
    <row r="481" spans="19:26" x14ac:dyDescent="0.25">
      <c r="S481" t="s">
        <v>1487</v>
      </c>
      <c r="T481" t="s">
        <v>1488</v>
      </c>
      <c r="U481">
        <v>40</v>
      </c>
      <c r="V481" t="s">
        <v>10</v>
      </c>
      <c r="W481" t="s">
        <v>1489</v>
      </c>
      <c r="X481" t="s">
        <v>45</v>
      </c>
      <c r="Y481" t="s">
        <v>13</v>
      </c>
      <c r="Z481" t="s">
        <v>28</v>
      </c>
    </row>
    <row r="482" spans="19:26" x14ac:dyDescent="0.25">
      <c r="S482" t="s">
        <v>1490</v>
      </c>
      <c r="T482" t="s">
        <v>1491</v>
      </c>
      <c r="U482">
        <v>33</v>
      </c>
      <c r="V482" t="s">
        <v>10</v>
      </c>
      <c r="W482" t="s">
        <v>1492</v>
      </c>
      <c r="X482" t="s">
        <v>254</v>
      </c>
      <c r="Y482" t="s">
        <v>13</v>
      </c>
      <c r="Z482" t="s">
        <v>28</v>
      </c>
    </row>
    <row r="483" spans="19:26" x14ac:dyDescent="0.25">
      <c r="S483" t="s">
        <v>1493</v>
      </c>
      <c r="T483" t="s">
        <v>1494</v>
      </c>
      <c r="U483">
        <v>21</v>
      </c>
      <c r="V483" t="s">
        <v>10</v>
      </c>
      <c r="W483" t="s">
        <v>1495</v>
      </c>
      <c r="X483" t="s">
        <v>84</v>
      </c>
      <c r="Y483" t="s">
        <v>13</v>
      </c>
      <c r="Z483" t="s">
        <v>50</v>
      </c>
    </row>
    <row r="484" spans="19:26" x14ac:dyDescent="0.25">
      <c r="S484" t="s">
        <v>1496</v>
      </c>
      <c r="T484" t="s">
        <v>1497</v>
      </c>
      <c r="U484">
        <v>26</v>
      </c>
      <c r="V484" t="s">
        <v>10</v>
      </c>
      <c r="W484" t="s">
        <v>1498</v>
      </c>
      <c r="X484" t="s">
        <v>596</v>
      </c>
      <c r="Y484" t="s">
        <v>13</v>
      </c>
      <c r="Z484" t="s">
        <v>19</v>
      </c>
    </row>
    <row r="485" spans="19:26" x14ac:dyDescent="0.25">
      <c r="S485" t="s">
        <v>1499</v>
      </c>
      <c r="T485" t="s">
        <v>1285</v>
      </c>
      <c r="U485">
        <v>48</v>
      </c>
      <c r="V485" t="s">
        <v>10</v>
      </c>
      <c r="W485" t="s">
        <v>1500</v>
      </c>
      <c r="X485" t="s">
        <v>188</v>
      </c>
      <c r="Y485" t="s">
        <v>13</v>
      </c>
      <c r="Z485" t="s">
        <v>50</v>
      </c>
    </row>
    <row r="486" spans="19:26" x14ac:dyDescent="0.25">
      <c r="S486" t="s">
        <v>1501</v>
      </c>
      <c r="T486" t="s">
        <v>1502</v>
      </c>
      <c r="U486">
        <v>32</v>
      </c>
      <c r="V486" t="s">
        <v>10</v>
      </c>
      <c r="W486" t="s">
        <v>1503</v>
      </c>
      <c r="X486" t="s">
        <v>725</v>
      </c>
      <c r="Y486" t="s">
        <v>13</v>
      </c>
      <c r="Z486" t="s">
        <v>28</v>
      </c>
    </row>
    <row r="487" spans="19:26" x14ac:dyDescent="0.25">
      <c r="S487" t="s">
        <v>1504</v>
      </c>
      <c r="T487" t="s">
        <v>1505</v>
      </c>
      <c r="U487">
        <v>46</v>
      </c>
      <c r="V487" t="s">
        <v>16</v>
      </c>
      <c r="W487" t="s">
        <v>1506</v>
      </c>
      <c r="X487" t="s">
        <v>291</v>
      </c>
      <c r="Y487" t="s">
        <v>13</v>
      </c>
      <c r="Z487" t="s">
        <v>28</v>
      </c>
    </row>
    <row r="488" spans="19:26" x14ac:dyDescent="0.25">
      <c r="S488" t="s">
        <v>1551</v>
      </c>
      <c r="T488" t="s">
        <v>1508</v>
      </c>
      <c r="U488">
        <v>22</v>
      </c>
      <c r="V488" t="s">
        <v>16</v>
      </c>
      <c r="W488" t="s">
        <v>1509</v>
      </c>
      <c r="X488" t="s">
        <v>175</v>
      </c>
      <c r="Y488" t="s">
        <v>13</v>
      </c>
      <c r="Z488" t="s">
        <v>28</v>
      </c>
    </row>
    <row r="489" spans="19:26" x14ac:dyDescent="0.25">
      <c r="S489" t="s">
        <v>1510</v>
      </c>
      <c r="T489" t="s">
        <v>1511</v>
      </c>
      <c r="U489">
        <v>36</v>
      </c>
      <c r="V489" t="s">
        <v>16</v>
      </c>
      <c r="W489" t="s">
        <v>1512</v>
      </c>
      <c r="X489" t="s">
        <v>121</v>
      </c>
      <c r="Y489" t="s">
        <v>13</v>
      </c>
      <c r="Z489" t="s">
        <v>19</v>
      </c>
    </row>
    <row r="490" spans="19:26" x14ac:dyDescent="0.25">
      <c r="S490" t="s">
        <v>1513</v>
      </c>
      <c r="T490" t="s">
        <v>1514</v>
      </c>
      <c r="U490">
        <v>23</v>
      </c>
      <c r="V490" t="s">
        <v>16</v>
      </c>
      <c r="W490" t="s">
        <v>1515</v>
      </c>
      <c r="X490" t="s">
        <v>32</v>
      </c>
      <c r="Y490" t="s">
        <v>13</v>
      </c>
      <c r="Z490" t="s">
        <v>19</v>
      </c>
    </row>
    <row r="491" spans="19:26" x14ac:dyDescent="0.25">
      <c r="S491" t="s">
        <v>1516</v>
      </c>
      <c r="T491" t="s">
        <v>1517</v>
      </c>
      <c r="U491">
        <v>42</v>
      </c>
      <c r="V491" t="s">
        <v>16</v>
      </c>
      <c r="W491" t="s">
        <v>1518</v>
      </c>
      <c r="X491" t="s">
        <v>258</v>
      </c>
      <c r="Y491" t="s">
        <v>13</v>
      </c>
      <c r="Z491" t="s">
        <v>33</v>
      </c>
    </row>
    <row r="492" spans="19:26" x14ac:dyDescent="0.25">
      <c r="S492" t="s">
        <v>1519</v>
      </c>
      <c r="T492" t="s">
        <v>1520</v>
      </c>
      <c r="U492">
        <v>23</v>
      </c>
      <c r="V492" t="s">
        <v>10</v>
      </c>
      <c r="W492" t="s">
        <v>1521</v>
      </c>
      <c r="X492" t="s">
        <v>144</v>
      </c>
      <c r="Y492" t="s">
        <v>13</v>
      </c>
      <c r="Z492" t="s">
        <v>19</v>
      </c>
    </row>
    <row r="493" spans="19:26" x14ac:dyDescent="0.25">
      <c r="S493" t="s">
        <v>1552</v>
      </c>
      <c r="T493" t="s">
        <v>1523</v>
      </c>
      <c r="U493">
        <v>52</v>
      </c>
      <c r="V493" t="s">
        <v>16</v>
      </c>
      <c r="W493" t="s">
        <v>1524</v>
      </c>
      <c r="X493" t="s">
        <v>41</v>
      </c>
      <c r="Y493" t="s">
        <v>13</v>
      </c>
      <c r="Z493" t="s">
        <v>50</v>
      </c>
    </row>
    <row r="494" spans="19:26" x14ac:dyDescent="0.25">
      <c r="S494" t="s">
        <v>1525</v>
      </c>
      <c r="T494" t="s">
        <v>1526</v>
      </c>
      <c r="U494">
        <v>59</v>
      </c>
      <c r="V494" t="s">
        <v>16</v>
      </c>
      <c r="W494" t="s">
        <v>1527</v>
      </c>
      <c r="X494" t="s">
        <v>254</v>
      </c>
      <c r="Y494" t="s">
        <v>13</v>
      </c>
      <c r="Z494" t="s">
        <v>19</v>
      </c>
    </row>
    <row r="495" spans="19:26" x14ac:dyDescent="0.25">
      <c r="S495" t="s">
        <v>1528</v>
      </c>
      <c r="T495" t="s">
        <v>1529</v>
      </c>
      <c r="U495">
        <v>28</v>
      </c>
      <c r="V495" t="s">
        <v>10</v>
      </c>
      <c r="W495" t="s">
        <v>87</v>
      </c>
      <c r="X495" t="s">
        <v>23</v>
      </c>
      <c r="Y495" t="s">
        <v>13</v>
      </c>
      <c r="Z495" t="s">
        <v>33</v>
      </c>
    </row>
    <row r="496" spans="19:26" x14ac:dyDescent="0.25">
      <c r="S496" t="s">
        <v>1530</v>
      </c>
      <c r="T496" t="s">
        <v>1531</v>
      </c>
      <c r="U496">
        <v>21</v>
      </c>
      <c r="V496" t="s">
        <v>10</v>
      </c>
      <c r="W496" t="s">
        <v>1532</v>
      </c>
      <c r="X496" t="s">
        <v>363</v>
      </c>
      <c r="Y496" t="s">
        <v>13</v>
      </c>
      <c r="Z496" t="s">
        <v>50</v>
      </c>
    </row>
    <row r="497" spans="19:26" x14ac:dyDescent="0.25">
      <c r="S497" t="s">
        <v>1533</v>
      </c>
      <c r="T497" t="s">
        <v>1534</v>
      </c>
      <c r="U497">
        <v>23</v>
      </c>
      <c r="V497" t="s">
        <v>16</v>
      </c>
      <c r="W497" t="s">
        <v>1535</v>
      </c>
      <c r="X497" t="s">
        <v>95</v>
      </c>
      <c r="Y497" t="s">
        <v>13</v>
      </c>
      <c r="Z497" t="s">
        <v>28</v>
      </c>
    </row>
    <row r="498" spans="19:26" x14ac:dyDescent="0.25">
      <c r="S498" t="s">
        <v>1536</v>
      </c>
      <c r="T498" t="s">
        <v>1537</v>
      </c>
      <c r="U498">
        <v>56</v>
      </c>
      <c r="V498" t="s">
        <v>10</v>
      </c>
      <c r="W498" t="s">
        <v>1538</v>
      </c>
      <c r="X498" t="s">
        <v>27</v>
      </c>
      <c r="Y498" t="s">
        <v>13</v>
      </c>
      <c r="Z498" t="s">
        <v>28</v>
      </c>
    </row>
    <row r="499" spans="19:26" x14ac:dyDescent="0.25">
      <c r="S499" t="s">
        <v>1539</v>
      </c>
      <c r="T499" t="s">
        <v>1540</v>
      </c>
      <c r="U499">
        <v>47</v>
      </c>
      <c r="V499" t="s">
        <v>16</v>
      </c>
      <c r="W499" t="s">
        <v>1541</v>
      </c>
      <c r="X499" t="s">
        <v>61</v>
      </c>
      <c r="Y499" t="s">
        <v>13</v>
      </c>
      <c r="Z499" t="s">
        <v>50</v>
      </c>
    </row>
    <row r="500" spans="19:26" x14ac:dyDescent="0.25">
      <c r="S500" t="s">
        <v>1542</v>
      </c>
      <c r="T500" t="s">
        <v>1543</v>
      </c>
      <c r="U500">
        <v>35</v>
      </c>
      <c r="V500" t="s">
        <v>10</v>
      </c>
      <c r="W500" t="s">
        <v>1544</v>
      </c>
      <c r="X500" t="s">
        <v>237</v>
      </c>
      <c r="Y500" t="s">
        <v>13</v>
      </c>
      <c r="Z500" t="s">
        <v>33</v>
      </c>
    </row>
    <row r="501" spans="19:26" x14ac:dyDescent="0.25">
      <c r="S501" t="s">
        <v>1553</v>
      </c>
      <c r="T501" t="s">
        <v>1546</v>
      </c>
      <c r="U501">
        <v>27</v>
      </c>
      <c r="V501" t="s">
        <v>16</v>
      </c>
      <c r="W501" t="s">
        <v>1547</v>
      </c>
      <c r="X501" t="s">
        <v>37</v>
      </c>
      <c r="Y501" t="s">
        <v>13</v>
      </c>
      <c r="Z50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</vt:lpstr>
      <vt:lpstr>Data cleaning</vt:lpstr>
      <vt:lpstr>f Excel formulas for calculatio</vt:lpstr>
      <vt:lpstr> XLOOKUP VLOOKUP </vt:lpstr>
      <vt:lpstr>Pivot Tables</vt:lpstr>
      <vt:lpstr>Descriptive statistics</vt:lpstr>
      <vt:lpstr>pivt chart</vt:lpstr>
      <vt:lpstr>●Data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2026-06-08T19:13:28Z</dcterms:created>
  <dcterms:modified xsi:type="dcterms:W3CDTF">2026-06-11T21:17:01Z</dcterms:modified>
</cp:coreProperties>
</file>